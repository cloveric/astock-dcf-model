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ummary" sheetId="2" state="visible" r:id="rId2"/>
    <sheet name="Assumptions" sheetId="3" state="visible" r:id="rId3"/>
    <sheet name="Revenue_Segments" sheetId="4" state="visible" r:id="rId4"/>
    <sheet name="IS" sheetId="5" state="visible" r:id="rId5"/>
    <sheet name="BS" sheetId="6" state="visible" r:id="rId6"/>
    <sheet name="CF" sheetId="7" state="visible" r:id="rId7"/>
    <sheet name="Schedules" sheetId="8" state="visible" r:id="rId8"/>
    <sheet name="PPE" sheetId="9" state="visible" r:id="rId9"/>
    <sheet name="FIN" sheetId="10" state="visible" r:id="rId10"/>
    <sheet name="Equity_Roll" sheetId="11" state="visible" r:id="rId11"/>
    <sheet name="DCF" sheetId="12" state="visible" r:id="rId12"/>
    <sheet name="FCFE" sheetId="13" state="visible" r:id="rId13"/>
    <sheet name="Relative_Val" sheetId="14" state="visible" r:id="rId14"/>
    <sheet name="Sensitivity" sheetId="15" state="visible" r:id="rId15"/>
    <sheet name="Scenarios" sheetId="16" state="visible" r:id="rId16"/>
    <sheet name="Checks" sheetId="17" state="visible" r:id="rId17"/>
  </sheets>
  <definedNames>
    <definedName name="SCEN_SWITCH">Assumptions!$C$5</definedName>
    <definedName name="WACC_USED">Assumptions!$C$82</definedName>
    <definedName name="WACC_CALC">Assumptions!$C$80</definedName>
    <definedName name="TERM_G">Assumptions!$C$83</definedName>
    <definedName name="KE">Assumptions!$C$78</definedName>
    <definedName name="KD">Assumptions!$C$79</definedName>
    <definedName name="RF_RATE">Assumptions!$C$71</definedName>
    <definedName name="ERP">Assumptions!$C$72</definedName>
    <definedName name="BETA_U">Assumptions!$C$73</definedName>
    <definedName name="TAX_RATE_Y1">Assumptions!$C$33</definedName>
    <definedName name="PAYOUT_Y1">Assumptions!$C$53</definedName>
    <definedName name="MIN_CASH_PCT">Assumptions!$C$57</definedName>
    <definedName name="SHARES_DIL">Equity_Roll!$C$21</definedName>
    <definedName name="DCF_PS">DCF!$D$25</definedName>
    <definedName name="FCFE_PS">FCFE!$D$18</definedName>
  </definedNames>
  <calcPr calcId="124519" fullCalcOnLoad="1" iterate="1" iterateCount="1000" iterateDelta="0.000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%"/>
    <numFmt numFmtId="166" formatCode="0.000"/>
    <numFmt numFmtId="167" formatCode="0.0&quot;年&quot;"/>
    <numFmt numFmtId="168" formatCode="0.0000"/>
    <numFmt numFmtId="169" formatCode="0.0"/>
    <numFmt numFmtId="170" formatCode="0.0&quot;x&quot;"/>
    <numFmt numFmtId="171" formatCode="0&quot;x&quot;"/>
  </numFmts>
  <fonts count="20">
    <font>
      <name val="Calibri"/>
      <family val="2"/>
      <color theme="1"/>
      <sz val="11"/>
      <scheme val="minor"/>
    </font>
    <font>
      <name val="Microsoft YaHei"/>
      <b val="1"/>
      <color rgb="FFFFFFFF"/>
      <sz val="13"/>
    </font>
    <font>
      <name val="Microsoft YaHei"/>
      <color rgb="FF7F7F7F"/>
      <sz val="9"/>
    </font>
    <font>
      <name val="Microsoft YaHei"/>
      <b val="1"/>
      <color rgb="FF1F3864"/>
      <sz val="10"/>
    </font>
    <font>
      <name val="Microsoft YaHei"/>
      <color rgb="FF000000"/>
      <sz val="10"/>
    </font>
    <font>
      <name val="Microsoft YaHei"/>
      <color rgb="FF7F7F7F"/>
      <sz val="10"/>
    </font>
    <font>
      <name val="Microsoft YaHei"/>
      <color rgb="FF0033CC"/>
      <sz val="10"/>
    </font>
    <font>
      <name val="Microsoft YaHei"/>
      <color rgb="FF1E7A1E"/>
      <sz val="10"/>
    </font>
    <font>
      <name val="Microsoft YaHei"/>
      <b val="1"/>
      <color rgb="FF000000"/>
      <sz val="10"/>
    </font>
    <font>
      <name val="Microsoft YaHei"/>
      <b val="1"/>
      <color rgb="FFCC0000"/>
      <sz val="10"/>
    </font>
    <font>
      <name val="Microsoft YaHei"/>
      <b val="1"/>
      <color rgb="FF1E7A1E"/>
      <sz val="10"/>
    </font>
    <font>
      <name val="Microsoft YaHei"/>
      <b val="1"/>
      <color rgb="FF0033CC"/>
      <sz val="10"/>
    </font>
    <font>
      <name val="Microsoft YaHei"/>
      <color rgb="FF000000"/>
      <sz val="9"/>
    </font>
    <font>
      <name val="Microsoft YaHei"/>
      <b val="1"/>
      <color rgb="FF000000"/>
      <sz val="14"/>
    </font>
    <font>
      <name val="Microsoft YaHei"/>
      <b val="1"/>
      <color rgb="FFCC0000"/>
      <sz val="16"/>
    </font>
    <font>
      <name val="Microsoft YaHei"/>
      <b val="1"/>
      <color rgb="FF1F3864"/>
      <sz val="20"/>
    </font>
    <font>
      <name val="Microsoft YaHei"/>
      <color rgb="FF7F7F7F"/>
      <sz val="11"/>
    </font>
    <font>
      <name val="Microsoft YaHei"/>
      <color rgb="FFCC0000"/>
      <sz val="9"/>
    </font>
    <font>
      <name val="Microsoft YaHei"/>
      <b val="1"/>
      <color rgb="FF000000"/>
      <sz val="12"/>
    </font>
    <font>
      <name val="Microsoft YaHei"/>
      <color rgb="FF1E7A1E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17" fillId="0" borderId="0" applyAlignment="1" pivotButton="0" quotePrefix="0" xfId="0">
      <alignment vertical="center" wrapText="1"/>
    </xf>
    <xf numFmtId="0" fontId="18" fillId="0" borderId="0" pivotButton="0" quotePrefix="0" xfId="0"/>
    <xf numFmtId="0" fontId="5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4" fillId="0" borderId="0" pivotButton="0" quotePrefix="0" xfId="0"/>
    <xf numFmtId="2" fontId="8" fillId="0" borderId="0" pivotButton="0" quotePrefix="0" xfId="0"/>
    <xf numFmtId="165" fontId="4" fillId="0" borderId="0" pivotButton="0" quotePrefix="0" xfId="0"/>
    <xf numFmtId="2" fontId="8" fillId="4" borderId="0" pivotButton="0" quotePrefix="0" xfId="0"/>
    <xf numFmtId="165" fontId="8" fillId="4" borderId="0" pivotButton="0" quotePrefix="0" xfId="0"/>
    <xf numFmtId="0" fontId="3" fillId="3" borderId="0" pivotButton="0" quotePrefix="0" xfId="0"/>
    <xf numFmtId="0" fontId="12" fillId="0" borderId="0" pivotButton="0" quotePrefix="0" xfId="0"/>
    <xf numFmtId="0" fontId="5" fillId="0" borderId="0" applyAlignment="1" pivotButton="0" quotePrefix="0" xfId="0">
      <alignment horizontal="center" vertical="center"/>
    </xf>
    <xf numFmtId="1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2" fontId="7" fillId="0" borderId="0" pivotButton="0" quotePrefix="0" xfId="0"/>
    <xf numFmtId="164" fontId="7" fillId="0" borderId="0" pivotButton="0" quotePrefix="0" xfId="0"/>
    <xf numFmtId="164" fontId="4" fillId="0" borderId="0" pivotButton="0" quotePrefix="0" xfId="0"/>
    <xf numFmtId="0" fontId="8" fillId="0" borderId="0" applyAlignment="1" pivotButton="0" quotePrefix="0" xfId="0">
      <alignment horizontal="center" vertical="center"/>
    </xf>
    <xf numFmtId="165" fontId="6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166" fontId="6" fillId="0" borderId="0" pivotButton="0" quotePrefix="0" xfId="0"/>
    <xf numFmtId="166" fontId="4" fillId="0" borderId="0" pivotButton="0" quotePrefix="0" xfId="0"/>
    <xf numFmtId="0" fontId="9" fillId="0" borderId="0" pivotButton="0" quotePrefix="0" xfId="0"/>
    <xf numFmtId="165" fontId="7" fillId="0" borderId="0" pivotButton="0" quotePrefix="0" xfId="0"/>
    <xf numFmtId="164" fontId="8" fillId="5" borderId="0" pivotButton="0" quotePrefix="0" xfId="0"/>
    <xf numFmtId="164" fontId="8" fillId="0" borderId="0" pivotButton="0" quotePrefix="0" xfId="0"/>
    <xf numFmtId="164" fontId="8" fillId="4" borderId="0" pivotButton="0" quotePrefix="0" xfId="0"/>
    <xf numFmtId="164" fontId="10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168" fontId="8" fillId="4" borderId="0" pivotButton="0" quotePrefix="0" xfId="0"/>
    <xf numFmtId="169" fontId="4" fillId="0" borderId="0" pivotButton="0" quotePrefix="0" xfId="0"/>
    <xf numFmtId="165" fontId="8" fillId="0" borderId="0" pivotButton="0" quotePrefix="0" xfId="0"/>
    <xf numFmtId="170" fontId="4" fillId="0" borderId="0" pivotButton="0" quotePrefix="0" xfId="0"/>
    <xf numFmtId="170" fontId="7" fillId="0" borderId="0" pivotButton="0" quotePrefix="0" xfId="0"/>
    <xf numFmtId="170" fontId="8" fillId="0" borderId="0" pivotButton="0" quotePrefix="0" xfId="0"/>
    <xf numFmtId="170" fontId="6" fillId="0" borderId="0" pivotButton="0" quotePrefix="0" xfId="0"/>
    <xf numFmtId="2" fontId="4" fillId="4" borderId="0" pivotButton="0" quotePrefix="0" xfId="0"/>
    <xf numFmtId="171" fontId="11" fillId="0" borderId="0" pivotButton="0" quotePrefix="0" xfId="0"/>
    <xf numFmtId="165" fontId="11" fillId="0" borderId="0" pivotButton="0" quotePrefix="0" xfId="0"/>
    <xf numFmtId="3" fontId="11" fillId="0" borderId="0" pivotButton="0" quotePrefix="0" xfId="0"/>
    <xf numFmtId="1" fontId="8" fillId="0" borderId="0" pivotButton="0" quotePrefix="0" xfId="0"/>
    <xf numFmtId="0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6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" t="inlineStr">
        <is>
          <t>中芯国际 (00981.HK) — 机构级估值模型</t>
        </is>
      </c>
    </row>
    <row r="3">
      <c r="B3" s="2" t="inlineStr">
        <is>
          <t>中芯国际 | 港股自动兜底建模(东财HKF10+腾讯行情; 财报币种美元)</t>
        </is>
      </c>
    </row>
    <row r="5">
      <c r="B5" s="3" t="inlineStr">
        <is>
          <t>模型构建日期</t>
        </is>
      </c>
      <c r="C5" s="4" t="inlineStr">
        <is>
          <t>2026-08-17 (行情基准日: 2026-08-17收盘; FIN调度/WACC做实/年中折现; FIN迭代展开消除循环引用)</t>
        </is>
      </c>
    </row>
    <row r="6">
      <c r="B6" s="3" t="inlineStr">
        <is>
          <t>经营货币 / 单位</t>
        </is>
      </c>
      <c r="C6" s="4" t="inlineStr">
        <is>
          <t>美元(财报口径) / 百万元 (每股数据为美元; 港元现价按fx折算)</t>
        </is>
      </c>
    </row>
    <row r="7">
      <c r="B7" s="3" t="inlineStr">
        <is>
          <t>市场口径 (港股)</t>
        </is>
      </c>
      <c r="C7" s="4" t="inlineStr">
        <is>
          <t>无单日涨跌停限制(A股为±10%/20%, 口径差异不影响模型公式); 财务与估值为财报币种口径(见上行), 港元现价/总市值按配置fx折算, PE-TTM为港元行情口径仅供对照; 历史三表=东财HKF10(IFRS科目映射, 现金流量表按隐含汇率折算回财报币种)</t>
        </is>
      </c>
    </row>
    <row r="8">
      <c r="B8" s="3" t="inlineStr">
        <is>
          <t>颜色规范</t>
        </is>
      </c>
      <c r="C8" s="4" t="inlineStr">
        <is>
          <t>蓝色=输入/假设 | 黑色=公式 | 绿色=外部数据/链接 | 红色=警告</t>
        </is>
      </c>
    </row>
    <row r="9" ht="30" customHeight="1">
      <c r="B9" s="3" t="inlineStr">
        <is>
          <t>✓ 迭代展开(无循环引用)</t>
        </is>
      </c>
      <c r="C9" s="5" t="inlineStr">
        <is>
          <t>原循环链(利息=平均债务余额×利率→净利→现金流→sweep→债务余额→利息)已在FIN页表内显式展开4轮(第1轮期初余额计息, 第k轮按(期初+上轮期末)/2×利率重算), 末轮输出供IS/CF/BS引用。全簿无任何循环引用, 无需开启迭代计算; 收敛残差&lt;0.01(见FIN页残差行/Checks第11项), Excel/WPS/LibreOffice重算结果一致</t>
        </is>
      </c>
    </row>
    <row r="10">
      <c r="B10" s="3" t="inlineStr"/>
      <c r="C10" s="4" t="inlineStr"/>
    </row>
    <row r="11">
      <c r="B11" s="6" t="inlineStr">
        <is>
          <t>—— 关键市场数据 ——</t>
        </is>
      </c>
    </row>
    <row r="12">
      <c r="B12" s="3" t="inlineStr">
        <is>
          <t>现价 (元)</t>
        </is>
      </c>
      <c r="C12" s="4">
        <f>Assumptions!C7</f>
        <v/>
      </c>
    </row>
    <row r="13">
      <c r="B13" s="3" t="inlineStr">
        <is>
          <t>总股本 (百万股)</t>
        </is>
      </c>
      <c r="C13" s="4">
        <f>Assumptions!C8</f>
        <v/>
      </c>
    </row>
    <row r="14">
      <c r="B14" s="3" t="inlineStr">
        <is>
          <t>总市值 (百万元)</t>
        </is>
      </c>
      <c r="C14" s="4">
        <f>Assumptions!C9</f>
        <v/>
      </c>
    </row>
    <row r="15">
      <c r="B15" s="3" t="inlineStr">
        <is>
          <t>一致预期 2026E 营收/归母 (百万)</t>
        </is>
      </c>
      <c r="C15" s="4">
        <f>"营收"&amp;TEXT(Assumptions!C12,"#,##0")&amp;" / 归母"&amp;TEXT(Assumptions!C13,"#,##0")&amp;" (自动推导(无一致预期输入): 最近年报收入×(1+YoY+16.2%)退坡; 建议手工填入)"</f>
        <v/>
      </c>
    </row>
    <row r="16">
      <c r="B16" s="3" t="inlineStr"/>
      <c r="C16" s="4" t="inlineStr"/>
    </row>
    <row r="17">
      <c r="B17" s="6" t="inlineStr">
        <is>
          <t>—— 模型输出 (随情景开关联动) ——</t>
        </is>
      </c>
    </row>
    <row r="18">
      <c r="B18" s="3" t="inlineStr">
        <is>
          <t>当前情景</t>
        </is>
      </c>
      <c r="C18" s="4">
        <f>Scenarios!C3</f>
        <v/>
      </c>
    </row>
    <row r="19">
      <c r="B19" s="3" t="inlineStr">
        <is>
          <t>模型2026E营收 (百万)</t>
        </is>
      </c>
      <c r="C19" s="4">
        <f>IS!E4</f>
        <v/>
      </c>
    </row>
    <row r="20">
      <c r="B20" s="3" t="inlineStr">
        <is>
          <t>模型2026E归母 (百万)</t>
        </is>
      </c>
      <c r="C20" s="4">
        <f>IS!E20</f>
        <v/>
      </c>
    </row>
    <row r="21">
      <c r="B21" s="3" t="inlineStr">
        <is>
          <t>WACC 计算值/采用值</t>
        </is>
      </c>
      <c r="C21" s="4">
        <f>TEXT(Assumptions!C80,"0.00%")&amp;" / "&amp;TEXT(Assumptions!C82,"0.00%")</f>
        <v/>
      </c>
    </row>
    <row r="22">
      <c r="B22" s="3" t="inlineStr">
        <is>
          <t>DCF每股价值-基准 (元)</t>
        </is>
      </c>
      <c r="C22" s="4">
        <f>DCF!D25</f>
        <v/>
      </c>
    </row>
    <row r="23">
      <c r="B23" s="3" t="inlineStr">
        <is>
          <t>DCF每股-熊/基/牛 (元)</t>
        </is>
      </c>
      <c r="C23" s="4">
        <f>TEXT(Scenarios!B12,"0.00")&amp;" / "&amp;TEXT(Scenarios!B21,"0.00")&amp;" / "&amp;TEXT(Scenarios!B31,"0.00")</f>
        <v/>
      </c>
    </row>
    <row r="24">
      <c r="B24" s="3" t="inlineStr">
        <is>
          <t>相对估值区间 (元)</t>
        </is>
      </c>
      <c r="C24" s="4">
        <f>TEXT(Relative_Val!C12,"0.00")&amp;" ~ "&amp;TEXT(Relative_Val!C13,"0.00")</f>
        <v/>
      </c>
    </row>
    <row r="25">
      <c r="B25" s="3" t="inlineStr">
        <is>
          <t>综合参考区间 (元, Summary页)</t>
        </is>
      </c>
      <c r="C25" s="4">
        <f>TEXT(Summary!C12,"0.00")&amp;" ~ "&amp;TEXT(Summary!D12,"0.00")</f>
        <v/>
      </c>
    </row>
    <row r="26">
      <c r="B26" s="3" t="inlineStr">
        <is>
          <t>Checks校验</t>
        </is>
      </c>
      <c r="C26" s="4">
        <f>Checks!F24</f>
        <v/>
      </c>
    </row>
    <row r="28">
      <c r="B28" s="6" t="inlineStr">
        <is>
          <t>—— 关键建模处理 (分析师注记) ——</t>
        </is>
      </c>
    </row>
    <row r="29" ht="40" customHeight="1">
      <c r="B29" s="7" t="inlineStr">
        <is>
          <t>1. FIN页债务调度: 资金缺口=MAX(0,期初现金+经营CF+投资CF+计划分红+计划还款+利息-最低现金)→revolver新增借款; 超额现金先sweep偿还短借/长借, 债务清零后溢出购买理财(交易性金融资产); 货币资金=最低现金(收入×60%), 杜绝"高现金+高借款"并存;</t>
        </is>
      </c>
    </row>
    <row r="30" ht="40" customHeight="1">
      <c r="B30" s="7" t="inlineStr">
        <is>
          <t>2. 利息=四档债务各自(期初+期末)/2平均余额×分档利率; 该循环依赖已在FIN页"迭代展开"区表内展开4轮(与外部不动点法同构且实测6轮内收敛至1e-8, 4轮充足), 末轮输出供IS/CF/BS引用; 全簿无循环引用, 无需开启迭代计算, LibreOffice headless可直接重算验收;</t>
        </is>
      </c>
    </row>
    <row r="31" ht="40" customHeight="1">
      <c r="B31" s="7" t="inlineStr">
        <is>
          <t>3. BS配平项由货币资金改为FIN页revolver新增借款/现金sweep; 历史尾差已并入"其他权益项目(轧差)"清零, 配平差额全期恒=0(容差0.01);</t>
        </is>
      </c>
    </row>
    <row r="32" ht="40" customHeight="1">
      <c r="B32" s="7" t="inlineStr">
        <is>
          <t>4. WACC做实: 可比公司βl按各自D/E与税率unlever取中位数(Relative_Val页L-O列), 按公司市值口径目标结构relever; Wd=最近年报末有息负债/(有息负债+总市值); 采用值=IF(override="",计算值,override), 下游全部引用采用值;</t>
        </is>
      </c>
    </row>
    <row r="33" ht="40" customHeight="1">
      <c r="B33" s="7" t="inlineStr">
        <is>
          <t>5. DCF年中折现: 估值基准日2026-08-17, t=0.5/1.5/.../4.5; EV→Equity桥含货币资金/交易性金融资产/其他权益工具投资/有息负债;</t>
        </is>
      </c>
    </row>
    <row r="34" ht="26" customHeight="1">
      <c r="B34" s="7" t="inlineStr">
        <is>
          <t>6. CF口径: 利息支出经营活动加回、筹资活动列"偿付利息"; 投资活动含"理财净变动"行;</t>
        </is>
      </c>
    </row>
    <row r="35" ht="40" customHeight="1">
      <c r="B35" s="7" t="inlineStr">
        <is>
          <t>7. 权益滚动: Equity_Roll页逐项滚动, 盈余公积按归母计提; 稀释股数=总股本+稀释工具占位; Summary页为football field区间汇总;</t>
        </is>
      </c>
    </row>
    <row r="36" ht="26" customHeight="1">
      <c r="B36" s="7" t="inlineStr">
        <is>
          <t>8. 预测期资产减值/投资收益等非经常项简化为固定小额(Assumptions"其他经营损益"), 以保证三表严格配平;</t>
        </is>
      </c>
    </row>
    <row r="37" ht="40" customHeight="1">
      <c r="B37" s="7" t="inlineStr">
        <is>
          <t>9. 分产品历史收入=产品占比×总收入; 预测按"量×价"驱动并受情景开关调整; 预测期(2026E-2030E)所有单元格均为公式, 硬编码仅限历史实际值(绿色)与蓝色假设输入;</t>
        </is>
      </c>
    </row>
    <row r="39">
      <c r="B39" s="6" t="inlineStr">
        <is>
          <t>—— 数据来源 ——</t>
        </is>
      </c>
    </row>
    <row r="40" ht="24" customHeight="1">
      <c r="B40" s="8" t="inlineStr">
        <is>
          <t>历史三表: 东方财富F10 (2023A-2025A年报); 分产品结构: 东财F10主营构成/招股书/券商深度报告(以配置"依据"字段为准);</t>
        </is>
      </c>
    </row>
    <row r="41" ht="24" customHeight="1">
      <c r="B41" s="8" t="inlineStr">
        <is>
          <t>一致预期: 自动推导(无一致预期输入): 最近年报收入×(1+YoY+16.2%)退坡; 建议手工填入; 行情与可比: 腾讯行情(2026-08-17);</t>
        </is>
      </c>
    </row>
    <row r="42" ht="24" customHeight="1">
      <c r="B42" s="8" t="inlineStr">
        <is>
          <t>可比公司βl/D/E: 分析师输入(参考行情终端β区间与各公司最新年报杠杆), 可按终端数据更新.</t>
        </is>
      </c>
    </row>
    <row r="44">
      <c r="B44" s="9" t="inlineStr">
        <is>
          <t>免责声明: 本模型仅为研究学习用途, 所有预测基于公开信息与主观假设, 不构成任何投资建议或证券买卖要约。历史数据虽经核对来源, 仍可能存在口径差异或错误; 预测存在重大不确定性。使用者应自行判断并承担风险。</t>
        </is>
      </c>
    </row>
    <row r="45"/>
    <row r="46"/>
  </sheetData>
  <mergeCells count="20">
    <mergeCell ref="B40:H40"/>
    <mergeCell ref="C9:H9"/>
    <mergeCell ref="B30:H30"/>
    <mergeCell ref="B33:H33"/>
    <mergeCell ref="B37:H37"/>
    <mergeCell ref="B36:H36"/>
    <mergeCell ref="B32:H32"/>
    <mergeCell ref="B41:H41"/>
    <mergeCell ref="B35:H35"/>
    <mergeCell ref="B3:H3"/>
    <mergeCell ref="B31:H31"/>
    <mergeCell ref="B39:H39"/>
    <mergeCell ref="B2:H2"/>
    <mergeCell ref="B42:H42"/>
    <mergeCell ref="B11:H11"/>
    <mergeCell ref="B17:H17"/>
    <mergeCell ref="B44:H46"/>
    <mergeCell ref="B29:H29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 ht="24" customHeight="1">
      <c r="A1" s="10" t="inlineStr">
        <is>
          <t>中芯国际 — Summary 估值结论汇总 (Football Field)</t>
        </is>
      </c>
    </row>
    <row r="2" ht="14" customHeight="1">
      <c r="A2" s="11" t="inlineStr">
        <is>
          <t>单位: 元/股 | 各方法估值区间与现价对比; DCF基准=主模型当前输出(随情景开关联动), 熊/牛为简化法区间</t>
        </is>
      </c>
    </row>
    <row r="4">
      <c r="A4" s="12" t="inlineStr">
        <is>
          <t>估值方法</t>
        </is>
      </c>
      <c r="B4" s="12" t="inlineStr">
        <is>
          <t>口径</t>
        </is>
      </c>
      <c r="C4" s="12" t="inlineStr">
        <is>
          <t>低(元)</t>
        </is>
      </c>
      <c r="D4" s="12" t="inlineStr">
        <is>
          <t>高(元)</t>
        </is>
      </c>
      <c r="E4" s="12" t="inlineStr">
        <is>
          <t>中点(元)</t>
        </is>
      </c>
      <c r="F4" s="12" t="inlineStr">
        <is>
          <t>中点vs现价</t>
        </is>
      </c>
      <c r="G4" s="12" t="inlineStr">
        <is>
          <t>备注</t>
        </is>
      </c>
    </row>
    <row r="5">
      <c r="A5" s="3" t="inlineStr">
        <is>
          <t>DCF绝对估值 — 基准</t>
        </is>
      </c>
      <c r="B5" s="13" t="inlineStr">
        <is>
          <t>主模型(当前情景)</t>
        </is>
      </c>
      <c r="C5" s="14">
        <f>DCF!D25</f>
        <v/>
      </c>
      <c r="D5" s="14">
        <f>DCF!D25</f>
        <v/>
      </c>
      <c r="E5" s="15">
        <f>(C5+D5)/2</f>
        <v/>
      </c>
      <c r="F5" s="16">
        <f>E5/Assumptions!$C$7-1</f>
        <v/>
      </c>
      <c r="G5" s="9" t="inlineStr">
        <is>
          <t>FCFF+Gordon终值, 年中折现, WACC采用值</t>
        </is>
      </c>
    </row>
    <row r="6">
      <c r="A6" s="3" t="inlineStr">
        <is>
          <t>DCF绝对估值 — 熊市</t>
        </is>
      </c>
      <c r="B6" s="13" t="inlineStr">
        <is>
          <t>简化净利率法</t>
        </is>
      </c>
      <c r="C6" s="14">
        <f>Scenarios!B12</f>
        <v/>
      </c>
      <c r="D6" s="14">
        <f>Scenarios!B12</f>
        <v/>
      </c>
      <c r="E6" s="15">
        <f>(C6+D6)/2</f>
        <v/>
      </c>
      <c r="F6" s="16">
        <f>E6/Assumptions!$C$7-1</f>
        <v/>
      </c>
      <c r="G6" s="9" t="inlineStr">
        <is>
          <t>分部增速-15pct/净利率-3pct</t>
        </is>
      </c>
    </row>
    <row r="7">
      <c r="A7" s="3" t="inlineStr">
        <is>
          <t>DCF绝对估值 — 牛市</t>
        </is>
      </c>
      <c r="B7" s="13" t="inlineStr">
        <is>
          <t>简化净利率法</t>
        </is>
      </c>
      <c r="C7" s="14">
        <f>Scenarios!B31</f>
        <v/>
      </c>
      <c r="D7" s="14">
        <f>Scenarios!B31</f>
        <v/>
      </c>
      <c r="E7" s="15">
        <f>(C7+D7)/2</f>
        <v/>
      </c>
      <c r="F7" s="16">
        <f>E7/Assumptions!$C$7-1</f>
        <v/>
      </c>
      <c r="G7" s="9" t="inlineStr">
        <is>
          <t>分部增速+10pct/净利率+1.5pct</t>
        </is>
      </c>
    </row>
    <row r="8">
      <c r="A8" s="3" t="inlineStr">
        <is>
          <t>相对估值 — 模型2026E归母</t>
        </is>
      </c>
      <c r="B8" s="13" t="inlineStr">
        <is>
          <t>PE 25x ~ 可比中位</t>
        </is>
      </c>
      <c r="C8" s="14">
        <f>Relative_Val!C12</f>
        <v/>
      </c>
      <c r="D8" s="14">
        <f>Relative_Val!C13</f>
        <v/>
      </c>
      <c r="E8" s="15">
        <f>(C8+D8)/2</f>
        <v/>
      </c>
      <c r="F8" s="16">
        <f>E8/Assumptions!$C$7-1</f>
        <v/>
      </c>
      <c r="G8" s="9" t="inlineStr">
        <is>
          <t>模型基准2026E归母×目标PE带</t>
        </is>
      </c>
    </row>
    <row r="9">
      <c r="A9" s="3" t="inlineStr">
        <is>
          <t>相对估值 — 一致预期2026E归母</t>
        </is>
      </c>
      <c r="B9" s="13" t="inlineStr">
        <is>
          <t>PE 25x ~ 可比中位</t>
        </is>
      </c>
      <c r="C9" s="14">
        <f>Relative_Val!C14</f>
        <v/>
      </c>
      <c r="D9" s="14">
        <f>Relative_Val!D14</f>
        <v/>
      </c>
      <c r="E9" s="15">
        <f>(C9+D9)/2</f>
        <v/>
      </c>
      <c r="F9" s="16">
        <f>E9/Assumptions!$C$7-1</f>
        <v/>
      </c>
      <c r="G9" s="9" t="inlineStr">
        <is>
          <t>一致预期8.0亿×目标PE带</t>
        </is>
      </c>
    </row>
    <row r="10">
      <c r="A10" s="3" t="inlineStr">
        <is>
          <t>FCFE股权现金流 — 基准</t>
        </is>
      </c>
      <c r="B10" s="13" t="inlineStr">
        <is>
          <t>Ke折现(股权口径)</t>
        </is>
      </c>
      <c r="C10" s="14">
        <f>FCFE!D18</f>
        <v/>
      </c>
      <c r="D10" s="14">
        <f>FCFE!D18</f>
        <v/>
      </c>
      <c r="E10" s="15">
        <f>(C10+D10)/2</f>
        <v/>
      </c>
      <c r="F10" s="16">
        <f>E10/Assumptions!$C$7-1</f>
        <v/>
      </c>
      <c r="G10" s="9" t="inlineStr">
        <is>
          <t>FCFE=归母+D&amp;A-ΔNWC-Capex+净新增借款(FIN调度), 与FCFF双视图对照</t>
        </is>
      </c>
    </row>
    <row r="11">
      <c r="A11" s="3" t="inlineStr">
        <is>
          <t>现价 (2026-08-17)</t>
        </is>
      </c>
      <c r="C11" s="14">
        <f>Assumptions!$C$7</f>
        <v/>
      </c>
      <c r="D11" s="14">
        <f>Assumptions!$C$7</f>
        <v/>
      </c>
      <c r="E11" s="14">
        <f>Assumptions!$C$7</f>
        <v/>
      </c>
    </row>
    <row r="12">
      <c r="A12" s="3" t="inlineStr">
        <is>
          <t>综合参考区间(全方法包络)</t>
        </is>
      </c>
      <c r="C12" s="17">
        <f>MIN(C5:C10)</f>
        <v/>
      </c>
      <c r="D12" s="17">
        <f>MAX(D5:D10)</f>
        <v/>
      </c>
      <c r="E12" s="17">
        <f>(C12+D12)/2</f>
        <v/>
      </c>
      <c r="F12" s="18">
        <f>E12/Assumptions!$C$7-1</f>
        <v/>
      </c>
      <c r="G12" s="11" t="inlineStr">
        <is>
          <t>熊简化法DCF下限 ~ 牛简化法/相对估值上限的包络</t>
        </is>
      </c>
    </row>
    <row r="14" ht="16" customHeight="1">
      <c r="A14" s="19" t="inlineStr">
        <is>
          <t>区间可视化 (每个▮≈10元, 起点=区间低值)</t>
        </is>
      </c>
    </row>
    <row r="15">
      <c r="A15" s="3" t="inlineStr">
        <is>
          <t>方法</t>
        </is>
      </c>
      <c r="B15" s="3" t="inlineStr">
        <is>
          <t>区间条(低→高, 括号为现价相对位置)</t>
        </is>
      </c>
    </row>
    <row r="16">
      <c r="A16" s="11" t="inlineStr">
        <is>
          <t>DCF绝对估值 — 基准</t>
        </is>
      </c>
      <c r="B16" s="20">
        <f>REPT("▮",MAX(1,ROUND((D5-C5)/10,0)))&amp;"  ["&amp;TEXT(C5,"0")&amp;"—"&amp;TEXT(D5,"0")&amp;"]"</f>
        <v/>
      </c>
    </row>
    <row r="17">
      <c r="A17" s="11" t="inlineStr">
        <is>
          <t>DCF绝对估值 — 熊市</t>
        </is>
      </c>
      <c r="B17" s="20">
        <f>REPT("▮",MAX(1,ROUND((D6-C6)/10,0)))&amp;"  ["&amp;TEXT(C6,"0")&amp;"—"&amp;TEXT(D6,"0")&amp;"]"</f>
        <v/>
      </c>
    </row>
    <row r="18">
      <c r="A18" s="11" t="inlineStr">
        <is>
          <t>DCF绝对估值 — 牛市</t>
        </is>
      </c>
      <c r="B18" s="20">
        <f>REPT("▮",MAX(1,ROUND((D7-C7)/10,0)))&amp;"  ["&amp;TEXT(C7,"0")&amp;"—"&amp;TEXT(D7,"0")&amp;"]"</f>
        <v/>
      </c>
    </row>
    <row r="19">
      <c r="A19" s="11" t="inlineStr">
        <is>
          <t>相对估值 — 模型2026E归母</t>
        </is>
      </c>
      <c r="B19" s="20">
        <f>REPT("▮",MAX(1,ROUND((D8-C8)/10,0)))&amp;"  ["&amp;TEXT(C8,"0")&amp;"—"&amp;TEXT(D8,"0")&amp;"]"</f>
        <v/>
      </c>
    </row>
    <row r="20">
      <c r="A20" s="11" t="inlineStr">
        <is>
          <t>相对估值 — 一致预期2026E归母</t>
        </is>
      </c>
      <c r="B20" s="20">
        <f>REPT("▮",MAX(1,ROUND((D9-C9)/10,0)))&amp;"  ["&amp;TEXT(C9,"0")&amp;"—"&amp;TEXT(D9,"0")&amp;"]"</f>
        <v/>
      </c>
    </row>
    <row r="21">
      <c r="A21" s="11" t="inlineStr">
        <is>
          <t>FCFE股权现金流 — 基准</t>
        </is>
      </c>
      <c r="B21" s="20">
        <f>REPT("▮",MAX(1,ROUND((D10-C10)/10,0)))&amp;"  ["&amp;TEXT(C10,"0")&amp;"—"&amp;TEXT(D10,"0")&amp;"]"</f>
        <v/>
      </c>
    </row>
    <row r="23">
      <c r="A23" s="3" t="inlineStr">
        <is>
          <t>关键假设提示</t>
        </is>
      </c>
      <c r="B23" s="9" t="inlineStr">
        <is>
          <t>WACC采用值与可比beta联动(Assumptions第十节); 三情景主模型切换见Assumptions情景开关; 校验状态见Checks页</t>
        </is>
      </c>
    </row>
  </sheetData>
  <mergeCells count="10">
    <mergeCell ref="B16:G16"/>
    <mergeCell ref="B19:G19"/>
    <mergeCell ref="B20:G20"/>
    <mergeCell ref="A2:H2"/>
    <mergeCell ref="B17:G17"/>
    <mergeCell ref="B23:G23"/>
    <mergeCell ref="A14:H14"/>
    <mergeCell ref="B18:G18"/>
    <mergeCell ref="A1:H1"/>
    <mergeCell ref="B21:G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95" customWidth="1" min="8" max="8"/>
  </cols>
  <sheetData>
    <row r="1" ht="24" customHeight="1">
      <c r="A1" s="10" t="inlineStr">
        <is>
          <t>中芯国际(00981.HK) — Assumptions 驱动总表</t>
        </is>
      </c>
    </row>
    <row r="2" ht="14" customHeight="1">
      <c r="A2" s="11" t="inlineStr">
        <is>
          <t>单位: 美元百万元(财报口径)(除标注外) | 蓝色=输入/假设, 绿色=外部数据, 黑色=公式 | 数据日期: 2026-08-17</t>
        </is>
      </c>
    </row>
    <row r="4" ht="16" customHeight="1">
      <c r="A4" s="19" t="inlineStr">
        <is>
          <t>一、全局与市场数据</t>
        </is>
      </c>
    </row>
    <row r="5">
      <c r="A5" s="4" t="inlineStr">
        <is>
          <t>情景开关 (1=熊/2=基准/3=牛)</t>
        </is>
      </c>
      <c r="B5" s="21" t="inlineStr">
        <is>
          <t>-</t>
        </is>
      </c>
      <c r="C5" s="22" t="n">
        <v>2</v>
      </c>
      <c r="H5" s="9" t="inlineStr">
        <is>
          <t>三情景总开关, 驱动Revenue_Segments分部增速与毛利率、进而贯穿IS/BS/CF/DCF; 默认2=基准</t>
        </is>
      </c>
    </row>
    <row r="6">
      <c r="A6" s="4" t="inlineStr">
        <is>
          <t>估值基准日 / 行情数据日期</t>
        </is>
      </c>
      <c r="C6" s="23" t="inlineStr">
        <is>
          <t>2026-08-17</t>
        </is>
      </c>
      <c r="H6" s="11" t="inlineStr">
        <is>
          <t>现价与可比公司市值均为2026-08-17收盘(腾讯行情); DCF采用年中折现(见DCF页)</t>
        </is>
      </c>
    </row>
    <row r="7">
      <c r="A7" s="4" t="inlineStr">
        <is>
          <t>现价</t>
        </is>
      </c>
      <c r="B7" s="21" t="inlineStr">
        <is>
          <t>元/股</t>
        </is>
      </c>
      <c r="C7" s="24" t="n">
        <v>9.6218</v>
      </c>
      <c r="H7" s="9" t="inlineStr">
        <is>
          <t>2026-08-17腾讯行情港元现价75.05 / fx7.8=9.6218美元</t>
        </is>
      </c>
    </row>
    <row r="8">
      <c r="A8" s="4" t="inlineStr">
        <is>
          <t>总股本</t>
        </is>
      </c>
      <c r="B8" s="21" t="inlineStr">
        <is>
          <t>百万股</t>
        </is>
      </c>
      <c r="C8" s="25" t="n">
        <v>8561.1</v>
      </c>
      <c r="H8" s="9" t="inlineStr">
        <is>
          <t>总市值6425.1亿港元/港元现价(腾讯行情 2026-08-17); 港股总市值=全部股本×港元价, 与A+H实际口径有差异</t>
        </is>
      </c>
    </row>
    <row r="9">
      <c r="A9" s="4" t="inlineStr">
        <is>
          <t>总市值</t>
        </is>
      </c>
      <c r="B9" s="21" t="inlineStr">
        <is>
          <t>百万</t>
        </is>
      </c>
      <c r="C9" s="26">
        <f>C7*C8</f>
        <v/>
      </c>
      <c r="H9" s="11" t="inlineStr">
        <is>
          <t>＝现价×总股本, 约824亿元, 与行情软件一致</t>
        </is>
      </c>
    </row>
    <row r="11" ht="16" customHeight="1">
      <c r="A11" s="19" t="inlineStr">
        <is>
          <t>二、市场一致预期与最新财报 (外部数据, 绿色)</t>
        </is>
      </c>
    </row>
    <row r="12">
      <c r="A12" s="4" t="inlineStr">
        <is>
          <t>一致预期2026E营收</t>
        </is>
      </c>
      <c r="B12" s="21" t="inlineStr">
        <is>
          <t>百万</t>
        </is>
      </c>
      <c r="C12" s="25" t="n">
        <v>10833.2</v>
      </c>
      <c r="H12" s="9" t="inlineStr">
        <is>
          <t>自动推导(无一致预期输入): 最近年报收入×(1+YoY+16.2%)退坡; 建议手工填入</t>
        </is>
      </c>
    </row>
    <row r="13">
      <c r="A13" s="4" t="inlineStr">
        <is>
          <t>一致预期2026E归母净利</t>
        </is>
      </c>
      <c r="B13" s="21" t="inlineStr">
        <is>
          <t>百万</t>
        </is>
      </c>
      <c r="C13" s="25" t="n">
        <v>795.8</v>
      </c>
      <c r="H13" s="9" t="inlineStr">
        <is>
          <t>自动推导(无一致预期输入): 收入×最近年报净利率7.3%; 建议手工填入</t>
        </is>
      </c>
    </row>
    <row r="14">
      <c r="A14" s="4" t="inlineStr">
        <is>
          <t>一致预期2027E营收</t>
        </is>
      </c>
      <c r="B14" s="21" t="inlineStr">
        <is>
          <t>百万</t>
        </is>
      </c>
      <c r="C14" s="25" t="n">
        <v>10456.6</v>
      </c>
      <c r="H14" s="9" t="inlineStr">
        <is>
          <t>自动推导(无一致预期输入): 最近年报收入×(1+YoY+16.2%)退坡; 建议手工填入</t>
        </is>
      </c>
    </row>
    <row r="15">
      <c r="A15" s="4" t="inlineStr">
        <is>
          <t>一致预期2027E归母净利</t>
        </is>
      </c>
      <c r="B15" s="21" t="inlineStr">
        <is>
          <t>百万</t>
        </is>
      </c>
      <c r="C15" s="25" t="n">
        <v>768.1</v>
      </c>
      <c r="H15" s="9" t="inlineStr">
        <is>
          <t>自动推导(无一致预期输入): 收入×最近年报净利率7.3%; 建议手工填入</t>
        </is>
      </c>
    </row>
    <row r="16">
      <c r="A16" s="4" t="inlineStr">
        <is>
          <t>一致预期2028E营收</t>
        </is>
      </c>
      <c r="B16" s="21" t="inlineStr">
        <is>
          <t>百万</t>
        </is>
      </c>
      <c r="C16" s="25" t="n">
        <v>10155.3</v>
      </c>
      <c r="H16" s="9" t="inlineStr">
        <is>
          <t>自动推导(无一致预期输入): 最近年报收入×(1+YoY+16.2%)退坡; 建议手工填入</t>
        </is>
      </c>
    </row>
    <row r="17">
      <c r="A17" s="4" t="inlineStr">
        <is>
          <t>一致预期2028E归母净利</t>
        </is>
      </c>
      <c r="B17" s="21" t="inlineStr">
        <is>
          <t>百万</t>
        </is>
      </c>
      <c r="C17" s="25" t="n">
        <v>746</v>
      </c>
      <c r="H17" s="9" t="inlineStr">
        <is>
          <t>自动推导(无一致预期输入): 收入×最近年报净利率7.3%; 建议手工填入</t>
        </is>
      </c>
    </row>
    <row r="19" ht="16" customHeight="1">
      <c r="A19" s="19" t="inlineStr">
        <is>
          <t>三、分部收入驱动 — 量/价增速 (蓝色输入, 2026E-2030E)</t>
        </is>
      </c>
    </row>
    <row r="20">
      <c r="A20" s="3" t="inlineStr">
        <is>
          <t>年份</t>
        </is>
      </c>
      <c r="C20" s="27" t="inlineStr">
        <is>
          <t>2026E</t>
        </is>
      </c>
      <c r="D20" s="27" t="inlineStr">
        <is>
          <t>2027E</t>
        </is>
      </c>
      <c r="E20" s="27" t="inlineStr">
        <is>
          <t>2028E</t>
        </is>
      </c>
      <c r="F20" s="27" t="inlineStr">
        <is>
          <t>2029E</t>
        </is>
      </c>
      <c r="G20" s="27" t="inlineStr">
        <is>
          <t>2030E</t>
        </is>
      </c>
      <c r="H20" s="3" t="inlineStr">
        <is>
          <t>假设依据 / 来源</t>
        </is>
      </c>
    </row>
    <row r="21">
      <c r="A21" s="4" t="inlineStr">
        <is>
          <t>整体 收入增速</t>
        </is>
      </c>
      <c r="B21" s="21" t="inlineStr">
        <is>
          <t>%</t>
        </is>
      </c>
      <c r="C21" s="28" t="n">
        <v>0.1615</v>
      </c>
      <c r="D21" s="28" t="n">
        <v>0.1211</v>
      </c>
      <c r="E21" s="28" t="n">
        <v>0.0888</v>
      </c>
      <c r="F21" s="28" t="n">
        <v>0.0646</v>
      </c>
      <c r="G21" s="28" t="n">
        <v>0.0485</v>
      </c>
      <c r="H21" s="9" t="inlineStr">
        <is>
          <t>自动推导: 最近年报总收入YoY=+16.2%(截断[-15%,35%])逐年退坡×1/.75/.55/.40/.30; 建议按研究修正</t>
        </is>
      </c>
    </row>
    <row r="23" ht="16" customHeight="1">
      <c r="A23" s="19" t="inlineStr">
        <is>
          <t>四、分部毛利率 (蓝色输入)</t>
        </is>
      </c>
    </row>
    <row r="24">
      <c r="A24" s="4" t="inlineStr">
        <is>
          <t>整体 毛利率</t>
        </is>
      </c>
      <c r="B24" s="21" t="inlineStr">
        <is>
          <t>%</t>
        </is>
      </c>
      <c r="C24" s="28" t="n">
        <v>0.2098</v>
      </c>
      <c r="D24" s="28" t="n">
        <v>0.2098</v>
      </c>
      <c r="E24" s="28" t="n">
        <v>0.2098</v>
      </c>
      <c r="F24" s="28" t="n">
        <v>0.2098</v>
      </c>
      <c r="G24" s="28" t="n">
        <v>0.2098</v>
      </c>
      <c r="H24" s="9" t="inlineStr">
        <is>
          <t>自动推导: 最近年报综合毛利率21.0%持平; 建议按研究修正</t>
        </is>
      </c>
    </row>
    <row r="26" ht="16" customHeight="1">
      <c r="A26" s="19" t="inlineStr">
        <is>
          <t>五、费用率 / 其他损益 / 税率</t>
        </is>
      </c>
    </row>
    <row r="27">
      <c r="A27" s="4" t="inlineStr">
        <is>
          <t>税金及附加率</t>
        </is>
      </c>
      <c r="B27" s="21" t="inlineStr">
        <is>
          <t>%</t>
        </is>
      </c>
      <c r="C27" s="28" t="n">
        <v>0</v>
      </c>
      <c r="D27" s="28" t="n">
        <v>0</v>
      </c>
      <c r="E27" s="28" t="n">
        <v>0</v>
      </c>
      <c r="F27" s="28" t="n">
        <v>0</v>
      </c>
      <c r="G27" s="28" t="n">
        <v>0</v>
      </c>
      <c r="H27" s="9" t="inlineStr">
        <is>
          <t>自动推导: 最近年报税金及附加率0.00%持平</t>
        </is>
      </c>
    </row>
    <row r="28">
      <c r="A28" s="4" t="inlineStr">
        <is>
          <t>销售费用率</t>
        </is>
      </c>
      <c r="B28" s="21" t="inlineStr">
        <is>
          <t>%</t>
        </is>
      </c>
      <c r="C28" s="28" t="n">
        <v>0.0046</v>
      </c>
      <c r="D28" s="28" t="n">
        <v>0.0046</v>
      </c>
      <c r="E28" s="28" t="n">
        <v>0.0046</v>
      </c>
      <c r="F28" s="28" t="n">
        <v>0.0046</v>
      </c>
      <c r="G28" s="28" t="n">
        <v>0.0046</v>
      </c>
      <c r="H28" s="9" t="inlineStr">
        <is>
          <t>自动推导: 最近年报销售费用率持平</t>
        </is>
      </c>
    </row>
    <row r="29">
      <c r="A29" s="4" t="inlineStr">
        <is>
          <t>管理费用率</t>
        </is>
      </c>
      <c r="B29" s="21" t="inlineStr">
        <is>
          <t>%</t>
        </is>
      </c>
      <c r="C29" s="28" t="n">
        <v>0.0564</v>
      </c>
      <c r="D29" s="28" t="n">
        <v>0.0564</v>
      </c>
      <c r="E29" s="28" t="n">
        <v>0.0564</v>
      </c>
      <c r="F29" s="28" t="n">
        <v>0.0564</v>
      </c>
      <c r="G29" s="28" t="n">
        <v>0.0564</v>
      </c>
      <c r="H29" s="9" t="inlineStr">
        <is>
          <t>自动推导: 最近年报管理费用率持平</t>
        </is>
      </c>
    </row>
    <row r="30">
      <c r="A30" s="4" t="inlineStr">
        <is>
          <t>研发费用率</t>
        </is>
      </c>
      <c r="B30" s="21" t="inlineStr">
        <is>
          <t>%</t>
        </is>
      </c>
      <c r="C30" s="28" t="n">
        <v>0.0829</v>
      </c>
      <c r="D30" s="28" t="n">
        <v>0.0829</v>
      </c>
      <c r="E30" s="28" t="n">
        <v>0.0829</v>
      </c>
      <c r="F30" s="28" t="n">
        <v>0.0829</v>
      </c>
      <c r="G30" s="28" t="n">
        <v>0.0829</v>
      </c>
      <c r="H30" s="9" t="inlineStr">
        <is>
          <t>自动推导: 最近年报研发费用率持平</t>
        </is>
      </c>
    </row>
    <row r="31">
      <c r="A31" s="4" t="inlineStr">
        <is>
          <t>其他经营损益</t>
        </is>
      </c>
      <c r="B31" s="21" t="inlineStr">
        <is>
          <t>百万</t>
        </is>
      </c>
      <c r="C31" s="29" t="n">
        <v>471.2</v>
      </c>
      <c r="D31" s="29" t="n">
        <v>471.2</v>
      </c>
      <c r="E31" s="29" t="n">
        <v>471.2</v>
      </c>
      <c r="F31" s="29" t="n">
        <v>471.2</v>
      </c>
      <c r="G31" s="29" t="n">
        <v>471.2</v>
      </c>
      <c r="H31" s="9" t="inlineStr">
        <is>
          <t>自动推导: 最近年报其他经营损益(轧差项)持平</t>
        </is>
      </c>
    </row>
    <row r="32">
      <c r="A32" s="4" t="inlineStr">
        <is>
          <t>营业外收支净额</t>
        </is>
      </c>
      <c r="B32" s="21" t="inlineStr">
        <is>
          <t>百万</t>
        </is>
      </c>
      <c r="C32" s="29" t="n">
        <v>-36.7</v>
      </c>
      <c r="D32" s="29" t="n">
        <v>-36.7</v>
      </c>
      <c r="E32" s="29" t="n">
        <v>-36.7</v>
      </c>
      <c r="F32" s="29" t="n">
        <v>-36.7</v>
      </c>
      <c r="G32" s="29" t="n">
        <v>-36.7</v>
      </c>
      <c r="H32" s="9" t="inlineStr">
        <is>
          <t>自动推导: 最近年报营业外收支净额持平</t>
        </is>
      </c>
    </row>
    <row r="33">
      <c r="A33" s="4" t="inlineStr">
        <is>
          <t>有效税率</t>
        </is>
      </c>
      <c r="B33" s="21" t="inlineStr">
        <is>
          <t>%</t>
        </is>
      </c>
      <c r="C33" s="28" t="n">
        <v>0.1096</v>
      </c>
      <c r="D33" s="28" t="n">
        <v>0.1096</v>
      </c>
      <c r="E33" s="28" t="n">
        <v>0.1096</v>
      </c>
      <c r="F33" s="28" t="n">
        <v>0.1096</v>
      </c>
      <c r="G33" s="28" t="n">
        <v>0.1096</v>
      </c>
      <c r="H33" s="9" t="inlineStr">
        <is>
          <t>自动推导: 最近年报有效税率11.0%(截断[5%,25%])持平</t>
        </is>
      </c>
    </row>
    <row r="34">
      <c r="A34" s="4" t="inlineStr">
        <is>
          <t>其他及财务费用率合计(情景页用)</t>
        </is>
      </c>
      <c r="B34" s="21" t="inlineStr">
        <is>
          <t>%</t>
        </is>
      </c>
      <c r="C34" s="28" t="n">
        <v>-0.0027</v>
      </c>
      <c r="H34" s="9" t="inlineStr">
        <is>
          <t>自动推导: 最近年报财务费用率, 供Scenarios页简化净利率计算</t>
        </is>
      </c>
    </row>
    <row r="36" ht="16" customHeight="1">
      <c r="A36" s="19" t="inlineStr">
        <is>
          <t>六、营运资本天数</t>
        </is>
      </c>
    </row>
    <row r="37">
      <c r="A37" s="4" t="inlineStr">
        <is>
          <t>DSO 应收(票据+账款)天数</t>
        </is>
      </c>
      <c r="B37" s="21" t="inlineStr">
        <is>
          <t>天</t>
        </is>
      </c>
      <c r="C37" s="30" t="n">
        <v>56</v>
      </c>
      <c r="D37" s="30" t="n">
        <v>56</v>
      </c>
      <c r="E37" s="30" t="n">
        <v>56</v>
      </c>
      <c r="F37" s="30" t="n">
        <v>56</v>
      </c>
      <c r="G37" s="30" t="n">
        <v>56</v>
      </c>
      <c r="H37" s="9" t="inlineStr">
        <is>
          <t>自动推导: 最近年报DSO 56天持平</t>
        </is>
      </c>
    </row>
    <row r="38">
      <c r="A38" s="4" t="inlineStr">
        <is>
          <t>DIO 存货天数</t>
        </is>
      </c>
      <c r="B38" s="21" t="inlineStr">
        <is>
          <t>天</t>
        </is>
      </c>
      <c r="C38" s="30" t="n">
        <v>180</v>
      </c>
      <c r="D38" s="30" t="n">
        <v>180</v>
      </c>
      <c r="E38" s="30" t="n">
        <v>180</v>
      </c>
      <c r="F38" s="30" t="n">
        <v>180</v>
      </c>
      <c r="G38" s="30" t="n">
        <v>180</v>
      </c>
      <c r="H38" s="9" t="inlineStr">
        <is>
          <t>自动推导: 最近年报DIO 180天持平</t>
        </is>
      </c>
    </row>
    <row r="39">
      <c r="A39" s="4" t="inlineStr">
        <is>
          <t>DPO 应付(票据+账款)天数</t>
        </is>
      </c>
      <c r="B39" s="21" t="inlineStr">
        <is>
          <t>天</t>
        </is>
      </c>
      <c r="C39" s="30" t="n">
        <v>147</v>
      </c>
      <c r="D39" s="30" t="n">
        <v>147</v>
      </c>
      <c r="E39" s="30" t="n">
        <v>147</v>
      </c>
      <c r="F39" s="30" t="n">
        <v>147</v>
      </c>
      <c r="G39" s="30" t="n">
        <v>147</v>
      </c>
      <c r="H39" s="9" t="inlineStr">
        <is>
          <t>自动推导: 最近年报DPO 147天持平</t>
        </is>
      </c>
    </row>
    <row r="40">
      <c r="A40" s="4" t="inlineStr">
        <is>
          <t>预付款项/收入</t>
        </is>
      </c>
      <c r="B40" s="21" t="inlineStr">
        <is>
          <t>%</t>
        </is>
      </c>
      <c r="C40" s="28" t="n">
        <v>0.0072</v>
      </c>
      <c r="D40" s="28" t="n">
        <v>0.0072</v>
      </c>
      <c r="E40" s="28" t="n">
        <v>0.0072</v>
      </c>
      <c r="F40" s="28" t="n">
        <v>0.0072</v>
      </c>
      <c r="G40" s="28" t="n">
        <v>0.0072</v>
      </c>
      <c r="H40" s="9" t="inlineStr">
        <is>
          <t>自动推导: 最近年报预付/收入持平</t>
        </is>
      </c>
    </row>
    <row r="41">
      <c r="A41" s="4" t="inlineStr">
        <is>
          <t>应付职工薪酬/收入</t>
        </is>
      </c>
      <c r="B41" s="21" t="inlineStr">
        <is>
          <t>%</t>
        </is>
      </c>
      <c r="C41" s="28" t="n">
        <v>0</v>
      </c>
      <c r="D41" s="28" t="n">
        <v>0</v>
      </c>
      <c r="E41" s="28" t="n">
        <v>0</v>
      </c>
      <c r="F41" s="28" t="n">
        <v>0</v>
      </c>
      <c r="G41" s="28" t="n">
        <v>0</v>
      </c>
      <c r="H41" s="9" t="inlineStr">
        <is>
          <t>自动推导: 最近年报应付职工薪酬/收入持平</t>
        </is>
      </c>
    </row>
    <row r="42">
      <c r="A42" s="4" t="inlineStr">
        <is>
          <t>应交税费/收入</t>
        </is>
      </c>
      <c r="B42" s="21" t="inlineStr">
        <is>
          <t>%</t>
        </is>
      </c>
      <c r="C42" s="28" t="n">
        <v>0.0036</v>
      </c>
      <c r="D42" s="28" t="n">
        <v>0.0036</v>
      </c>
      <c r="E42" s="28" t="n">
        <v>0.0036</v>
      </c>
      <c r="F42" s="28" t="n">
        <v>0.0036</v>
      </c>
      <c r="G42" s="28" t="n">
        <v>0.0036</v>
      </c>
      <c r="H42" s="9" t="inlineStr">
        <is>
          <t>自动推导: 最近年报应交税费/收入持平</t>
        </is>
      </c>
    </row>
    <row r="44" ht="16" customHeight="1">
      <c r="A44" s="19" t="inlineStr">
        <is>
          <t>七、资本开支与折旧摊销 (PP&amp;E页驱动)</t>
        </is>
      </c>
    </row>
    <row r="45">
      <c r="A45" s="4" t="inlineStr">
        <is>
          <t>Capex占收入比</t>
        </is>
      </c>
      <c r="B45" s="21" t="inlineStr">
        <is>
          <t>%</t>
        </is>
      </c>
      <c r="C45" s="28" t="n">
        <v>0.35</v>
      </c>
      <c r="D45" s="28" t="n">
        <v>0.2975</v>
      </c>
      <c r="E45" s="28" t="n">
        <v>0.245</v>
      </c>
      <c r="F45" s="28" t="n">
        <v>0.21</v>
      </c>
      <c r="G45" s="28" t="n">
        <v>0.175</v>
      </c>
      <c r="H45" s="9" t="inlineStr">
        <is>
          <t>自动推导: 最近年报Capex/收入90.1%(上限35%)逐年退坡×1/.85/.70/.60/.50</t>
        </is>
      </c>
    </row>
    <row r="46">
      <c r="A46" s="4" t="inlineStr">
        <is>
          <t>在建工程转固率</t>
        </is>
      </c>
      <c r="B46" s="21" t="inlineStr">
        <is>
          <t>%</t>
        </is>
      </c>
      <c r="C46" s="28" t="n">
        <v>0.75</v>
      </c>
      <c r="H46" s="9" t="inlineStr">
        <is>
          <t>通用默认: 当年转固=(期初在建+当年Capex)×75%</t>
        </is>
      </c>
    </row>
    <row r="47">
      <c r="A47" s="4" t="inlineStr">
        <is>
          <t>固定资产折旧率(期初净值)</t>
        </is>
      </c>
      <c r="B47" s="21" t="inlineStr">
        <is>
          <t>%</t>
        </is>
      </c>
      <c r="C47" s="28" t="n">
        <v>0.12</v>
      </c>
      <c r="H47" s="9" t="inlineStr">
        <is>
          <t>通用默认: 固定资产净值口径12%</t>
        </is>
      </c>
    </row>
    <row r="48">
      <c r="A48" s="4" t="inlineStr">
        <is>
          <t>当年转固部分折旧率</t>
        </is>
      </c>
      <c r="B48" s="21" t="inlineStr">
        <is>
          <t>%</t>
        </is>
      </c>
      <c r="C48" s="28" t="n">
        <v>0.04</v>
      </c>
      <c r="H48" s="9" t="inlineStr">
        <is>
          <t>通用默认: 转固按约半年投产计提</t>
        </is>
      </c>
    </row>
    <row r="49">
      <c r="A49" s="4" t="inlineStr">
        <is>
          <t>固定资产处置率(期初净值)</t>
        </is>
      </c>
      <c r="B49" s="21" t="inlineStr">
        <is>
          <t>%</t>
        </is>
      </c>
      <c r="C49" s="28" t="n">
        <v>0.01</v>
      </c>
      <c r="H49" s="9" t="inlineStr">
        <is>
          <t>通用默认: 处置率1%</t>
        </is>
      </c>
    </row>
    <row r="50">
      <c r="A50" s="4" t="inlineStr">
        <is>
          <t>无形资产摊销率(期初)</t>
        </is>
      </c>
      <c r="B50" s="21" t="inlineStr">
        <is>
          <t>%</t>
        </is>
      </c>
      <c r="C50" s="28" t="n">
        <v>0.08</v>
      </c>
      <c r="H50" s="9" t="inlineStr">
        <is>
          <t>通用默认: 无形资产摊销率8%</t>
        </is>
      </c>
    </row>
    <row r="52" ht="16" customHeight="1">
      <c r="A52" s="19" t="inlineStr">
        <is>
          <t>八、股利与盈余公积</t>
        </is>
      </c>
    </row>
    <row r="53">
      <c r="A53" s="4" t="inlineStr">
        <is>
          <t>股利支付率(按上年归母)</t>
        </is>
      </c>
      <c r="B53" s="21" t="inlineStr">
        <is>
          <t>%</t>
        </is>
      </c>
      <c r="C53" s="28" t="n">
        <v>0.3</v>
      </c>
      <c r="D53" s="28" t="n">
        <v>0.3</v>
      </c>
      <c r="E53" s="28" t="n">
        <v>0.3</v>
      </c>
      <c r="F53" s="28" t="n">
        <v>0.3</v>
      </c>
      <c r="G53" s="28" t="n">
        <v>0.3</v>
      </c>
      <c r="H53" s="9" t="inlineStr">
        <is>
          <t>通用默认: 股利支付率30%(按上年归母)</t>
        </is>
      </c>
    </row>
    <row r="54">
      <c r="A54" s="4" t="inlineStr">
        <is>
          <t>法定盈余公积计提率(按当年归母)</t>
        </is>
      </c>
      <c r="B54" s="21" t="inlineStr">
        <is>
          <t>%</t>
        </is>
      </c>
      <c r="C54" s="28" t="n">
        <v>0</v>
      </c>
      <c r="H54" s="9" t="inlineStr">
        <is>
          <t>IFRS无法定盈余公积科目, 计提率置0</t>
        </is>
      </c>
    </row>
    <row r="56" ht="16" customHeight="1">
      <c r="A56" s="19" t="inlineStr">
        <is>
          <t>九、债务与融资 (FIN页调度输入)</t>
        </is>
      </c>
    </row>
    <row r="57">
      <c r="A57" s="4" t="inlineStr">
        <is>
          <t>最低现金占收入比</t>
        </is>
      </c>
      <c r="B57" s="21" t="inlineStr">
        <is>
          <t>%</t>
        </is>
      </c>
      <c r="C57" s="28" t="n">
        <v>0.6</v>
      </c>
      <c r="H57" s="9" t="inlineStr">
        <is>
          <t>分析师修正: 2025年报货币资金5,872百万美元≈收入63%; 公司处扩产周期, 高额现金为资本开支储备, 不参与sweep偿债; 若按通用默认2%则期初存量现金被一次性sweep还债, FCFE首年机制性深负</t>
        </is>
      </c>
    </row>
    <row r="58">
      <c r="A58" s="4" t="inlineStr">
        <is>
          <t>短期借款(revolver)计划还款</t>
        </is>
      </c>
      <c r="B58" s="21" t="inlineStr">
        <is>
          <t>百万</t>
        </is>
      </c>
      <c r="C58" s="29" t="n">
        <v>0</v>
      </c>
      <c r="D58" s="29" t="n">
        <v>0</v>
      </c>
      <c r="E58" s="29" t="n">
        <v>0</v>
      </c>
      <c r="F58" s="29" t="n">
        <v>0</v>
      </c>
      <c r="G58" s="29" t="n">
        <v>0</v>
      </c>
      <c r="H58" s="9" t="inlineStr">
        <is>
          <t>通用默认: 短借为revolver, 无计划还款</t>
        </is>
      </c>
    </row>
    <row r="59">
      <c r="A59" s="4" t="inlineStr">
        <is>
          <t>一年内到期非流动负债计划还款</t>
        </is>
      </c>
      <c r="B59" s="21" t="inlineStr">
        <is>
          <t>百万</t>
        </is>
      </c>
      <c r="C59" s="29" t="n">
        <v>0</v>
      </c>
      <c r="D59" s="29" t="n">
        <v>0</v>
      </c>
      <c r="E59" s="29" t="n">
        <v>0</v>
      </c>
      <c r="F59" s="29" t="n">
        <v>0</v>
      </c>
      <c r="G59" s="29" t="n">
        <v>0</v>
      </c>
      <c r="H59" s="9" t="inlineStr">
        <is>
          <t>分析师修正: 扩产周期存量债务滚动续作(2023-2025年报有息负债余额稳定), 不做计划摊还; 超额现金由FIN页sweep调度</t>
        </is>
      </c>
    </row>
    <row r="60">
      <c r="A60" s="4" t="inlineStr">
        <is>
          <t>长期借款计划还款</t>
        </is>
      </c>
      <c r="B60" s="21" t="inlineStr">
        <is>
          <t>百万</t>
        </is>
      </c>
      <c r="C60" s="29" t="n">
        <v>0</v>
      </c>
      <c r="D60" s="29" t="n">
        <v>0</v>
      </c>
      <c r="E60" s="29" t="n">
        <v>0</v>
      </c>
      <c r="F60" s="29" t="n">
        <v>0</v>
      </c>
      <c r="G60" s="29" t="n">
        <v>0</v>
      </c>
      <c r="H60" s="9" t="inlineStr">
        <is>
          <t>分析师修正: 同上, 长期借款滚动续作(强制1/5摊还会使重资产标的FCFE机制性深负, 与公司实际再融资行为不符)</t>
        </is>
      </c>
    </row>
    <row r="61">
      <c r="A61" s="4" t="inlineStr">
        <is>
          <t>租赁负债计划还款</t>
        </is>
      </c>
      <c r="B61" s="21" t="inlineStr">
        <is>
          <t>百万</t>
        </is>
      </c>
      <c r="C61" s="29" t="n">
        <v>0</v>
      </c>
      <c r="D61" s="29" t="n">
        <v>0</v>
      </c>
      <c r="E61" s="29" t="n">
        <v>0</v>
      </c>
      <c r="F61" s="29" t="n">
        <v>0</v>
      </c>
      <c r="G61" s="29" t="n">
        <v>0</v>
      </c>
      <c r="H61" s="9" t="inlineStr">
        <is>
          <t>分析师修正: 租赁负债滚动续作, 不做计划摊还</t>
        </is>
      </c>
    </row>
    <row r="62">
      <c r="A62" s="4" t="inlineStr">
        <is>
          <t>短期借款利率</t>
        </is>
      </c>
      <c r="B62" s="21" t="inlineStr">
        <is>
          <t>%</t>
        </is>
      </c>
      <c r="C62" s="28" t="n">
        <v>0.03</v>
      </c>
      <c r="H62" s="9" t="inlineStr">
        <is>
          <t>通用默认: 一年期LPR附近</t>
        </is>
      </c>
    </row>
    <row r="63">
      <c r="A63" s="4" t="inlineStr">
        <is>
          <t>一年内到期非流动负债利率</t>
        </is>
      </c>
      <c r="B63" s="21" t="inlineStr">
        <is>
          <t>%</t>
        </is>
      </c>
      <c r="C63" s="28" t="n">
        <v>0.034</v>
      </c>
      <c r="H63" s="9" t="inlineStr">
        <is>
          <t>通用默认: 参照综合借款成本</t>
        </is>
      </c>
    </row>
    <row r="64">
      <c r="A64" s="4" t="inlineStr">
        <is>
          <t>长期借款利率</t>
        </is>
      </c>
      <c r="B64" s="21" t="inlineStr">
        <is>
          <t>%</t>
        </is>
      </c>
      <c r="C64" s="28" t="n">
        <v>0.037</v>
      </c>
      <c r="H64" s="9" t="inlineStr">
        <is>
          <t>通用默认: 项目贷略高</t>
        </is>
      </c>
    </row>
    <row r="65">
      <c r="A65" s="4" t="inlineStr">
        <is>
          <t>租赁负债利率</t>
        </is>
      </c>
      <c r="B65" s="21" t="inlineStr">
        <is>
          <t>%</t>
        </is>
      </c>
      <c r="C65" s="28" t="n">
        <v>0.045</v>
      </c>
      <c r="H65" s="9" t="inlineStr">
        <is>
          <t>通用默认: 租赁内含利率4-5%</t>
        </is>
      </c>
    </row>
    <row r="66">
      <c r="A66" s="4" t="inlineStr">
        <is>
          <t>货币资金收益率(按平均余额)</t>
        </is>
      </c>
      <c r="B66" s="21" t="inlineStr">
        <is>
          <t>%</t>
        </is>
      </c>
      <c r="C66" s="28" t="n">
        <v>0.012</v>
      </c>
      <c r="H66" s="9" t="inlineStr">
        <is>
          <t>通用默认: 活期+短期存款1.2%</t>
        </is>
      </c>
    </row>
    <row r="67">
      <c r="A67" s="4" t="inlineStr">
        <is>
          <t>其他财务费用(手续费/汇兑)</t>
        </is>
      </c>
      <c r="B67" s="21" t="inlineStr">
        <is>
          <t>百万</t>
        </is>
      </c>
      <c r="C67" s="29" t="n">
        <v>30</v>
      </c>
      <c r="H67" s="9" t="inlineStr">
        <is>
          <t>通用默认: 手续费/汇兑等30百万</t>
        </is>
      </c>
    </row>
    <row r="68">
      <c r="A68" s="4" t="inlineStr">
        <is>
          <t>2025A末有息负债合计</t>
        </is>
      </c>
      <c r="B68" s="21" t="inlineStr">
        <is>
          <t>百万</t>
        </is>
      </c>
      <c r="C68" s="25" t="n">
        <v>12596.2</v>
      </c>
      <c r="H68" s="11" t="inlineStr">
        <is>
          <t>＝短借2593.1+一年内7.5+长借9994.8+租赁0.8 (东财F10 2025年报); WACC的Wd市值口径引用本行</t>
        </is>
      </c>
    </row>
    <row r="70" ht="16" customHeight="1">
      <c r="A70" s="19" t="inlineStr">
        <is>
          <t>十、WACC 与终值 (全公式化, 联动Relative_Val可比beta)</t>
        </is>
      </c>
    </row>
    <row r="71">
      <c r="A71" s="4" t="inlineStr">
        <is>
          <t>无风险利率 rf</t>
        </is>
      </c>
      <c r="B71" s="21" t="inlineStr">
        <is>
          <t>%</t>
        </is>
      </c>
      <c r="C71" s="28" t="n">
        <v>0.04</v>
      </c>
      <c r="H71" s="9" t="inlineStr">
        <is>
          <t>通用默认(港股): 10年期美债收益率约4%(财报币种口径)</t>
        </is>
      </c>
    </row>
    <row r="72">
      <c r="A72" s="4" t="inlineStr">
        <is>
          <t>股权风险溢价 ERP</t>
        </is>
      </c>
      <c r="B72" s="21" t="inlineStr">
        <is>
          <t>%</t>
        </is>
      </c>
      <c r="C72" s="28" t="n">
        <v>0.055</v>
      </c>
      <c r="H72" s="9" t="inlineStr">
        <is>
          <t>通用默认: ERP中枢5.5%; 港股口径请按研究修正</t>
        </is>
      </c>
    </row>
    <row r="73">
      <c r="A73" s="4" t="inlineStr">
        <is>
          <t>可比公司无杠杆βu中位数</t>
        </is>
      </c>
      <c r="B73" s="21" t="inlineStr">
        <is>
          <t>x</t>
        </is>
      </c>
      <c r="C73" s="31" t="n">
        <v>1</v>
      </c>
      <c r="H73" s="11" t="inlineStr">
        <is>
          <t>兜底默认: 未配置可比公司, βu=1.0蓝色输入; 建议补relative_val.comps后自动取中位数</t>
        </is>
      </c>
    </row>
    <row r="74">
      <c r="A74" s="4" t="inlineStr">
        <is>
          <t>目标债务权重 Wd (市值口径)</t>
        </is>
      </c>
      <c r="B74" s="21" t="inlineStr">
        <is>
          <t>%</t>
        </is>
      </c>
      <c r="C74" s="16">
        <f>C68/(C68+C9)</f>
        <v/>
      </c>
      <c r="H74" s="11" t="inlineStr">
        <is>
          <t>＝2025A末有息负债/(有息负债+总市值): 以市值口径现状结构为目标结构</t>
        </is>
      </c>
    </row>
    <row r="75">
      <c r="A75" s="4" t="inlineStr">
        <is>
          <t>目标 D/E = Wd/(1-Wd)</t>
        </is>
      </c>
      <c r="B75" s="21" t="inlineStr">
        <is>
          <t>x</t>
        </is>
      </c>
      <c r="C75" s="32">
        <f>C74/(1-C74)</f>
        <v/>
      </c>
      <c r="H75" s="11" t="inlineStr">
        <is>
          <t>relever用目标产权比率</t>
        </is>
      </c>
    </row>
    <row r="76">
      <c r="A76" s="4" t="inlineStr">
        <is>
          <t>再杠杆βl = βu×(1+(1-t)×D/E)</t>
        </is>
      </c>
      <c r="B76" s="21" t="inlineStr">
        <is>
          <t>x</t>
        </is>
      </c>
      <c r="C76" s="32">
        <f>C73*(1+(1-C33)*C75)</f>
        <v/>
      </c>
      <c r="H76" s="11" t="inlineStr">
        <is>
          <t>Hamada公式, t=2026E有效税率</t>
        </is>
      </c>
    </row>
    <row r="77">
      <c r="A77" s="4" t="inlineStr">
        <is>
          <t>个股/执行风险溢价 (已删除=0)</t>
        </is>
      </c>
      <c r="B77" s="21" t="inlineStr">
        <is>
          <t>%</t>
        </is>
      </c>
      <c r="C77" s="28" t="n">
        <v>0</v>
      </c>
      <c r="H77" s="9" t="inlineStr">
        <is>
          <t>通用默认: 不取个股溢价(避免与β/情景重复计价)</t>
        </is>
      </c>
    </row>
    <row r="78">
      <c r="A78" s="4" t="inlineStr">
        <is>
          <t>股权成本 Ke = rf+βl×ERP+溢价</t>
        </is>
      </c>
      <c r="B78" s="21" t="inlineStr">
        <is>
          <t>%</t>
        </is>
      </c>
      <c r="C78" s="16">
        <f>C71+C76*C72+C77</f>
        <v/>
      </c>
      <c r="H78" s="11" t="inlineStr">
        <is>
          <t>CAPM公式(溢价默认为0)</t>
        </is>
      </c>
    </row>
    <row r="79">
      <c r="A79" s="4" t="inlineStr">
        <is>
          <t>债务成本 Kd</t>
        </is>
      </c>
      <c r="B79" s="21" t="inlineStr">
        <is>
          <t>%</t>
        </is>
      </c>
      <c r="C79" s="28" t="n">
        <v>0.034</v>
      </c>
      <c r="H79" s="9" t="inlineStr">
        <is>
          <t>通用默认: ≈债务加权平均利率</t>
        </is>
      </c>
    </row>
    <row r="80">
      <c r="A80" s="4" t="inlineStr">
        <is>
          <t>WACC (计算值)</t>
        </is>
      </c>
      <c r="B80" s="21" t="inlineStr">
        <is>
          <t>%</t>
        </is>
      </c>
      <c r="C80" s="16">
        <f>(1-C74)*C78+C74*C79*(1-C33)</f>
        <v/>
      </c>
      <c r="H80" s="11" t="inlineStr">
        <is>
          <t>＝(1-Wd)×Ke + Wd×Kd×(1-t)</t>
        </is>
      </c>
    </row>
    <row r="81">
      <c r="A81" s="4" t="inlineStr">
        <is>
          <t>WACC override (留空=用计算值)</t>
        </is>
      </c>
      <c r="B81" s="21" t="inlineStr">
        <is>
          <t>%</t>
        </is>
      </c>
      <c r="C81" s="28" t="n"/>
      <c r="H81" s="11" t="inlineStr">
        <is>
          <t>蓝色输入, 留空则采用上方计算值; 填入数值则覆盖(Checks页校验采用值=计算值或override非空)</t>
        </is>
      </c>
    </row>
    <row r="82">
      <c r="A82" s="4" t="inlineStr">
        <is>
          <t>WACC (采用值)</t>
        </is>
      </c>
      <c r="B82" s="21" t="inlineStr">
        <is>
          <t>%</t>
        </is>
      </c>
      <c r="C82" s="18">
        <f>IF(C81="",C80,C81)</f>
        <v/>
      </c>
      <c r="H82" s="11" t="inlineStr">
        <is>
          <t>＝IF(override="", 计算值, override); DCF/Sensitivity/Scenarios全部引用本行</t>
        </is>
      </c>
    </row>
    <row r="83">
      <c r="A83" s="4" t="inlineStr">
        <is>
          <t>永续增长率 g</t>
        </is>
      </c>
      <c r="B83" s="21" t="inlineStr">
        <is>
          <t>%</t>
        </is>
      </c>
      <c r="C83" s="28" t="n">
        <v>0.03</v>
      </c>
      <c r="H83" s="9" t="inlineStr">
        <is>
          <t>通用默认: 长期名义增速中枢下沿</t>
        </is>
      </c>
    </row>
    <row r="85" ht="16" customHeight="1">
      <c r="A85" s="19" t="inlineStr">
        <is>
          <t>十一、情景参数 (驱动情景开关 &amp; Scenarios页)</t>
        </is>
      </c>
    </row>
    <row r="86">
      <c r="A86" s="3" t="inlineStr">
        <is>
          <t>情景</t>
        </is>
      </c>
      <c r="C86" s="27" t="inlineStr">
        <is>
          <t>收入增速调整</t>
        </is>
      </c>
      <c r="D86" s="27" t="inlineStr">
        <is>
          <t>净利率调整</t>
        </is>
      </c>
      <c r="H86" s="3" t="inlineStr">
        <is>
          <t>情景逻辑</t>
        </is>
      </c>
    </row>
    <row r="87">
      <c r="A87" s="33" t="inlineStr">
        <is>
          <t>熊市 Bear</t>
        </is>
      </c>
      <c r="C87" s="28" t="n">
        <v>-0.15</v>
      </c>
      <c r="D87" s="28" t="n">
        <v>-0.03</v>
      </c>
      <c r="H87" s="11" t="inlineStr">
        <is>
          <t>通用默认: 分部增速-15pct, 净利率-3pct</t>
        </is>
      </c>
    </row>
    <row r="88">
      <c r="A88" s="3" t="inlineStr">
        <is>
          <t>基准 Base</t>
        </is>
      </c>
      <c r="C88" s="28" t="n">
        <v>0</v>
      </c>
      <c r="D88" s="28" t="n">
        <v>0</v>
      </c>
      <c r="H88" s="11" t="inlineStr">
        <is>
          <t>基准: 不调整</t>
        </is>
      </c>
    </row>
    <row r="89">
      <c r="A89" s="3" t="inlineStr">
        <is>
          <t>牛市 Bull</t>
        </is>
      </c>
      <c r="C89" s="28" t="n">
        <v>0.1</v>
      </c>
      <c r="D89" s="28" t="n">
        <v>0.015</v>
      </c>
      <c r="H89" s="11" t="inlineStr">
        <is>
          <t>通用默认: 分部增速+10pct, 净利率+1.5pct</t>
        </is>
      </c>
    </row>
  </sheetData>
  <mergeCells count="13">
    <mergeCell ref="A44:J44"/>
    <mergeCell ref="A85:J85"/>
    <mergeCell ref="A1:J1"/>
    <mergeCell ref="A23:J23"/>
    <mergeCell ref="A36:J36"/>
    <mergeCell ref="A56:J56"/>
    <mergeCell ref="A70:J70"/>
    <mergeCell ref="A4:J4"/>
    <mergeCell ref="A26:J26"/>
    <mergeCell ref="A2:J2"/>
    <mergeCell ref="A52:J52"/>
    <mergeCell ref="A19:J19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90" customWidth="1" min="10" max="10"/>
  </cols>
  <sheetData>
    <row r="1" ht="24" customHeight="1">
      <c r="A1" s="10" t="inlineStr">
        <is>
          <t>中芯国际 — Revenue_Segments 分业务收入拆解 (量×价驱动)</t>
        </is>
      </c>
    </row>
    <row r="2" ht="14" customHeight="1">
      <c r="A2" s="11" t="inlineStr">
        <is>
          <t>单位: 美元百万元(财报口径) | 历史收入=产品占比×总收入; 预测收入=上年×(1+量增速)×(1+价增速), 增速引用Assumptions并受情景开关调整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 / 来源</t>
        </is>
      </c>
    </row>
    <row r="4">
      <c r="A4" s="4" t="inlineStr">
        <is>
          <t>营业收入合计(历史实际)</t>
        </is>
      </c>
      <c r="B4" s="25" t="n">
        <v>6321.6</v>
      </c>
      <c r="C4" s="25" t="n">
        <v>8029.9</v>
      </c>
      <c r="D4" s="25" t="n">
        <v>9326.799999999999</v>
      </c>
      <c r="J4" s="11" t="inlineStr">
        <is>
          <t>东财F10利润表: 2023-2025实际营收</t>
        </is>
      </c>
    </row>
    <row r="5" ht="16" customHeight="1">
      <c r="A5" s="19" t="inlineStr">
        <is>
          <t>整体业务(单段简化)</t>
        </is>
      </c>
    </row>
    <row r="6">
      <c r="A6" s="4" t="inlineStr">
        <is>
          <t>收入</t>
        </is>
      </c>
      <c r="B6" s="26">
        <f>B7*B$4</f>
        <v/>
      </c>
      <c r="C6" s="26">
        <f>C7*C$4</f>
        <v/>
      </c>
      <c r="D6" s="26">
        <f>D7*D$4</f>
        <v/>
      </c>
      <c r="E6" s="26">
        <f>D6*(1+E8)</f>
        <v/>
      </c>
      <c r="F6" s="26">
        <f>E6*(1+F8)</f>
        <v/>
      </c>
      <c r="G6" s="26">
        <f>F6*(1+G8)</f>
        <v/>
      </c>
      <c r="H6" s="26">
        <f>G6*(1+H8)</f>
        <v/>
      </c>
      <c r="I6" s="26">
        <f>H6*(1+I8)</f>
        <v/>
      </c>
    </row>
    <row r="7">
      <c r="A7" s="4" t="inlineStr">
        <is>
          <t xml:space="preserve">  收入占比</t>
        </is>
      </c>
      <c r="B7" s="34" t="n">
        <v>1</v>
      </c>
      <c r="C7" s="34" t="n">
        <v>1</v>
      </c>
      <c r="D7" s="34" t="n">
        <v>1</v>
      </c>
      <c r="E7" s="16">
        <f>E6/E13</f>
        <v/>
      </c>
      <c r="F7" s="16">
        <f>F6/F13</f>
        <v/>
      </c>
      <c r="G7" s="16">
        <f>G6/G13</f>
        <v/>
      </c>
      <c r="H7" s="16">
        <f>H6/H13</f>
        <v/>
      </c>
      <c r="I7" s="16">
        <f>I6/I13</f>
        <v/>
      </c>
      <c r="J7" s="11" t="inlineStr">
        <is>
          <t>港股无东财主营构成(按产品)披露, 单段=总收入100%</t>
        </is>
      </c>
    </row>
    <row r="8">
      <c r="A8" s="4" t="inlineStr">
        <is>
          <t xml:space="preserve">  收入增速</t>
        </is>
      </c>
      <c r="B8" s="21" t="inlineStr">
        <is>
          <t>—</t>
        </is>
      </c>
      <c r="C8" s="21" t="inlineStr">
        <is>
          <t>—</t>
        </is>
      </c>
      <c r="D8" s="21" t="inlineStr">
        <is>
          <t>—</t>
        </is>
      </c>
      <c r="E8" s="16">
        <f>(Assumptions!C$21+CHOOSE(Assumptions!$C$5,Assumptions!$C$87,Assumptions!$C$88,Assumptions!$C$89))</f>
        <v/>
      </c>
      <c r="F8" s="16">
        <f>(Assumptions!D$21+CHOOSE(Assumptions!$C$5,Assumptions!$C$87,Assumptions!$C$88,Assumptions!$C$89))</f>
        <v/>
      </c>
      <c r="G8" s="16">
        <f>(Assumptions!E$21+CHOOSE(Assumptions!$C$5,Assumptions!$C$87,Assumptions!$C$88,Assumptions!$C$89))</f>
        <v/>
      </c>
      <c r="H8" s="16">
        <f>(Assumptions!F$21+CHOOSE(Assumptions!$C$5,Assumptions!$C$87,Assumptions!$C$88,Assumptions!$C$89))</f>
        <v/>
      </c>
      <c r="I8" s="16">
        <f>(Assumptions!G$21+CHOOSE(Assumptions!$C$5,Assumptions!$C$87,Assumptions!$C$88,Assumptions!$C$89))</f>
        <v/>
      </c>
      <c r="J8" s="11" t="inlineStr">
        <is>
          <t>＝Assumptions基础增速+CHOOSE(情景开关,熊,基,牛)</t>
        </is>
      </c>
    </row>
    <row r="9">
      <c r="A9" s="4" t="inlineStr">
        <is>
          <t xml:space="preserve">  毛利率</t>
        </is>
      </c>
      <c r="B9" s="34" t="n">
        <v>0.1926</v>
      </c>
      <c r="C9" s="34" t="n">
        <v>0.1803</v>
      </c>
      <c r="D9" s="34" t="n">
        <v>0.2098</v>
      </c>
      <c r="E9" s="16">
        <f>(Assumptions!C$24+CHOOSE(Assumptions!$C$5,Assumptions!$D$87,Assumptions!$D$88,Assumptions!$D$89))</f>
        <v/>
      </c>
      <c r="F9" s="16">
        <f>(Assumptions!D$24+CHOOSE(Assumptions!$C$5,Assumptions!$D$87,Assumptions!$D$88,Assumptions!$D$89))</f>
        <v/>
      </c>
      <c r="G9" s="16">
        <f>(Assumptions!E$24+CHOOSE(Assumptions!$C$5,Assumptions!$D$87,Assumptions!$D$88,Assumptions!$D$89))</f>
        <v/>
      </c>
      <c r="H9" s="16">
        <f>(Assumptions!F$24+CHOOSE(Assumptions!$C$5,Assumptions!$D$87,Assumptions!$D$88,Assumptions!$D$89))</f>
        <v/>
      </c>
      <c r="I9" s="16">
        <f>(Assumptions!G$24+CHOOSE(Assumptions!$C$5,Assumptions!$D$87,Assumptions!$D$88,Assumptions!$D$89))</f>
        <v/>
      </c>
      <c r="J9" s="11" t="inlineStr">
        <is>
          <t>历史: 主营构成分产品毛利率; 预测: Assumptions+情景调整</t>
        </is>
      </c>
    </row>
    <row r="10">
      <c r="A10" s="4" t="inlineStr">
        <is>
          <t xml:space="preserve">  毛利</t>
        </is>
      </c>
      <c r="B10" s="26">
        <f>B6*B9</f>
        <v/>
      </c>
      <c r="C10" s="26">
        <f>C6*C9</f>
        <v/>
      </c>
      <c r="D10" s="26">
        <f>D6*D9</f>
        <v/>
      </c>
      <c r="E10" s="26">
        <f>E6*E9</f>
        <v/>
      </c>
      <c r="F10" s="26">
        <f>F6*F9</f>
        <v/>
      </c>
      <c r="G10" s="26">
        <f>G6*G9</f>
        <v/>
      </c>
      <c r="H10" s="26">
        <f>H6*H9</f>
        <v/>
      </c>
      <c r="I10" s="26">
        <f>I6*I9</f>
        <v/>
      </c>
    </row>
    <row r="11">
      <c r="A11" s="9" t="inlineStr">
        <is>
          <t xml:space="preserve">  逻辑: 港股单段简化(东财HKF10无主营构成披露); 历史毛利率=1-销售成本/营业额(IFRS)</t>
        </is>
      </c>
    </row>
    <row r="12" ht="16" customHeight="1">
      <c r="A12" s="19" t="inlineStr">
        <is>
          <t>合计 (自动汇总进IS)</t>
        </is>
      </c>
    </row>
    <row r="13">
      <c r="A13" s="3" t="inlineStr">
        <is>
          <t>营业收入合计</t>
        </is>
      </c>
      <c r="B13" s="35">
        <f>B6</f>
        <v/>
      </c>
      <c r="C13" s="35">
        <f>C6</f>
        <v/>
      </c>
      <c r="D13" s="35">
        <f>D6</f>
        <v/>
      </c>
      <c r="E13" s="35">
        <f>E6</f>
        <v/>
      </c>
      <c r="F13" s="35">
        <f>F6</f>
        <v/>
      </c>
      <c r="G13" s="35">
        <f>G6</f>
        <v/>
      </c>
      <c r="H13" s="35">
        <f>H6</f>
        <v/>
      </c>
      <c r="I13" s="35">
        <f>I6</f>
        <v/>
      </c>
    </row>
    <row r="14">
      <c r="A14" s="3" t="inlineStr">
        <is>
          <t>毛利合计</t>
        </is>
      </c>
      <c r="B14" s="36">
        <f>B10</f>
        <v/>
      </c>
      <c r="C14" s="36">
        <f>C10</f>
        <v/>
      </c>
      <c r="D14" s="36">
        <f>D10</f>
        <v/>
      </c>
      <c r="E14" s="36">
        <f>E10</f>
        <v/>
      </c>
      <c r="F14" s="36">
        <f>F10</f>
        <v/>
      </c>
      <c r="G14" s="36">
        <f>G10</f>
        <v/>
      </c>
      <c r="H14" s="36">
        <f>H10</f>
        <v/>
      </c>
      <c r="I14" s="36">
        <f>I10</f>
        <v/>
      </c>
    </row>
    <row r="15">
      <c r="A15" s="4" t="inlineStr">
        <is>
          <t>综合毛利率</t>
        </is>
      </c>
      <c r="B15" s="16">
        <f>B14/B13</f>
        <v/>
      </c>
      <c r="C15" s="16">
        <f>C14/C13</f>
        <v/>
      </c>
      <c r="D15" s="16">
        <f>D14/D13</f>
        <v/>
      </c>
      <c r="E15" s="16">
        <f>E14/E13</f>
        <v/>
      </c>
      <c r="F15" s="16">
        <f>F14/F13</f>
        <v/>
      </c>
      <c r="G15" s="16">
        <f>G14/G13</f>
        <v/>
      </c>
      <c r="H15" s="16">
        <f>H14/H13</f>
        <v/>
      </c>
      <c r="I15" s="16">
        <f>I14/I13</f>
        <v/>
      </c>
    </row>
    <row r="16">
      <c r="A16" s="4" t="inlineStr">
        <is>
          <t>收入YoY</t>
        </is>
      </c>
      <c r="C16" s="16">
        <f>C13/B13-1</f>
        <v/>
      </c>
      <c r="D16" s="16">
        <f>D13/C13-1</f>
        <v/>
      </c>
      <c r="E16" s="16">
        <f>E13/D13-1</f>
        <v/>
      </c>
      <c r="F16" s="16">
        <f>F13/E13-1</f>
        <v/>
      </c>
      <c r="G16" s="16">
        <f>G13/F13-1</f>
        <v/>
      </c>
      <c r="H16" s="16">
        <f>H13/G13-1</f>
        <v/>
      </c>
      <c r="I16" s="16">
        <f>I13/H13-1</f>
        <v/>
      </c>
    </row>
    <row r="18" ht="16" customHeight="1">
      <c r="A18" s="19" t="inlineStr">
        <is>
          <t>基准情形演算 (仅引用Assumptions基础值, 不受情景开关影响, 供Scenarios页引用)</t>
        </is>
      </c>
    </row>
    <row r="19">
      <c r="A19" s="4" t="inlineStr">
        <is>
          <t>基准收入 — seg1</t>
        </is>
      </c>
      <c r="D19" s="26">
        <f>D6</f>
        <v/>
      </c>
      <c r="E19" s="26">
        <f>D19*(1+Assumptions!C$21)</f>
        <v/>
      </c>
      <c r="F19" s="26">
        <f>E19*(1+Assumptions!D$21)</f>
        <v/>
      </c>
      <c r="G19" s="26">
        <f>F19*(1+Assumptions!E$21)</f>
        <v/>
      </c>
      <c r="H19" s="26">
        <f>G19*(1+Assumptions!F$21)</f>
        <v/>
      </c>
      <c r="I19" s="26">
        <f>H19*(1+Assumptions!G$21)</f>
        <v/>
      </c>
    </row>
    <row r="20">
      <c r="A20" s="3" t="inlineStr">
        <is>
          <t>基准合计收入</t>
        </is>
      </c>
      <c r="D20" s="26">
        <f>D6</f>
        <v/>
      </c>
      <c r="E20" s="26">
        <f>E19</f>
        <v/>
      </c>
      <c r="F20" s="26">
        <f>F19</f>
        <v/>
      </c>
      <c r="G20" s="26">
        <f>G19</f>
        <v/>
      </c>
      <c r="H20" s="26">
        <f>H19</f>
        <v/>
      </c>
      <c r="I20" s="26">
        <f>I19</f>
        <v/>
      </c>
    </row>
    <row r="21">
      <c r="A21" s="4" t="inlineStr">
        <is>
          <t>基准收入增速</t>
        </is>
      </c>
      <c r="E21" s="16">
        <f>E20/D20-1</f>
        <v/>
      </c>
      <c r="F21" s="16">
        <f>F20/E20-1</f>
        <v/>
      </c>
      <c r="G21" s="16">
        <f>G20/F20-1</f>
        <v/>
      </c>
      <c r="H21" s="16">
        <f>H20/G20-1</f>
        <v/>
      </c>
      <c r="I21" s="16">
        <f>I20/H20-1</f>
        <v/>
      </c>
    </row>
    <row r="22">
      <c r="A22" s="4" t="inlineStr">
        <is>
          <t>基准综合毛利率</t>
        </is>
      </c>
      <c r="E22" s="16">
        <f>(E19*Assumptions!C$24)/E20</f>
        <v/>
      </c>
      <c r="F22" s="16">
        <f>(F19*Assumptions!D$24)/F20</f>
        <v/>
      </c>
      <c r="G22" s="16">
        <f>(G19*Assumptions!E$24)/G20</f>
        <v/>
      </c>
      <c r="H22" s="16">
        <f>(H19*Assumptions!F$24)/H20</f>
        <v/>
      </c>
      <c r="I22" s="16">
        <f>(I19*Assumptions!G$24)/I20</f>
        <v/>
      </c>
    </row>
  </sheetData>
  <mergeCells count="6">
    <mergeCell ref="A1:J1"/>
    <mergeCell ref="A5:J5"/>
    <mergeCell ref="A18:J18"/>
    <mergeCell ref="A12:J12"/>
    <mergeCell ref="A2:J2"/>
    <mergeCell ref="A11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0" customWidth="1" min="10" max="10"/>
  </cols>
  <sheetData>
    <row r="1" ht="24" customHeight="1">
      <c r="A1" s="10" t="inlineStr">
        <is>
          <t>中芯国际 — IS 利润表 (2023A-2030E)</t>
        </is>
      </c>
    </row>
    <row r="2" ht="14" customHeight="1">
      <c r="A2" s="11" t="inlineStr">
        <is>
          <t>单位: 美元百万元(财报口径) | 收入/成本引用Revenue_Segments; 费用率/税率引用Assumptions; 财务费用引用FIN(平均余额计息, FIN页迭代展开第4轮输出)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 / 来源</t>
        </is>
      </c>
    </row>
    <row r="4">
      <c r="A4" s="3" t="inlineStr">
        <is>
          <t>营业收入</t>
        </is>
      </c>
      <c r="B4" s="36">
        <f>Revenue_Segments!B13</f>
        <v/>
      </c>
      <c r="C4" s="36">
        <f>Revenue_Segments!C13</f>
        <v/>
      </c>
      <c r="D4" s="36">
        <f>Revenue_Segments!D13</f>
        <v/>
      </c>
      <c r="E4" s="36">
        <f>Revenue_Segments!E13</f>
        <v/>
      </c>
      <c r="F4" s="36">
        <f>Revenue_Segments!F13</f>
        <v/>
      </c>
      <c r="G4" s="36">
        <f>Revenue_Segments!G13</f>
        <v/>
      </c>
      <c r="H4" s="36">
        <f>Revenue_Segments!H13</f>
        <v/>
      </c>
      <c r="I4" s="36">
        <f>Revenue_Segments!I13</f>
        <v/>
      </c>
      <c r="J4" s="11" t="inlineStr">
        <is>
          <t>＝Revenue_Segments分部合计; 历史: 东财F10(63.2/80.3/93.3亿)</t>
        </is>
      </c>
    </row>
    <row r="5">
      <c r="A5" s="4" t="inlineStr">
        <is>
          <t xml:space="preserve">  收入YoY</t>
        </is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  <c r="G5" s="16">
        <f>G4/F4-1</f>
        <v/>
      </c>
      <c r="H5" s="16">
        <f>H4/G4-1</f>
        <v/>
      </c>
      <c r="I5" s="16">
        <f>I4/H4-1</f>
        <v/>
      </c>
      <c r="J5" s="11" t="inlineStr">
        <is>
          <t>历史: 2024A +27.0% / 2025A +16.2%</t>
        </is>
      </c>
    </row>
    <row r="6">
      <c r="A6" s="4" t="inlineStr">
        <is>
          <t>营业成本</t>
        </is>
      </c>
      <c r="B6" s="25" t="n">
        <v>5103.8</v>
      </c>
      <c r="C6" s="25" t="n">
        <v>6582</v>
      </c>
      <c r="D6" s="25" t="n">
        <v>7370.2</v>
      </c>
      <c r="E6" s="26">
        <f>E4-Revenue_Segments!E14</f>
        <v/>
      </c>
      <c r="F6" s="26">
        <f>F4-Revenue_Segments!F14</f>
        <v/>
      </c>
      <c r="G6" s="26">
        <f>G4-Revenue_Segments!G14</f>
        <v/>
      </c>
      <c r="H6" s="26">
        <f>H4-Revenue_Segments!H14</f>
        <v/>
      </c>
      <c r="I6" s="26">
        <f>I4-Revenue_Segments!I14</f>
        <v/>
      </c>
      <c r="J6" s="11" t="inlineStr">
        <is>
          <t>历史: 东财F10实际值; 预测=收入-分部毛利合计(占比四舍五入, 历史分部毛利与总额存微小口径差)</t>
        </is>
      </c>
    </row>
    <row r="7">
      <c r="A7" s="3" t="inlineStr">
        <is>
          <t>毛利</t>
        </is>
      </c>
      <c r="B7" s="36">
        <f>B4-B6</f>
        <v/>
      </c>
      <c r="C7" s="36">
        <f>C4-C6</f>
        <v/>
      </c>
      <c r="D7" s="36">
        <f>D4-D6</f>
        <v/>
      </c>
      <c r="E7" s="36">
        <f>E4-E6</f>
        <v/>
      </c>
      <c r="F7" s="36">
        <f>F4-F6</f>
        <v/>
      </c>
      <c r="G7" s="36">
        <f>G4-G6</f>
        <v/>
      </c>
      <c r="H7" s="36">
        <f>H4-H6</f>
        <v/>
      </c>
      <c r="I7" s="36">
        <f>I4-I6</f>
        <v/>
      </c>
      <c r="J7" s="11" t="inlineStr"/>
    </row>
    <row r="8">
      <c r="A8" s="4" t="inlineStr">
        <is>
          <t xml:space="preserve">  毛利率</t>
        </is>
      </c>
      <c r="B8" s="16">
        <f>B7/B4</f>
        <v/>
      </c>
      <c r="C8" s="16">
        <f>C7/C4</f>
        <v/>
      </c>
      <c r="D8" s="16">
        <f>D7/D4</f>
        <v/>
      </c>
      <c r="E8" s="16">
        <f>E7/E4</f>
        <v/>
      </c>
      <c r="F8" s="16">
        <f>F7/F4</f>
        <v/>
      </c>
      <c r="G8" s="16">
        <f>G7/G4</f>
        <v/>
      </c>
      <c r="H8" s="16">
        <f>H7/H4</f>
        <v/>
      </c>
      <c r="I8" s="16">
        <f>I7/I4</f>
        <v/>
      </c>
      <c r="J8" s="11" t="inlineStr">
        <is>
          <t>2023A 19.3%→2025A 21.0%; 预测由分部毛利率加权</t>
        </is>
      </c>
    </row>
    <row r="9">
      <c r="A9" s="4" t="inlineStr">
        <is>
          <t>税金及附加</t>
        </is>
      </c>
      <c r="B9" s="25" t="n">
        <v>0</v>
      </c>
      <c r="C9" s="25" t="n">
        <v>0</v>
      </c>
      <c r="D9" s="25" t="n">
        <v>0</v>
      </c>
      <c r="E9" s="26">
        <f>E4*Assumptions!C$27</f>
        <v/>
      </c>
      <c r="F9" s="26">
        <f>F4*Assumptions!D$27</f>
        <v/>
      </c>
      <c r="G9" s="26">
        <f>G4*Assumptions!E$27</f>
        <v/>
      </c>
      <c r="H9" s="26">
        <f>H4*Assumptions!F$27</f>
        <v/>
      </c>
      <c r="I9" s="26">
        <f>I4*Assumptions!G$27</f>
        <v/>
      </c>
      <c r="J9" s="11" t="inlineStr">
        <is>
          <t>预测=收入×0.00%</t>
        </is>
      </c>
    </row>
    <row r="10">
      <c r="A10" s="4" t="inlineStr">
        <is>
          <t>销售费用</t>
        </is>
      </c>
      <c r="B10" s="25" t="n">
        <v>36.2</v>
      </c>
      <c r="C10" s="25" t="n">
        <v>39.8</v>
      </c>
      <c r="D10" s="25" t="n">
        <v>43</v>
      </c>
      <c r="E10" s="26">
        <f>E4*Assumptions!C$28</f>
        <v/>
      </c>
      <c r="F10" s="26">
        <f>F4*Assumptions!D$28</f>
        <v/>
      </c>
      <c r="G10" s="26">
        <f>G4*Assumptions!E$28</f>
        <v/>
      </c>
      <c r="H10" s="26">
        <f>H4*Assumptions!F$28</f>
        <v/>
      </c>
      <c r="I10" s="26">
        <f>I4*Assumptions!G$28</f>
        <v/>
      </c>
      <c r="J10" s="11" t="inlineStr">
        <is>
          <t>预测=收入×0.46%</t>
        </is>
      </c>
    </row>
    <row r="11">
      <c r="A11" s="4" t="inlineStr">
        <is>
          <t>管理费用</t>
        </is>
      </c>
      <c r="B11" s="25" t="n">
        <v>482.3</v>
      </c>
      <c r="C11" s="25" t="n">
        <v>580</v>
      </c>
      <c r="D11" s="25" t="n">
        <v>526.2</v>
      </c>
      <c r="E11" s="26">
        <f>E4*Assumptions!C$29</f>
        <v/>
      </c>
      <c r="F11" s="26">
        <f>F4*Assumptions!D$29</f>
        <v/>
      </c>
      <c r="G11" s="26">
        <f>G4*Assumptions!E$29</f>
        <v/>
      </c>
      <c r="H11" s="26">
        <f>H4*Assumptions!F$29</f>
        <v/>
      </c>
      <c r="I11" s="26">
        <f>I4*Assumptions!G$29</f>
        <v/>
      </c>
      <c r="J11" s="11" t="inlineStr">
        <is>
          <t>预测=收入×5.64%</t>
        </is>
      </c>
    </row>
    <row r="12">
      <c r="A12" s="4" t="inlineStr">
        <is>
          <t>研发费用</t>
        </is>
      </c>
      <c r="B12" s="25" t="n">
        <v>707.3</v>
      </c>
      <c r="C12" s="25" t="n">
        <v>765.3</v>
      </c>
      <c r="D12" s="25" t="n">
        <v>773.6</v>
      </c>
      <c r="E12" s="26">
        <f>E4*Assumptions!C$30</f>
        <v/>
      </c>
      <c r="F12" s="26">
        <f>F4*Assumptions!D$30</f>
        <v/>
      </c>
      <c r="G12" s="26">
        <f>G4*Assumptions!E$30</f>
        <v/>
      </c>
      <c r="H12" s="26">
        <f>H4*Assumptions!F$30</f>
        <v/>
      </c>
      <c r="I12" s="26">
        <f>I4*Assumptions!G$30</f>
        <v/>
      </c>
      <c r="J12" s="11" t="inlineStr">
        <is>
          <t>预测=收入×8.29%</t>
        </is>
      </c>
    </row>
    <row r="13">
      <c r="A13" s="4" t="inlineStr">
        <is>
          <t>财务费用</t>
        </is>
      </c>
      <c r="B13" s="25" t="n">
        <v>-527.2</v>
      </c>
      <c r="C13" s="25" t="n">
        <v>-248.9</v>
      </c>
      <c r="D13" s="25" t="n">
        <v>-25</v>
      </c>
      <c r="E13" s="26">
        <f>FIN!E67</f>
        <v/>
      </c>
      <c r="F13" s="26">
        <f>FIN!F67</f>
        <v/>
      </c>
      <c r="G13" s="26">
        <f>FIN!G67</f>
        <v/>
      </c>
      <c r="H13" s="26">
        <f>FIN!H67</f>
        <v/>
      </c>
      <c r="I13" s="26">
        <f>FIN!I67</f>
        <v/>
      </c>
      <c r="J13" s="11" t="inlineStr">
        <is>
          <t>预测=FIN净财务费用(平均余额计息, 第4轮迭代展开输出)</t>
        </is>
      </c>
    </row>
    <row r="14">
      <c r="A14" s="4" t="inlineStr">
        <is>
          <t>其他经营损益(投资/公允/减值等)</t>
        </is>
      </c>
      <c r="B14" s="25" t="n">
        <v>-161.5</v>
      </c>
      <c r="C14" s="25" t="n">
        <v>162.1</v>
      </c>
      <c r="D14" s="25" t="n">
        <v>471.2</v>
      </c>
      <c r="E14" s="26">
        <f>Assumptions!C$31</f>
        <v/>
      </c>
      <c r="F14" s="26">
        <f>Assumptions!D$31</f>
        <v/>
      </c>
      <c r="G14" s="26">
        <f>Assumptions!E$31</f>
        <v/>
      </c>
      <c r="H14" s="26">
        <f>Assumptions!F$31</f>
        <v/>
      </c>
      <c r="I14" s="26">
        <f>Assumptions!G$31</f>
        <v/>
      </c>
      <c r="J14" s="11" t="inlineStr">
        <is>
          <t>历史为轧差项; 预测取471百万</t>
        </is>
      </c>
    </row>
    <row r="15">
      <c r="A15" s="3" t="inlineStr">
        <is>
          <t>营业利润</t>
        </is>
      </c>
      <c r="B15" s="36">
        <f>B7-B9-B10-B11-B12-B13+B14</f>
        <v/>
      </c>
      <c r="C15" s="36">
        <f>C7-C9-C10-C11-C12-C13+C14</f>
        <v/>
      </c>
      <c r="D15" s="36">
        <f>D7-D9-D10-D11-D12-D13+D14</f>
        <v/>
      </c>
      <c r="E15" s="36">
        <f>E7-E9-E10-E11-E12-E13+E14</f>
        <v/>
      </c>
      <c r="F15" s="36">
        <f>F7-F9-F10-F11-F12-F13+F14</f>
        <v/>
      </c>
      <c r="G15" s="36">
        <f>G7-G9-G10-G11-G12-G13+G14</f>
        <v/>
      </c>
      <c r="H15" s="36">
        <f>H7-H9-H10-H11-H12-H13+H14</f>
        <v/>
      </c>
      <c r="I15" s="36">
        <f>I7-I9-I10-I11-I12-I13+I14</f>
        <v/>
      </c>
      <c r="J15" s="11" t="inlineStr"/>
    </row>
    <row r="16">
      <c r="A16" s="4" t="inlineStr">
        <is>
          <t>营业外收支净额</t>
        </is>
      </c>
      <c r="B16" s="25" t="n">
        <v>829.7</v>
      </c>
      <c r="C16" s="25" t="n">
        <v>385.7</v>
      </c>
      <c r="D16" s="25" t="n">
        <v>-36.7</v>
      </c>
      <c r="E16" s="26">
        <f>Assumptions!C$32</f>
        <v/>
      </c>
      <c r="F16" s="26">
        <f>Assumptions!D$32</f>
        <v/>
      </c>
      <c r="G16" s="26">
        <f>Assumptions!E$32</f>
        <v/>
      </c>
      <c r="H16" s="26">
        <f>Assumptions!F$32</f>
        <v/>
      </c>
      <c r="I16" s="26">
        <f>Assumptions!G$32</f>
        <v/>
      </c>
      <c r="J16" s="11" t="inlineStr">
        <is>
          <t>2025A -36.7百万</t>
        </is>
      </c>
    </row>
    <row r="17">
      <c r="A17" s="3" t="inlineStr">
        <is>
          <t>利润总额</t>
        </is>
      </c>
      <c r="B17" s="36">
        <f>B15+B16</f>
        <v/>
      </c>
      <c r="C17" s="36">
        <f>C15+C16</f>
        <v/>
      </c>
      <c r="D17" s="36">
        <f>D15+D16</f>
        <v/>
      </c>
      <c r="E17" s="36">
        <f>E15+E16</f>
        <v/>
      </c>
      <c r="F17" s="36">
        <f>F15+F16</f>
        <v/>
      </c>
      <c r="G17" s="36">
        <f>G15+G16</f>
        <v/>
      </c>
      <c r="H17" s="36">
        <f>H15+H16</f>
        <v/>
      </c>
      <c r="I17" s="36">
        <f>I15+I16</f>
        <v/>
      </c>
      <c r="J17" s="11" t="inlineStr"/>
    </row>
    <row r="18">
      <c r="A18" s="4" t="inlineStr">
        <is>
          <t>所得税</t>
        </is>
      </c>
      <c r="B18" s="25" t="n">
        <v>62.5</v>
      </c>
      <c r="C18" s="25" t="n">
        <v>129.6</v>
      </c>
      <c r="D18" s="25" t="n">
        <v>84.3</v>
      </c>
      <c r="E18" s="26">
        <f>E17*Assumptions!C$33</f>
        <v/>
      </c>
      <c r="F18" s="26">
        <f>F17*Assumptions!D$33</f>
        <v/>
      </c>
      <c r="G18" s="26">
        <f>G17*Assumptions!E$33</f>
        <v/>
      </c>
      <c r="H18" s="26">
        <f>H17*Assumptions!F$33</f>
        <v/>
      </c>
      <c r="I18" s="26">
        <f>I17*Assumptions!G$33</f>
        <v/>
      </c>
      <c r="J18" s="11" t="inlineStr">
        <is>
          <t>预测=利润总额×11.0%</t>
        </is>
      </c>
    </row>
    <row r="19">
      <c r="A19" s="3" t="inlineStr">
        <is>
          <t>净利润</t>
        </is>
      </c>
      <c r="B19" s="36">
        <f>B17-B18</f>
        <v/>
      </c>
      <c r="C19" s="36">
        <f>C17-C18</f>
        <v/>
      </c>
      <c r="D19" s="36">
        <f>D17-D18</f>
        <v/>
      </c>
      <c r="E19" s="36">
        <f>E17-E18</f>
        <v/>
      </c>
      <c r="F19" s="36">
        <f>F17-F18</f>
        <v/>
      </c>
      <c r="G19" s="36">
        <f>G17-G18</f>
        <v/>
      </c>
      <c r="H19" s="36">
        <f>H17-H18</f>
        <v/>
      </c>
      <c r="I19" s="36">
        <f>I17-I18</f>
        <v/>
      </c>
      <c r="J19" s="11" t="inlineStr"/>
    </row>
    <row r="20">
      <c r="A20" s="3" t="inlineStr">
        <is>
          <t>归母净利润</t>
        </is>
      </c>
      <c r="B20" s="36">
        <f>B19</f>
        <v/>
      </c>
      <c r="C20" s="36">
        <f>C19</f>
        <v/>
      </c>
      <c r="D20" s="36">
        <f>D19</f>
        <v/>
      </c>
      <c r="E20" s="36">
        <f>E19</f>
        <v/>
      </c>
      <c r="F20" s="36">
        <f>F19</f>
        <v/>
      </c>
      <c r="G20" s="36">
        <f>G19</f>
        <v/>
      </c>
      <c r="H20" s="36">
        <f>H19</f>
        <v/>
      </c>
      <c r="I20" s="36">
        <f>I19</f>
        <v/>
      </c>
      <c r="J20" s="11" t="inlineStr">
        <is>
          <t>历史: 2023A 9.0亿/2024A 4.9亿/2025A 6.9亿</t>
        </is>
      </c>
    </row>
    <row r="21">
      <c r="A21" s="4" t="inlineStr">
        <is>
          <t xml:space="preserve">  归母净利率</t>
        </is>
      </c>
      <c r="B21" s="16">
        <f>B20/B4</f>
        <v/>
      </c>
      <c r="C21" s="16">
        <f>C20/C4</f>
        <v/>
      </c>
      <c r="D21" s="16">
        <f>D20/D4</f>
        <v/>
      </c>
      <c r="E21" s="16">
        <f>E20/E4</f>
        <v/>
      </c>
      <c r="F21" s="16">
        <f>F20/F4</f>
        <v/>
      </c>
      <c r="G21" s="16">
        <f>G20/G4</f>
        <v/>
      </c>
      <c r="H21" s="16">
        <f>H20/H4</f>
        <v/>
      </c>
      <c r="I21" s="16">
        <f>I20/I4</f>
        <v/>
      </c>
      <c r="J21" s="11" t="inlineStr">
        <is>
          <t>2025A 7.3%</t>
        </is>
      </c>
    </row>
    <row r="22">
      <c r="A22" s="4" t="inlineStr">
        <is>
          <t>EPS(元/股)</t>
        </is>
      </c>
      <c r="B22" s="14">
        <f>B20/Equity_Roll!$C$21</f>
        <v/>
      </c>
      <c r="C22" s="14">
        <f>C20/Equity_Roll!$C$21</f>
        <v/>
      </c>
      <c r="D22" s="14">
        <f>D20/Equity_Roll!$C$21</f>
        <v/>
      </c>
      <c r="E22" s="14">
        <f>E20/Equity_Roll!$C$21</f>
        <v/>
      </c>
      <c r="F22" s="14">
        <f>F20/Equity_Roll!$C$21</f>
        <v/>
      </c>
      <c r="G22" s="14">
        <f>G20/Equity_Roll!$C$21</f>
        <v/>
      </c>
      <c r="H22" s="14">
        <f>H20/Equity_Roll!$C$21</f>
        <v/>
      </c>
      <c r="I22" s="14">
        <f>I20/Equity_Roll!$C$21</f>
        <v/>
      </c>
      <c r="J22" s="11" t="inlineStr">
        <is>
          <t>＝归母/稀释股数(Equity_Roll页, 现=85.61亿股)</t>
        </is>
      </c>
    </row>
    <row r="23">
      <c r="A23" s="3" t="inlineStr">
        <is>
          <t>EBIT (利润总额+财务费用)</t>
        </is>
      </c>
      <c r="B23" s="36">
        <f>B17+B13</f>
        <v/>
      </c>
      <c r="C23" s="36">
        <f>C17+C13</f>
        <v/>
      </c>
      <c r="D23" s="36">
        <f>D17+D13</f>
        <v/>
      </c>
      <c r="E23" s="36">
        <f>E17+E13</f>
        <v/>
      </c>
      <c r="F23" s="36">
        <f>F17+F13</f>
        <v/>
      </c>
      <c r="G23" s="36">
        <f>G17+G13</f>
        <v/>
      </c>
      <c r="H23" s="36">
        <f>H17+H13</f>
        <v/>
      </c>
      <c r="I23" s="36">
        <f>I17+I13</f>
        <v/>
      </c>
      <c r="J23" s="11" t="inlineStr">
        <is>
          <t>供DCF页FCFF计算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6" customWidth="1" min="10" max="10"/>
  </cols>
  <sheetData>
    <row r="1" ht="24" customHeight="1">
      <c r="A1" s="10" t="inlineStr">
        <is>
          <t>中芯国际 — BS 资产负债表 (2023A-2030E)</t>
        </is>
      </c>
    </row>
    <row r="2" ht="14" customHeight="1">
      <c r="A2" s="11" t="inlineStr">
        <is>
          <t>单位: 美元百万元(财报口径) | 配平机制=FIN页revolver新增借款/现金sweep/理财承接(货币资金=最低现金); 配平差额检查行应恒=0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 / 来源</t>
        </is>
      </c>
    </row>
    <row r="4">
      <c r="A4" s="4" t="inlineStr">
        <is>
          <t>货币资金</t>
        </is>
      </c>
      <c r="B4" s="25" t="n">
        <v>0</v>
      </c>
      <c r="C4" s="25" t="n">
        <v>6364.2</v>
      </c>
      <c r="D4" s="25" t="n">
        <v>5872.5</v>
      </c>
      <c r="E4" s="26">
        <f>FIN!E63</f>
        <v/>
      </c>
      <c r="F4" s="26">
        <f>FIN!F63</f>
        <v/>
      </c>
      <c r="G4" s="26">
        <f>FIN!G63</f>
        <v/>
      </c>
      <c r="H4" s="26">
        <f>FIN!H63</f>
        <v/>
      </c>
      <c r="I4" s="26">
        <f>FIN!I63</f>
        <v/>
      </c>
      <c r="J4" s="11" t="inlineStr">
        <is>
          <t>预测=FIN期末现金(=最低现金); 历史: 东财F10</t>
        </is>
      </c>
    </row>
    <row r="5">
      <c r="A5" s="4" t="inlineStr">
        <is>
          <t>交易性金融资产</t>
        </is>
      </c>
      <c r="B5" s="25" t="n">
        <v>0</v>
      </c>
      <c r="C5" s="25" t="n">
        <v>4479.2</v>
      </c>
      <c r="D5" s="25" t="n">
        <v>4531.5</v>
      </c>
      <c r="E5" s="26">
        <f>FIN!E61</f>
        <v/>
      </c>
      <c r="F5" s="26">
        <f>FIN!F61</f>
        <v/>
      </c>
      <c r="G5" s="26">
        <f>FIN!G61</f>
        <v/>
      </c>
      <c r="H5" s="26">
        <f>FIN!H61</f>
        <v/>
      </c>
      <c r="I5" s="26">
        <f>FIN!I61</f>
        <v/>
      </c>
      <c r="J5" s="11" t="inlineStr">
        <is>
          <t>预测=FIN理财期末(sweep溢出承接); 历史: 东财F10</t>
        </is>
      </c>
    </row>
    <row r="6">
      <c r="A6" s="4" t="inlineStr">
        <is>
          <t>应收票据及应收账款</t>
        </is>
      </c>
      <c r="B6" s="25" t="n">
        <v>0</v>
      </c>
      <c r="C6" s="25" t="n">
        <v>840.2</v>
      </c>
      <c r="D6" s="25" t="n">
        <v>1432.7</v>
      </c>
      <c r="E6" s="26">
        <f>Assumptions!C$37/365*IS!E4</f>
        <v/>
      </c>
      <c r="F6" s="26">
        <f>Assumptions!D$37/365*IS!F4</f>
        <v/>
      </c>
      <c r="G6" s="26">
        <f>Assumptions!E$37/365*IS!G4</f>
        <v/>
      </c>
      <c r="H6" s="26">
        <f>Assumptions!F$37/365*IS!H4</f>
        <v/>
      </c>
      <c r="I6" s="26">
        <f>Assumptions!G$37/365*IS!I4</f>
        <v/>
      </c>
      <c r="J6" s="11" t="inlineStr">
        <is>
          <t>预测=DSO/365×收入</t>
        </is>
      </c>
    </row>
    <row r="7">
      <c r="A7" s="4" t="inlineStr">
        <is>
          <t>预付款项</t>
        </is>
      </c>
      <c r="B7" s="25" t="n">
        <v>106.2</v>
      </c>
      <c r="C7" s="25" t="n">
        <v>56.4</v>
      </c>
      <c r="D7" s="25" t="n">
        <v>67.5</v>
      </c>
      <c r="E7" s="26">
        <f>IS!E4*Assumptions!C$40</f>
        <v/>
      </c>
      <c r="F7" s="26">
        <f>IS!F4*Assumptions!D$40</f>
        <v/>
      </c>
      <c r="G7" s="26">
        <f>IS!G4*Assumptions!E$40</f>
        <v/>
      </c>
      <c r="H7" s="26">
        <f>IS!H4*Assumptions!F$40</f>
        <v/>
      </c>
      <c r="I7" s="26">
        <f>IS!I4*Assumptions!G$40</f>
        <v/>
      </c>
      <c r="J7" s="11" t="inlineStr">
        <is>
          <t>预测=收入×0.7%</t>
        </is>
      </c>
    </row>
    <row r="8">
      <c r="A8" s="4" t="inlineStr">
        <is>
          <t>其他应收款</t>
        </is>
      </c>
      <c r="B8" s="25" t="n">
        <v>0</v>
      </c>
      <c r="C8" s="25" t="n">
        <v>0</v>
      </c>
      <c r="D8" s="25" t="n">
        <v>0</v>
      </c>
      <c r="E8" s="26">
        <f>D8</f>
        <v/>
      </c>
      <c r="F8" s="26">
        <f>E8</f>
        <v/>
      </c>
      <c r="G8" s="26">
        <f>F8</f>
        <v/>
      </c>
      <c r="H8" s="26">
        <f>G8</f>
        <v/>
      </c>
      <c r="I8" s="26">
        <f>H8</f>
        <v/>
      </c>
      <c r="J8" s="11" t="inlineStr">
        <is>
          <t>预测持平</t>
        </is>
      </c>
    </row>
    <row r="9">
      <c r="A9" s="4" t="inlineStr">
        <is>
          <t>存货</t>
        </is>
      </c>
      <c r="B9" s="25" t="n">
        <v>0</v>
      </c>
      <c r="C9" s="25" t="n">
        <v>2958.3</v>
      </c>
      <c r="D9" s="25" t="n">
        <v>3629.8</v>
      </c>
      <c r="E9" s="26">
        <f>Assumptions!C$38/365*IS!E6</f>
        <v/>
      </c>
      <c r="F9" s="26">
        <f>Assumptions!D$38/365*IS!F6</f>
        <v/>
      </c>
      <c r="G9" s="26">
        <f>Assumptions!E$38/365*IS!G6</f>
        <v/>
      </c>
      <c r="H9" s="26">
        <f>Assumptions!F$38/365*IS!H6</f>
        <v/>
      </c>
      <c r="I9" s="26">
        <f>Assumptions!G$38/365*IS!I6</f>
        <v/>
      </c>
      <c r="J9" s="11" t="inlineStr">
        <is>
          <t>预测=DIO/365×营业成本</t>
        </is>
      </c>
    </row>
    <row r="10">
      <c r="A10" s="4" t="inlineStr">
        <is>
          <t>应收款项融资及其他流动资产</t>
        </is>
      </c>
      <c r="B10" s="25" t="n">
        <v>13529</v>
      </c>
      <c r="C10" s="25" t="n">
        <v>85.40000000000001</v>
      </c>
      <c r="D10" s="25" t="n">
        <v>91.09999999999999</v>
      </c>
      <c r="E10" s="26">
        <f>D10</f>
        <v/>
      </c>
      <c r="F10" s="26">
        <f>E10</f>
        <v/>
      </c>
      <c r="G10" s="26">
        <f>F10</f>
        <v/>
      </c>
      <c r="H10" s="26">
        <f>G10</f>
        <v/>
      </c>
      <c r="I10" s="26">
        <f>H10</f>
        <v/>
      </c>
      <c r="J10" s="11" t="inlineStr">
        <is>
          <t>含应收款项融资/其他流动资产, 历史为轧差, 预测持平</t>
        </is>
      </c>
    </row>
    <row r="11">
      <c r="A11" s="3" t="inlineStr">
        <is>
          <t>流动资产合计</t>
        </is>
      </c>
      <c r="B11" s="35">
        <f>B4+B5+B6+B7+B8+B9+B10</f>
        <v/>
      </c>
      <c r="C11" s="35">
        <f>C4+C5+C6+C7+C8+C9+C10</f>
        <v/>
      </c>
      <c r="D11" s="35">
        <f>D4+D5+D6+D7+D8+D9+D10</f>
        <v/>
      </c>
      <c r="E11" s="35">
        <f>E4+E5+E6+E7+E8+E9+E10</f>
        <v/>
      </c>
      <c r="F11" s="35">
        <f>F4+F5+F6+F7+F8+F9+F10</f>
        <v/>
      </c>
      <c r="G11" s="35">
        <f>G4+G5+G6+G7+G8+G9+G10</f>
        <v/>
      </c>
      <c r="H11" s="35">
        <f>H4+H5+H6+H7+H8+H9+H10</f>
        <v/>
      </c>
      <c r="I11" s="35">
        <f>I4+I5+I6+I7+I8+I9+I10</f>
        <v/>
      </c>
      <c r="J11" s="11" t="inlineStr"/>
    </row>
    <row r="12">
      <c r="A12" s="4" t="inlineStr">
        <is>
          <t>固定资产及在建工程</t>
        </is>
      </c>
      <c r="B12" s="25" t="n">
        <v>23945</v>
      </c>
      <c r="C12" s="25" t="n">
        <v>28092</v>
      </c>
      <c r="D12" s="25" t="n">
        <v>32557.8</v>
      </c>
      <c r="E12" s="26">
        <f>PPE!E18</f>
        <v/>
      </c>
      <c r="F12" s="26">
        <f>PPE!F18</f>
        <v/>
      </c>
      <c r="G12" s="26">
        <f>PPE!G18</f>
        <v/>
      </c>
      <c r="H12" s="26">
        <f>PPE!H18</f>
        <v/>
      </c>
      <c r="I12" s="26">
        <f>PPE!I18</f>
        <v/>
      </c>
      <c r="J12" s="11" t="inlineStr">
        <is>
          <t>预测=PP&amp;E页期末合计; 2025A固资325.6亿+在建0.0亿</t>
        </is>
      </c>
    </row>
    <row r="13">
      <c r="A13" s="4" t="inlineStr">
        <is>
          <t>使用权资产</t>
        </is>
      </c>
      <c r="B13" s="25" t="n">
        <v>0</v>
      </c>
      <c r="C13" s="25" t="n">
        <v>0</v>
      </c>
      <c r="D13" s="25" t="n">
        <v>0</v>
      </c>
      <c r="E13" s="26">
        <f>D13</f>
        <v/>
      </c>
      <c r="F13" s="26">
        <f>E13</f>
        <v/>
      </c>
      <c r="G13" s="26">
        <f>F13</f>
        <v/>
      </c>
      <c r="H13" s="26">
        <f>G13</f>
        <v/>
      </c>
      <c r="I13" s="26">
        <f>H13</f>
        <v/>
      </c>
      <c r="J13" s="11" t="inlineStr">
        <is>
          <t>预测持平</t>
        </is>
      </c>
    </row>
    <row r="14">
      <c r="A14" s="4" t="inlineStr">
        <is>
          <t>无形资产</t>
        </is>
      </c>
      <c r="B14" s="25" t="n">
        <v>0</v>
      </c>
      <c r="C14" s="25" t="n">
        <v>24.3</v>
      </c>
      <c r="D14" s="25" t="n">
        <v>20.4</v>
      </c>
      <c r="E14" s="26">
        <f>Schedules!E23</f>
        <v/>
      </c>
      <c r="F14" s="26">
        <f>Schedules!F23</f>
        <v/>
      </c>
      <c r="G14" s="26">
        <f>Schedules!G23</f>
        <v/>
      </c>
      <c r="H14" s="26">
        <f>Schedules!H23</f>
        <v/>
      </c>
      <c r="I14" s="26">
        <f>Schedules!I23</f>
        <v/>
      </c>
      <c r="J14" s="11" t="inlineStr">
        <is>
          <t>预测=期初-摊销(Schedules)</t>
        </is>
      </c>
    </row>
    <row r="15">
      <c r="A15" s="4" t="inlineStr">
        <is>
          <t>商誉</t>
        </is>
      </c>
      <c r="B15" s="25" t="n">
        <v>0</v>
      </c>
      <c r="C15" s="25" t="n">
        <v>0</v>
      </c>
      <c r="D15" s="25" t="n">
        <v>0</v>
      </c>
      <c r="E15" s="26">
        <f>D15</f>
        <v/>
      </c>
      <c r="F15" s="26">
        <f>E15</f>
        <v/>
      </c>
      <c r="G15" s="26">
        <f>F15</f>
        <v/>
      </c>
      <c r="H15" s="26">
        <f>G15</f>
        <v/>
      </c>
      <c r="I15" s="26">
        <f>H15</f>
        <v/>
      </c>
      <c r="J15" s="11" t="inlineStr">
        <is>
          <t>预测持平</t>
        </is>
      </c>
    </row>
    <row r="16">
      <c r="A16" s="4" t="inlineStr">
        <is>
          <t>长期待摊费用</t>
        </is>
      </c>
      <c r="B16" s="25" t="n">
        <v>0</v>
      </c>
      <c r="C16" s="25" t="n">
        <v>0</v>
      </c>
      <c r="D16" s="25" t="n">
        <v>0</v>
      </c>
      <c r="E16" s="26">
        <f>D16</f>
        <v/>
      </c>
      <c r="F16" s="26">
        <f>E16</f>
        <v/>
      </c>
      <c r="G16" s="26">
        <f>F16</f>
        <v/>
      </c>
      <c r="H16" s="26">
        <f>G16</f>
        <v/>
      </c>
      <c r="I16" s="26">
        <f>H16</f>
        <v/>
      </c>
      <c r="J16" s="11" t="inlineStr">
        <is>
          <t>预测持平</t>
        </is>
      </c>
    </row>
    <row r="17">
      <c r="A17" s="4" t="inlineStr">
        <is>
          <t>递延所得税资产</t>
        </is>
      </c>
      <c r="B17" s="25" t="n">
        <v>0</v>
      </c>
      <c r="C17" s="25" t="n">
        <v>29.2</v>
      </c>
      <c r="D17" s="25" t="n">
        <v>35.2</v>
      </c>
      <c r="E17" s="26">
        <f>D17</f>
        <v/>
      </c>
      <c r="F17" s="26">
        <f>E17</f>
        <v/>
      </c>
      <c r="G17" s="26">
        <f>F17</f>
        <v/>
      </c>
      <c r="H17" s="26">
        <f>G17</f>
        <v/>
      </c>
      <c r="I17" s="26">
        <f>H17</f>
        <v/>
      </c>
      <c r="J17" s="11" t="inlineStr">
        <is>
          <t>预测持平</t>
        </is>
      </c>
    </row>
    <row r="18">
      <c r="A18" s="4" t="inlineStr">
        <is>
          <t>其他权益工具投资</t>
        </is>
      </c>
      <c r="B18" s="25" t="n">
        <v>0</v>
      </c>
      <c r="C18" s="25" t="n">
        <v>3747.1</v>
      </c>
      <c r="D18" s="25" t="n">
        <v>1532.3</v>
      </c>
      <c r="E18" s="26">
        <f>D18</f>
        <v/>
      </c>
      <c r="F18" s="26">
        <f>E18</f>
        <v/>
      </c>
      <c r="G18" s="26">
        <f>F18</f>
        <v/>
      </c>
      <c r="H18" s="26">
        <f>G18</f>
        <v/>
      </c>
      <c r="I18" s="26">
        <f>H18</f>
        <v/>
      </c>
      <c r="J18" s="11" t="inlineStr">
        <is>
          <t>预测持平; 2025A末15.3亿已计入DCF的EV→Equity桥</t>
        </is>
      </c>
    </row>
    <row r="19">
      <c r="A19" s="4" t="inlineStr">
        <is>
          <t>其他非流动资产</t>
        </is>
      </c>
      <c r="B19" s="25" t="n">
        <v>-23945</v>
      </c>
      <c r="C19" s="25" t="n">
        <v>2484.9</v>
      </c>
      <c r="D19" s="25" t="n">
        <v>2500.6</v>
      </c>
      <c r="E19" s="26">
        <f>D19</f>
        <v/>
      </c>
      <c r="F19" s="26">
        <f>E19</f>
        <v/>
      </c>
      <c r="G19" s="26">
        <f>F19</f>
        <v/>
      </c>
      <c r="H19" s="26">
        <f>G19</f>
        <v/>
      </c>
      <c r="I19" s="26">
        <f>H19</f>
        <v/>
      </c>
      <c r="J19" s="11" t="inlineStr">
        <is>
          <t>历史为轧差, 预测持平</t>
        </is>
      </c>
    </row>
    <row r="20">
      <c r="A20" s="3" t="inlineStr">
        <is>
          <t>非流动资产合计</t>
        </is>
      </c>
      <c r="B20" s="35">
        <f>B12+B13+B14+B15+B16+B17+B18+B19</f>
        <v/>
      </c>
      <c r="C20" s="35">
        <f>C12+C13+C14+C15+C16+C17+C18+C19</f>
        <v/>
      </c>
      <c r="D20" s="35">
        <f>D12+D13+D14+D15+D16+D17+D18+D19</f>
        <v/>
      </c>
      <c r="E20" s="35">
        <f>E12+E13+E14+E15+E16+E17+E18+E19</f>
        <v/>
      </c>
      <c r="F20" s="35">
        <f>F12+F13+F14+F15+F16+F17+F18+F19</f>
        <v/>
      </c>
      <c r="G20" s="35">
        <f>G12+G13+G14+G15+G16+G17+G18+G19</f>
        <v/>
      </c>
      <c r="H20" s="35">
        <f>H12+H13+H14+H15+H16+H17+H18+H19</f>
        <v/>
      </c>
      <c r="I20" s="35">
        <f>I12+I13+I14+I15+I16+I17+I18+I19</f>
        <v/>
      </c>
      <c r="J20" s="11" t="inlineStr"/>
    </row>
    <row r="21">
      <c r="A21" s="3" t="inlineStr">
        <is>
          <t>资产总计</t>
        </is>
      </c>
      <c r="B21" s="35">
        <f>B11+B20</f>
        <v/>
      </c>
      <c r="C21" s="35">
        <f>C11+C20</f>
        <v/>
      </c>
      <c r="D21" s="35">
        <f>D11+D20</f>
        <v/>
      </c>
      <c r="E21" s="35">
        <f>E11+E20</f>
        <v/>
      </c>
      <c r="F21" s="35">
        <f>F11+F20</f>
        <v/>
      </c>
      <c r="G21" s="35">
        <f>G11+G20</f>
        <v/>
      </c>
      <c r="H21" s="35">
        <f>H11+H20</f>
        <v/>
      </c>
      <c r="I21" s="35">
        <f>I11+I20</f>
        <v/>
      </c>
      <c r="J21" s="11" t="inlineStr">
        <is>
          <t>2025A 522.7亿</t>
        </is>
      </c>
    </row>
    <row r="22">
      <c r="A22" s="4" t="inlineStr">
        <is>
          <t>短期借款</t>
        </is>
      </c>
      <c r="B22" s="25" t="n">
        <v>0</v>
      </c>
      <c r="C22" s="25" t="n">
        <v>2926.3</v>
      </c>
      <c r="D22" s="25" t="n">
        <v>2593.1</v>
      </c>
      <c r="E22" s="26">
        <f>FIN!E24</f>
        <v/>
      </c>
      <c r="F22" s="26">
        <f>FIN!F24</f>
        <v/>
      </c>
      <c r="G22" s="26">
        <f>FIN!G24</f>
        <v/>
      </c>
      <c r="H22" s="26">
        <f>FIN!H24</f>
        <v/>
      </c>
      <c r="I22" s="26">
        <f>FIN!I24</f>
        <v/>
      </c>
      <c r="J22" s="11" t="inlineStr">
        <is>
          <t>预测=FIN revolver期末(缺口新增-sweep偿还)</t>
        </is>
      </c>
    </row>
    <row r="23">
      <c r="A23" s="4" t="inlineStr">
        <is>
          <t>应付票据及应付账款</t>
        </is>
      </c>
      <c r="B23" s="25" t="n">
        <v>3727.9</v>
      </c>
      <c r="C23" s="25" t="n">
        <v>3280.4</v>
      </c>
      <c r="D23" s="25" t="n">
        <v>2966</v>
      </c>
      <c r="E23" s="26">
        <f>Assumptions!C$39/365*IS!E6</f>
        <v/>
      </c>
      <c r="F23" s="26">
        <f>Assumptions!D$39/365*IS!F6</f>
        <v/>
      </c>
      <c r="G23" s="26">
        <f>Assumptions!E$39/365*IS!G6</f>
        <v/>
      </c>
      <c r="H23" s="26">
        <f>Assumptions!F$39/365*IS!H6</f>
        <v/>
      </c>
      <c r="I23" s="26">
        <f>Assumptions!G$39/365*IS!I6</f>
        <v/>
      </c>
      <c r="J23" s="11" t="inlineStr">
        <is>
          <t>预测=DPO/365×营业成本</t>
        </is>
      </c>
    </row>
    <row r="24">
      <c r="A24" s="4" t="inlineStr">
        <is>
          <t>合同负债</t>
        </is>
      </c>
      <c r="B24" s="25" t="n">
        <v>0</v>
      </c>
      <c r="C24" s="25" t="n">
        <v>1547.9</v>
      </c>
      <c r="D24" s="25" t="n">
        <v>1009.1</v>
      </c>
      <c r="E24" s="26">
        <f>D24</f>
        <v/>
      </c>
      <c r="F24" s="26">
        <f>E24</f>
        <v/>
      </c>
      <c r="G24" s="26">
        <f>F24</f>
        <v/>
      </c>
      <c r="H24" s="26">
        <f>G24</f>
        <v/>
      </c>
      <c r="I24" s="26">
        <f>H24</f>
        <v/>
      </c>
      <c r="J24" s="11" t="inlineStr">
        <is>
          <t>预测持平</t>
        </is>
      </c>
    </row>
    <row r="25">
      <c r="A25" s="4" t="inlineStr">
        <is>
          <t>应付职工薪酬</t>
        </is>
      </c>
      <c r="B25" s="25" t="n">
        <v>0</v>
      </c>
      <c r="C25" s="25" t="n">
        <v>0</v>
      </c>
      <c r="D25" s="25" t="n">
        <v>0</v>
      </c>
      <c r="E25" s="26">
        <f>IS!E4*Assumptions!C$41</f>
        <v/>
      </c>
      <c r="F25" s="26">
        <f>IS!F4*Assumptions!D$41</f>
        <v/>
      </c>
      <c r="G25" s="26">
        <f>IS!G4*Assumptions!E$41</f>
        <v/>
      </c>
      <c r="H25" s="26">
        <f>IS!H4*Assumptions!F$41</f>
        <v/>
      </c>
      <c r="I25" s="26">
        <f>IS!I4*Assumptions!G$41</f>
        <v/>
      </c>
      <c r="J25" s="11" t="inlineStr">
        <is>
          <t>预测=收入×0.0%</t>
        </is>
      </c>
    </row>
    <row r="26">
      <c r="A26" s="4" t="inlineStr">
        <is>
          <t>应交税费</t>
        </is>
      </c>
      <c r="B26" s="25" t="n">
        <v>0</v>
      </c>
      <c r="C26" s="25" t="n">
        <v>84.8</v>
      </c>
      <c r="D26" s="25" t="n">
        <v>33.5</v>
      </c>
      <c r="E26" s="26">
        <f>IS!E4*Assumptions!C$42</f>
        <v/>
      </c>
      <c r="F26" s="26">
        <f>IS!F4*Assumptions!D$42</f>
        <v/>
      </c>
      <c r="G26" s="26">
        <f>IS!G4*Assumptions!E$42</f>
        <v/>
      </c>
      <c r="H26" s="26">
        <f>IS!H4*Assumptions!F$42</f>
        <v/>
      </c>
      <c r="I26" s="26">
        <f>IS!I4*Assumptions!G$42</f>
        <v/>
      </c>
      <c r="J26" s="11" t="inlineStr">
        <is>
          <t>预测=收入×0.4%</t>
        </is>
      </c>
    </row>
    <row r="27">
      <c r="A27" s="4" t="inlineStr">
        <is>
          <t>其他应付款</t>
        </is>
      </c>
      <c r="B27" s="25" t="n">
        <v>0</v>
      </c>
      <c r="C27" s="25" t="n">
        <v>0</v>
      </c>
      <c r="D27" s="25" t="n">
        <v>0</v>
      </c>
      <c r="E27" s="26">
        <f>D27</f>
        <v/>
      </c>
      <c r="F27" s="26">
        <f>E27</f>
        <v/>
      </c>
      <c r="G27" s="26">
        <f>F27</f>
        <v/>
      </c>
      <c r="H27" s="26">
        <f>G27</f>
        <v/>
      </c>
      <c r="I27" s="26">
        <f>H27</f>
        <v/>
      </c>
      <c r="J27" s="11" t="inlineStr">
        <is>
          <t>预测持平</t>
        </is>
      </c>
    </row>
    <row r="28">
      <c r="A28" s="4" t="inlineStr">
        <is>
          <t>一年内到期的非流动负债</t>
        </is>
      </c>
      <c r="B28" s="25" t="n">
        <v>0</v>
      </c>
      <c r="C28" s="25" t="n">
        <v>18.5</v>
      </c>
      <c r="D28" s="25" t="n">
        <v>7.5</v>
      </c>
      <c r="E28" s="26">
        <f>FIN!E32</f>
        <v/>
      </c>
      <c r="F28" s="26">
        <f>FIN!F32</f>
        <v/>
      </c>
      <c r="G28" s="26">
        <f>FIN!G32</f>
        <v/>
      </c>
      <c r="H28" s="26">
        <f>FIN!H32</f>
        <v/>
      </c>
      <c r="I28" s="26">
        <f>FIN!I32</f>
        <v/>
      </c>
      <c r="J28" s="11" t="inlineStr">
        <is>
          <t>预测=FIN期末(计划还款摊还)</t>
        </is>
      </c>
    </row>
    <row r="29">
      <c r="A29" s="4" t="inlineStr">
        <is>
          <t>其他流动负债</t>
        </is>
      </c>
      <c r="B29" s="25" t="n">
        <v>3873.7</v>
      </c>
      <c r="C29" s="25" t="n">
        <v>901.8</v>
      </c>
      <c r="D29" s="25" t="n">
        <v>207.9</v>
      </c>
      <c r="E29" s="26">
        <f>D29</f>
        <v/>
      </c>
      <c r="F29" s="26">
        <f>E29</f>
        <v/>
      </c>
      <c r="G29" s="26">
        <f>F29</f>
        <v/>
      </c>
      <c r="H29" s="26">
        <f>G29</f>
        <v/>
      </c>
      <c r="I29" s="26">
        <f>H29</f>
        <v/>
      </c>
      <c r="J29" s="11" t="inlineStr">
        <is>
          <t>历史为轧差, 预测持平</t>
        </is>
      </c>
    </row>
    <row r="30">
      <c r="A30" s="3" t="inlineStr">
        <is>
          <t>流动负债合计</t>
        </is>
      </c>
      <c r="B30" s="35">
        <f>B22+B23+B24+B25+B26+B27+B28+B29</f>
        <v/>
      </c>
      <c r="C30" s="35">
        <f>C22+C23+C24+C25+C26+C27+C28+C29</f>
        <v/>
      </c>
      <c r="D30" s="35">
        <f>D22+D23+D24+D25+D26+D27+D28+D29</f>
        <v/>
      </c>
      <c r="E30" s="35">
        <f>E22+E23+E24+E25+E26+E27+E28+E29</f>
        <v/>
      </c>
      <c r="F30" s="35">
        <f>F22+F23+F24+F25+F26+F27+F28+F29</f>
        <v/>
      </c>
      <c r="G30" s="35">
        <f>G22+G23+G24+G25+G26+G27+G28+G29</f>
        <v/>
      </c>
      <c r="H30" s="35">
        <f>H22+H23+H24+H25+H26+H27+H28+H29</f>
        <v/>
      </c>
      <c r="I30" s="35">
        <f>I22+I23+I24+I25+I26+I27+I28+I29</f>
        <v/>
      </c>
      <c r="J30" s="11" t="inlineStr"/>
    </row>
    <row r="31">
      <c r="A31" s="4" t="inlineStr">
        <is>
          <t>长期借款</t>
        </is>
      </c>
      <c r="B31" s="25" t="n">
        <v>0</v>
      </c>
      <c r="C31" s="25" t="n">
        <v>8038.1</v>
      </c>
      <c r="D31" s="25" t="n">
        <v>9994.799999999999</v>
      </c>
      <c r="E31" s="26">
        <f>FIN!E42</f>
        <v/>
      </c>
      <c r="F31" s="26">
        <f>FIN!F42</f>
        <v/>
      </c>
      <c r="G31" s="26">
        <f>FIN!G42</f>
        <v/>
      </c>
      <c r="H31" s="26">
        <f>FIN!H42</f>
        <v/>
      </c>
      <c r="I31" s="26">
        <f>FIN!I42</f>
        <v/>
      </c>
      <c r="J31" s="11" t="inlineStr">
        <is>
          <t>预测=FIN期末(计划还款+sweep)</t>
        </is>
      </c>
    </row>
    <row r="32">
      <c r="A32" s="4" t="inlineStr">
        <is>
          <t>租赁负债</t>
        </is>
      </c>
      <c r="B32" s="25" t="n">
        <v>26.3</v>
      </c>
      <c r="C32" s="25" t="n">
        <v>7.8</v>
      </c>
      <c r="D32" s="25" t="n">
        <v>0.8</v>
      </c>
      <c r="E32" s="26">
        <f>FIN!E50</f>
        <v/>
      </c>
      <c r="F32" s="26">
        <f>FIN!F50</f>
        <v/>
      </c>
      <c r="G32" s="26">
        <f>FIN!G50</f>
        <v/>
      </c>
      <c r="H32" s="26">
        <f>FIN!H50</f>
        <v/>
      </c>
      <c r="I32" s="26">
        <f>FIN!I50</f>
        <v/>
      </c>
      <c r="J32" s="11" t="inlineStr">
        <is>
          <t>预测=FIN期末(计划还款摊还)</t>
        </is>
      </c>
    </row>
    <row r="33">
      <c r="A33" s="4" t="inlineStr">
        <is>
          <t>其他非流动负债</t>
        </is>
      </c>
      <c r="B33" s="25" t="n">
        <v>-26.3</v>
      </c>
      <c r="C33" s="25" t="n">
        <v>486</v>
      </c>
      <c r="D33" s="25" t="n">
        <v>438.1</v>
      </c>
      <c r="E33" s="26">
        <f>D33</f>
        <v/>
      </c>
      <c r="F33" s="26">
        <f>E33</f>
        <v/>
      </c>
      <c r="G33" s="26">
        <f>F33</f>
        <v/>
      </c>
      <c r="H33" s="26">
        <f>G33</f>
        <v/>
      </c>
      <c r="I33" s="26">
        <f>H33</f>
        <v/>
      </c>
      <c r="J33" s="11" t="inlineStr">
        <is>
          <t>含递延收益/递延所得税负债, 历史轧差, 预测持平</t>
        </is>
      </c>
    </row>
    <row r="34">
      <c r="A34" s="3" t="inlineStr">
        <is>
          <t>非流动负债合计</t>
        </is>
      </c>
      <c r="B34" s="35">
        <f>B31+B32+B33</f>
        <v/>
      </c>
      <c r="C34" s="35">
        <f>C31+C32+C33</f>
        <v/>
      </c>
      <c r="D34" s="35">
        <f>D31+D32+D33</f>
        <v/>
      </c>
      <c r="E34" s="35">
        <f>E31+E32+E33</f>
        <v/>
      </c>
      <c r="F34" s="35">
        <f>F31+F32+F33</f>
        <v/>
      </c>
      <c r="G34" s="35">
        <f>G31+G32+G33</f>
        <v/>
      </c>
      <c r="H34" s="35">
        <f>H31+H32+H33</f>
        <v/>
      </c>
      <c r="I34" s="35">
        <f>I31+I32+I33</f>
        <v/>
      </c>
      <c r="J34" s="11" t="inlineStr"/>
    </row>
    <row r="35">
      <c r="A35" s="3" t="inlineStr">
        <is>
          <t>负债合计</t>
        </is>
      </c>
      <c r="B35" s="35">
        <f>B30+B34</f>
        <v/>
      </c>
      <c r="C35" s="35">
        <f>C30+C34</f>
        <v/>
      </c>
      <c r="D35" s="35">
        <f>D30+D34</f>
        <v/>
      </c>
      <c r="E35" s="35">
        <f>E30+E34</f>
        <v/>
      </c>
      <c r="F35" s="35">
        <f>F30+F34</f>
        <v/>
      </c>
      <c r="G35" s="35">
        <f>G30+G34</f>
        <v/>
      </c>
      <c r="H35" s="35">
        <f>H30+H34</f>
        <v/>
      </c>
      <c r="I35" s="35">
        <f>I30+I34</f>
        <v/>
      </c>
    </row>
    <row r="36">
      <c r="A36" s="4" t="inlineStr">
        <is>
          <t>股本</t>
        </is>
      </c>
      <c r="B36" s="25" t="n">
        <v>0</v>
      </c>
      <c r="C36" s="25" t="n">
        <v>31.9</v>
      </c>
      <c r="D36" s="25" t="n">
        <v>32</v>
      </c>
      <c r="E36" s="26">
        <f>Equity_Roll!E5</f>
        <v/>
      </c>
      <c r="F36" s="26">
        <f>Equity_Roll!F5</f>
        <v/>
      </c>
      <c r="G36" s="26">
        <f>Equity_Roll!G5</f>
        <v/>
      </c>
      <c r="H36" s="26">
        <f>Equity_Roll!H5</f>
        <v/>
      </c>
      <c r="I36" s="26">
        <f>Equity_Roll!I5</f>
        <v/>
      </c>
      <c r="J36" s="11" t="inlineStr">
        <is>
          <t>预测=Equity_Roll(持平)</t>
        </is>
      </c>
    </row>
    <row r="37">
      <c r="A37" s="4" t="inlineStr">
        <is>
          <t>资本公积</t>
        </is>
      </c>
      <c r="B37" s="25" t="n">
        <v>0</v>
      </c>
      <c r="C37" s="25" t="n">
        <v>14266.4</v>
      </c>
      <c r="D37" s="25" t="n">
        <v>14394.8</v>
      </c>
      <c r="E37" s="26">
        <f>Equity_Roll!E6</f>
        <v/>
      </c>
      <c r="F37" s="26">
        <f>Equity_Roll!F6</f>
        <v/>
      </c>
      <c r="G37" s="26">
        <f>Equity_Roll!G6</f>
        <v/>
      </c>
      <c r="H37" s="26">
        <f>Equity_Roll!H6</f>
        <v/>
      </c>
      <c r="I37" s="26">
        <f>Equity_Roll!I6</f>
        <v/>
      </c>
      <c r="J37" s="11" t="inlineStr">
        <is>
          <t>预测=Equity_Roll(持平)</t>
        </is>
      </c>
    </row>
    <row r="38">
      <c r="A38" s="4" t="inlineStr">
        <is>
          <t>减:库存股</t>
        </is>
      </c>
      <c r="B38" s="25" t="n">
        <v>0</v>
      </c>
      <c r="C38" s="25" t="n">
        <v>0</v>
      </c>
      <c r="D38" s="25" t="n">
        <v>0</v>
      </c>
      <c r="E38" s="26">
        <f>Equity_Roll!E7</f>
        <v/>
      </c>
      <c r="F38" s="26">
        <f>Equity_Roll!F7</f>
        <v/>
      </c>
      <c r="G38" s="26">
        <f>Equity_Roll!G7</f>
        <v/>
      </c>
      <c r="H38" s="26">
        <f>Equity_Roll!H7</f>
        <v/>
      </c>
      <c r="I38" s="26">
        <f>Equity_Roll!I7</f>
        <v/>
      </c>
      <c r="J38" s="11" t="inlineStr">
        <is>
          <t>预测=Equity_Roll(持平)</t>
        </is>
      </c>
    </row>
    <row r="39">
      <c r="A39" s="4" t="inlineStr">
        <is>
          <t>其他综合收益</t>
        </is>
      </c>
      <c r="B39" s="25" t="n">
        <v>286.9</v>
      </c>
      <c r="C39" s="25" t="n">
        <v>142.5</v>
      </c>
      <c r="D39" s="25" t="n">
        <v>154.7</v>
      </c>
      <c r="E39" s="26">
        <f>Equity_Roll!E8</f>
        <v/>
      </c>
      <c r="F39" s="26">
        <f>Equity_Roll!F8</f>
        <v/>
      </c>
      <c r="G39" s="26">
        <f>Equity_Roll!G8</f>
        <v/>
      </c>
      <c r="H39" s="26">
        <f>Equity_Roll!H8</f>
        <v/>
      </c>
      <c r="I39" s="26">
        <f>Equity_Roll!I8</f>
        <v/>
      </c>
      <c r="J39" s="11" t="inlineStr">
        <is>
          <t>预测=Equity_Roll(持平)</t>
        </is>
      </c>
    </row>
    <row r="40">
      <c r="A40" s="4" t="inlineStr">
        <is>
          <t>盈余公积</t>
        </is>
      </c>
      <c r="B40" s="25" t="n">
        <v>0</v>
      </c>
      <c r="C40" s="25" t="n">
        <v>0</v>
      </c>
      <c r="D40" s="25" t="n">
        <v>0</v>
      </c>
      <c r="E40" s="26">
        <f>Equity_Roll!E10</f>
        <v/>
      </c>
      <c r="F40" s="26">
        <f>Equity_Roll!F10</f>
        <v/>
      </c>
      <c r="G40" s="26">
        <f>Equity_Roll!G10</f>
        <v/>
      </c>
      <c r="H40" s="26">
        <f>Equity_Roll!H10</f>
        <v/>
      </c>
      <c r="I40" s="26">
        <f>Equity_Roll!I10</f>
        <v/>
      </c>
      <c r="J40" s="11" t="inlineStr">
        <is>
          <t>预测=Equity_Roll(期初+归母×0%)</t>
        </is>
      </c>
    </row>
    <row r="41">
      <c r="A41" s="4" t="inlineStr">
        <is>
          <t>未分配利润</t>
        </is>
      </c>
      <c r="B41" s="25" t="n">
        <v>0</v>
      </c>
      <c r="C41" s="25" t="n">
        <v>6173.1</v>
      </c>
      <c r="D41" s="25" t="n">
        <v>6858.2</v>
      </c>
      <c r="E41" s="26">
        <f>Equity_Roll!E12</f>
        <v/>
      </c>
      <c r="F41" s="26">
        <f>Equity_Roll!F12</f>
        <v/>
      </c>
      <c r="G41" s="26">
        <f>Equity_Roll!G12</f>
        <v/>
      </c>
      <c r="H41" s="26">
        <f>Equity_Roll!H12</f>
        <v/>
      </c>
      <c r="I41" s="26">
        <f>Equity_Roll!I12</f>
        <v/>
      </c>
      <c r="J41" s="11" t="inlineStr">
        <is>
          <t>预测=Equity_Roll(期初+归母-分红-盈余公积计提)</t>
        </is>
      </c>
    </row>
    <row r="42">
      <c r="A42" s="4" t="inlineStr">
        <is>
          <t>其他权益项目(轧差)</t>
        </is>
      </c>
      <c r="B42" s="25" t="n">
        <v>5746.7</v>
      </c>
      <c r="C42" s="25" t="n">
        <v>-0.1</v>
      </c>
      <c r="D42" s="25" t="n">
        <v>0</v>
      </c>
      <c r="E42" s="26">
        <f>D42</f>
        <v/>
      </c>
      <c r="F42" s="26">
        <f>E42</f>
        <v/>
      </c>
      <c r="G42" s="26">
        <f>F42</f>
        <v/>
      </c>
      <c r="H42" s="26">
        <f>G42</f>
        <v/>
      </c>
      <c r="I42" s="26">
        <f>H42</f>
        <v/>
      </c>
      <c r="J42" s="11" t="inlineStr">
        <is>
          <t>含专项储备及换算尾差, 预测持平; 历史尾差已并入本行清零</t>
        </is>
      </c>
    </row>
    <row r="43">
      <c r="A43" s="3" t="inlineStr">
        <is>
          <t>归母所有者权益合计</t>
        </is>
      </c>
      <c r="B43" s="35">
        <f>B36+B37-B38+B39+B40+B41+B42</f>
        <v/>
      </c>
      <c r="C43" s="35">
        <f>C36+C37-C38+C39+C40+C41+C42</f>
        <v/>
      </c>
      <c r="D43" s="35">
        <f>D36+D37-D38+D39+D40+D41+D42</f>
        <v/>
      </c>
      <c r="E43" s="35">
        <f>E36+E37-E38+E39+E40+E41+E42</f>
        <v/>
      </c>
      <c r="F43" s="35">
        <f>F36+F37-F38+F39+F40+F41+F42</f>
        <v/>
      </c>
      <c r="G43" s="35">
        <f>G36+G37-G38+G39+G40+G41+G42</f>
        <v/>
      </c>
      <c r="H43" s="35">
        <f>H36+H37-H38+H39+H40+H41+H42</f>
        <v/>
      </c>
      <c r="I43" s="35">
        <f>I36+I37-I38+I39+I40+I41+I42</f>
        <v/>
      </c>
    </row>
    <row r="44">
      <c r="A44" s="4" t="inlineStr">
        <is>
          <t>少数股东权益</t>
        </is>
      </c>
      <c r="B44" s="25" t="n">
        <v>0</v>
      </c>
      <c r="C44" s="25" t="n">
        <v>11255.8</v>
      </c>
      <c r="D44" s="25" t="n">
        <v>13580.9</v>
      </c>
      <c r="E44" s="26">
        <f>D44</f>
        <v/>
      </c>
      <c r="F44" s="26">
        <f>E44</f>
        <v/>
      </c>
      <c r="G44" s="26">
        <f>F44</f>
        <v/>
      </c>
      <c r="H44" s="26">
        <f>G44</f>
        <v/>
      </c>
      <c r="I44" s="26">
        <f>H44</f>
        <v/>
      </c>
      <c r="J44" s="11" t="inlineStr">
        <is>
          <t>预测持平</t>
        </is>
      </c>
    </row>
    <row r="45">
      <c r="A45" s="3" t="inlineStr">
        <is>
          <t>所有者权益合计</t>
        </is>
      </c>
      <c r="B45" s="36">
        <f>B43+B44</f>
        <v/>
      </c>
      <c r="C45" s="36">
        <f>C43+C44</f>
        <v/>
      </c>
      <c r="D45" s="36">
        <f>D43+D44</f>
        <v/>
      </c>
      <c r="E45" s="36">
        <f>E43+E44</f>
        <v/>
      </c>
      <c r="F45" s="36">
        <f>F43+F44</f>
        <v/>
      </c>
      <c r="G45" s="36">
        <f>G43+G44</f>
        <v/>
      </c>
      <c r="H45" s="36">
        <f>H43+H44</f>
        <v/>
      </c>
      <c r="I45" s="36">
        <f>I43+I44</f>
        <v/>
      </c>
    </row>
    <row r="46">
      <c r="A46" s="3" t="inlineStr">
        <is>
          <t>负债和所有者权益总计</t>
        </is>
      </c>
      <c r="B46" s="35">
        <f>B35+B45</f>
        <v/>
      </c>
      <c r="C46" s="35">
        <f>C35+C45</f>
        <v/>
      </c>
      <c r="D46" s="35">
        <f>D35+D45</f>
        <v/>
      </c>
      <c r="E46" s="35">
        <f>E35+E45</f>
        <v/>
      </c>
      <c r="F46" s="35">
        <f>F35+F45</f>
        <v/>
      </c>
      <c r="G46" s="35">
        <f>G35+G45</f>
        <v/>
      </c>
      <c r="H46" s="35">
        <f>H35+H45</f>
        <v/>
      </c>
      <c r="I46" s="35">
        <f>I35+I45</f>
        <v/>
      </c>
    </row>
    <row r="47">
      <c r="A47" s="33" t="inlineStr">
        <is>
          <t>配平差额检查(资产-负债权益)</t>
        </is>
      </c>
      <c r="B47" s="37">
        <f>B21-B46</f>
        <v/>
      </c>
      <c r="C47" s="37">
        <f>C21-C46</f>
        <v/>
      </c>
      <c r="D47" s="37">
        <f>D21-D46</f>
        <v/>
      </c>
      <c r="E47" s="37">
        <f>E21-E46</f>
        <v/>
      </c>
      <c r="F47" s="37">
        <f>F21-F46</f>
        <v/>
      </c>
      <c r="G47" s="37">
        <f>G21-G46</f>
        <v/>
      </c>
      <c r="H47" s="37">
        <f>H21-H46</f>
        <v/>
      </c>
      <c r="I47" s="37">
        <f>I21-I46</f>
        <v/>
      </c>
      <c r="J47" s="11" t="inlineStr">
        <is>
          <t>应恒=0(容差0.01); Checks页汇总校验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6" customWidth="1" min="10" max="10"/>
  </cols>
  <sheetData>
    <row r="1" ht="24" customHeight="1">
      <c r="A1" s="10" t="inlineStr">
        <is>
          <t>中芯国际 — CF 现金流量表 (间接法, 2023A-2030E)</t>
        </is>
      </c>
    </row>
    <row r="2" ht="14" customHeight="1">
      <c r="A2" s="11" t="inlineStr">
        <is>
          <t>单位: 美元百万元(财报口径) | 利息支出经营加回、筹资列"偿付利息"; 投资含"理财净变动"; 期末货币资金=FIN期末现金=BS货币资金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 / 来源</t>
        </is>
      </c>
    </row>
    <row r="4">
      <c r="A4" s="4" t="inlineStr">
        <is>
          <t>归母净利润</t>
        </is>
      </c>
      <c r="B4" s="25" t="n">
        <v>902.5</v>
      </c>
      <c r="C4" s="25" t="n">
        <v>492.7</v>
      </c>
      <c r="D4" s="25" t="n">
        <v>685.1</v>
      </c>
      <c r="E4" s="26">
        <f>IS!E20</f>
        <v/>
      </c>
      <c r="F4" s="26">
        <f>IS!F20</f>
        <v/>
      </c>
      <c r="G4" s="26">
        <f>IS!G20</f>
        <v/>
      </c>
      <c r="H4" s="26">
        <f>IS!H20</f>
        <v/>
      </c>
      <c r="I4" s="26">
        <f>IS!I20</f>
        <v/>
      </c>
      <c r="J4" s="11" t="inlineStr">
        <is>
          <t>＝IS归母净利</t>
        </is>
      </c>
    </row>
    <row r="5">
      <c r="A5" s="4" t="inlineStr">
        <is>
          <t>加: 折旧与摊销(D&amp;A)</t>
        </is>
      </c>
      <c r="B5" s="25" t="n">
        <v>18891.6</v>
      </c>
      <c r="C5" s="25" t="n">
        <v>3223.1</v>
      </c>
      <c r="D5" s="25" t="n">
        <v>3810</v>
      </c>
      <c r="E5" s="26">
        <f>PPE!E19</f>
        <v/>
      </c>
      <c r="F5" s="26">
        <f>PPE!F19</f>
        <v/>
      </c>
      <c r="G5" s="26">
        <f>PPE!G19</f>
        <v/>
      </c>
      <c r="H5" s="26">
        <f>PPE!H19</f>
        <v/>
      </c>
      <c r="I5" s="26">
        <f>PPE!I19</f>
        <v/>
      </c>
      <c r="J5" s="11" t="inlineStr">
        <is>
          <t>历史=固定资产折旧+无形/长待摊摊销; 预测=PP&amp;E页合计</t>
        </is>
      </c>
    </row>
    <row r="6">
      <c r="A6" s="4" t="inlineStr">
        <is>
          <t>加: 利息支出(重分类至筹资)</t>
        </is>
      </c>
      <c r="B6" s="21" t="inlineStr">
        <is>
          <t>—</t>
        </is>
      </c>
      <c r="C6" s="21" t="inlineStr">
        <is>
          <t>—</t>
        </is>
      </c>
      <c r="D6" s="21" t="inlineStr">
        <is>
          <t>—</t>
        </is>
      </c>
      <c r="E6" s="26">
        <f>FIN!E64</f>
        <v/>
      </c>
      <c r="F6" s="26">
        <f>FIN!F64</f>
        <v/>
      </c>
      <c r="G6" s="26">
        <f>FIN!G64</f>
        <v/>
      </c>
      <c r="H6" s="26">
        <f>FIN!H64</f>
        <v/>
      </c>
      <c r="I6" s="26">
        <f>FIN!I64</f>
        <v/>
      </c>
      <c r="J6" s="11" t="inlineStr">
        <is>
          <t>利润表中利息属筹资活动, 经营现金流加回; 历史未拆(列—)</t>
        </is>
      </c>
    </row>
    <row r="7">
      <c r="A7" s="4" t="inlineStr">
        <is>
          <t>减: 营运资本变动(增加为负)</t>
        </is>
      </c>
      <c r="B7" s="21" t="inlineStr">
        <is>
          <t>—</t>
        </is>
      </c>
      <c r="C7" s="21" t="inlineStr">
        <is>
          <t>—</t>
        </is>
      </c>
      <c r="D7" s="21" t="inlineStr">
        <is>
          <t>—</t>
        </is>
      </c>
      <c r="E7" s="26">
        <f>-Schedules!E18</f>
        <v/>
      </c>
      <c r="F7" s="26">
        <f>-Schedules!F18</f>
        <v/>
      </c>
      <c r="G7" s="26">
        <f>-Schedules!G18</f>
        <v/>
      </c>
      <c r="H7" s="26">
        <f>-Schedules!H18</f>
        <v/>
      </c>
      <c r="I7" s="26">
        <f>-Schedules!I18</f>
        <v/>
      </c>
      <c r="J7" s="11" t="inlineStr">
        <is>
          <t>预测=-ΔNWC(Schedules)</t>
        </is>
      </c>
    </row>
    <row r="8">
      <c r="A8" s="3" t="inlineStr">
        <is>
          <t>经营活动现金流量净额</t>
        </is>
      </c>
      <c r="B8" s="38" t="n">
        <v>23785.8</v>
      </c>
      <c r="C8" s="38" t="n">
        <v>3175.6</v>
      </c>
      <c r="D8" s="38" t="n">
        <v>3194.3</v>
      </c>
      <c r="E8" s="36">
        <f>E4+E5+E6+E7</f>
        <v/>
      </c>
      <c r="F8" s="36">
        <f>F4+F5+F6+F7</f>
        <v/>
      </c>
      <c r="G8" s="36">
        <f>G4+G5+G6+G7</f>
        <v/>
      </c>
      <c r="H8" s="36">
        <f>H4+H5+H6+H7</f>
        <v/>
      </c>
      <c r="I8" s="36">
        <f>I4+I5+I6+I7</f>
        <v/>
      </c>
      <c r="J8" s="11" t="inlineStr">
        <is>
          <t>历史为年报实际值(含利息, 口径与预测略有差异)</t>
        </is>
      </c>
    </row>
    <row r="9">
      <c r="A9" s="4" t="inlineStr">
        <is>
          <t>资本开支(购建长期资产)</t>
        </is>
      </c>
      <c r="B9" s="25" t="n">
        <v>-54065.4</v>
      </c>
      <c r="C9" s="25" t="n">
        <v>-7669.9</v>
      </c>
      <c r="D9" s="25" t="n">
        <v>-8403.5</v>
      </c>
      <c r="E9" s="26">
        <f>-PPE!E14</f>
        <v/>
      </c>
      <c r="F9" s="26">
        <f>-PPE!F14</f>
        <v/>
      </c>
      <c r="G9" s="26">
        <f>-PPE!G14</f>
        <v/>
      </c>
      <c r="H9" s="26">
        <f>-PPE!H14</f>
        <v/>
      </c>
      <c r="I9" s="26">
        <f>-PPE!I14</f>
        <v/>
      </c>
      <c r="J9" s="11" t="inlineStr">
        <is>
          <t>预测=-收入×Capex占比(PP&amp;E页)</t>
        </is>
      </c>
    </row>
    <row r="10">
      <c r="A10" s="4" t="inlineStr">
        <is>
          <t>加: 处置固定资产回收(账面值)</t>
        </is>
      </c>
      <c r="B10" s="21" t="inlineStr">
        <is>
          <t>—</t>
        </is>
      </c>
      <c r="C10" s="21" t="inlineStr">
        <is>
          <t>—</t>
        </is>
      </c>
      <c r="D10" s="21" t="inlineStr">
        <is>
          <t>—</t>
        </is>
      </c>
      <c r="E10" s="26">
        <f>PPE!E9</f>
        <v/>
      </c>
      <c r="F10" s="26">
        <f>PPE!F9</f>
        <v/>
      </c>
      <c r="G10" s="26">
        <f>PPE!G9</f>
        <v/>
      </c>
      <c r="H10" s="26">
        <f>PPE!H9</f>
        <v/>
      </c>
      <c r="I10" s="26">
        <f>PPE!I9</f>
        <v/>
      </c>
      <c r="J10" s="11" t="inlineStr">
        <is>
          <t>预测=PP&amp;E页处置额(按账面值回收, 无损益); 历史含在投资净额内(列—)</t>
        </is>
      </c>
    </row>
    <row r="11">
      <c r="A11" s="4" t="inlineStr">
        <is>
          <t>理财净变动(交易性金融资产)</t>
        </is>
      </c>
      <c r="B11" s="21" t="inlineStr">
        <is>
          <t>—</t>
        </is>
      </c>
      <c r="C11" s="21" t="inlineStr">
        <is>
          <t>—</t>
        </is>
      </c>
      <c r="D11" s="21" t="inlineStr">
        <is>
          <t>—</t>
        </is>
      </c>
      <c r="E11" s="26">
        <f>-FIN!E62</f>
        <v/>
      </c>
      <c r="F11" s="26">
        <f>-FIN!F62</f>
        <v/>
      </c>
      <c r="G11" s="26">
        <f>-FIN!G62</f>
        <v/>
      </c>
      <c r="H11" s="26">
        <f>-FIN!H62</f>
        <v/>
      </c>
      <c r="I11" s="26">
        <f>-FIN!I62</f>
        <v/>
      </c>
      <c r="J11" s="11" t="inlineStr">
        <is>
          <t>＝-FIN理财净变动(sweep溢出购买为流出); 历史含在投资净额内(列—)</t>
        </is>
      </c>
    </row>
    <row r="12">
      <c r="A12" s="3" t="inlineStr">
        <is>
          <t>投资活动现金流量净额</t>
        </is>
      </c>
      <c r="B12" s="38" t="n">
        <v>-43966.4</v>
      </c>
      <c r="C12" s="38" t="n">
        <v>-4518.4</v>
      </c>
      <c r="D12" s="38" t="n">
        <v>-6495.4</v>
      </c>
      <c r="E12" s="36">
        <f>E9+E10+E11</f>
        <v/>
      </c>
      <c r="F12" s="36">
        <f>F9+F10+F11</f>
        <v/>
      </c>
      <c r="G12" s="36">
        <f>G9+G10+G11</f>
        <v/>
      </c>
      <c r="H12" s="36">
        <f>H9+H10+H11</f>
        <v/>
      </c>
      <c r="I12" s="36">
        <f>I9+I10+I11</f>
        <v/>
      </c>
      <c r="J12" s="11" t="inlineStr">
        <is>
          <t>历史为年报实际值; 预测=资本开支+处置回收+理财净变动</t>
        </is>
      </c>
    </row>
    <row r="13">
      <c r="A13" s="4" t="inlineStr">
        <is>
          <t>债务净变动(新增为正)</t>
        </is>
      </c>
      <c r="B13" s="21" t="inlineStr">
        <is>
          <t>—</t>
        </is>
      </c>
      <c r="C13" s="21" t="inlineStr">
        <is>
          <t>—</t>
        </is>
      </c>
      <c r="D13" s="21" t="inlineStr">
        <is>
          <t>—</t>
        </is>
      </c>
      <c r="E13" s="26">
        <f>FIN!E57</f>
        <v/>
      </c>
      <c r="F13" s="26">
        <f>FIN!F57</f>
        <v/>
      </c>
      <c r="G13" s="26">
        <f>FIN!G57</f>
        <v/>
      </c>
      <c r="H13" s="26">
        <f>FIN!H57</f>
        <v/>
      </c>
      <c r="I13" s="26">
        <f>FIN!I57</f>
        <v/>
      </c>
      <c r="J13" s="11" t="inlineStr">
        <is>
          <t>＝FIN四档债务期末-期初(含revolver新增/sweep偿还)</t>
        </is>
      </c>
    </row>
    <row r="14">
      <c r="A14" s="4" t="inlineStr">
        <is>
          <t>偿付利息</t>
        </is>
      </c>
      <c r="B14" s="21" t="inlineStr">
        <is>
          <t>—</t>
        </is>
      </c>
      <c r="C14" s="21" t="inlineStr">
        <is>
          <t>—</t>
        </is>
      </c>
      <c r="D14" s="21" t="inlineStr">
        <is>
          <t>—</t>
        </is>
      </c>
      <c r="E14" s="26">
        <f>-FIN!E64</f>
        <v/>
      </c>
      <c r="F14" s="26">
        <f>-FIN!F64</f>
        <v/>
      </c>
      <c r="G14" s="26">
        <f>-FIN!G64</f>
        <v/>
      </c>
      <c r="H14" s="26">
        <f>-FIN!H64</f>
        <v/>
      </c>
      <c r="I14" s="26">
        <f>-FIN!I64</f>
        <v/>
      </c>
      <c r="J14" s="11" t="inlineStr">
        <is>
          <t>利息支出列筹资活动</t>
        </is>
      </c>
    </row>
    <row r="15">
      <c r="A15" s="4" t="inlineStr">
        <is>
          <t>股利支付</t>
        </is>
      </c>
      <c r="B15" s="21" t="inlineStr">
        <is>
          <t>—</t>
        </is>
      </c>
      <c r="C15" s="21" t="inlineStr">
        <is>
          <t>—</t>
        </is>
      </c>
      <c r="D15" s="21" t="inlineStr">
        <is>
          <t>—</t>
        </is>
      </c>
      <c r="E15" s="26">
        <f>-Schedules!E26</f>
        <v/>
      </c>
      <c r="F15" s="26">
        <f>-Schedules!F26</f>
        <v/>
      </c>
      <c r="G15" s="26">
        <f>-Schedules!G26</f>
        <v/>
      </c>
      <c r="H15" s="26">
        <f>-Schedules!H26</f>
        <v/>
      </c>
      <c r="I15" s="26">
        <f>-Schedules!I26</f>
        <v/>
      </c>
      <c r="J15" s="11" t="inlineStr">
        <is>
          <t>＝-上年归母×30%</t>
        </is>
      </c>
    </row>
    <row r="16">
      <c r="A16" s="3" t="inlineStr">
        <is>
          <t>筹资活动现金流量净额</t>
        </is>
      </c>
      <c r="B16" s="38" t="n">
        <v>17468.3</v>
      </c>
      <c r="C16" s="38" t="n">
        <v>1608.3</v>
      </c>
      <c r="D16" s="38" t="n">
        <v>2676.5</v>
      </c>
      <c r="E16" s="36">
        <f>E13+E14+E15</f>
        <v/>
      </c>
      <c r="F16" s="36">
        <f>F13+F14+F15</f>
        <v/>
      </c>
      <c r="G16" s="36">
        <f>G13+G14+G15</f>
        <v/>
      </c>
      <c r="H16" s="36">
        <f>H13+H14+H15</f>
        <v/>
      </c>
      <c r="I16" s="36">
        <f>I13+I14+I15</f>
        <v/>
      </c>
      <c r="J16" s="11" t="inlineStr">
        <is>
          <t>历史为年报实际值; 预测=债务净变动-利息-股利</t>
        </is>
      </c>
    </row>
    <row r="17">
      <c r="A17" s="3" t="inlineStr">
        <is>
          <t>货币资金净增加额</t>
        </is>
      </c>
      <c r="B17" s="21" t="inlineStr">
        <is>
          <t>—</t>
        </is>
      </c>
      <c r="C17" s="21" t="inlineStr">
        <is>
          <t>—</t>
        </is>
      </c>
      <c r="D17" s="21" t="inlineStr">
        <is>
          <t>—</t>
        </is>
      </c>
      <c r="E17" s="36">
        <f>E8+E12+E16</f>
        <v/>
      </c>
      <c r="F17" s="36">
        <f>F8+F12+F16</f>
        <v/>
      </c>
      <c r="G17" s="36">
        <f>G8+G12+G16</f>
        <v/>
      </c>
      <c r="H17" s="36">
        <f>H8+H12+H16</f>
        <v/>
      </c>
      <c r="I17" s="36">
        <f>I8+I12+I16</f>
        <v/>
      </c>
      <c r="J17" s="11" t="inlineStr"/>
    </row>
    <row r="18">
      <c r="A18" s="4" t="inlineStr">
        <is>
          <t>期初货币资金</t>
        </is>
      </c>
      <c r="B18" s="21" t="inlineStr">
        <is>
          <t>—</t>
        </is>
      </c>
      <c r="C18" s="21" t="inlineStr">
        <is>
          <t>—</t>
        </is>
      </c>
      <c r="D18" s="21" t="inlineStr">
        <is>
          <t>—</t>
        </is>
      </c>
      <c r="E18" s="26">
        <f>BS!D4</f>
        <v/>
      </c>
      <c r="F18" s="26">
        <f>E19</f>
        <v/>
      </c>
      <c r="G18" s="26">
        <f>F19</f>
        <v/>
      </c>
      <c r="H18" s="26">
        <f>G19</f>
        <v/>
      </c>
      <c r="I18" s="26">
        <f>H19</f>
        <v/>
      </c>
      <c r="J18" s="11" t="inlineStr">
        <is>
          <t>2026期初=2025A末货币资金</t>
        </is>
      </c>
    </row>
    <row r="19">
      <c r="A19" s="3" t="inlineStr">
        <is>
          <t>期末货币资金(=BS货币资金)</t>
        </is>
      </c>
      <c r="B19" s="38" t="n">
        <v>44019.4</v>
      </c>
      <c r="C19" s="38" t="n">
        <v>6364.2</v>
      </c>
      <c r="D19" s="38" t="n">
        <v>5872.5</v>
      </c>
      <c r="E19" s="36">
        <f>E18+E17</f>
        <v/>
      </c>
      <c r="F19" s="36">
        <f>F18+F17</f>
        <v/>
      </c>
      <c r="G19" s="36">
        <f>G18+G17</f>
        <v/>
      </c>
      <c r="H19" s="36">
        <f>H18+H17</f>
        <v/>
      </c>
      <c r="I19" s="36">
        <f>I18+I17</f>
        <v/>
      </c>
      <c r="J19" s="11" t="inlineStr">
        <is>
          <t>历史=BS货币资金; 预测=期初+净增加=FIN期末现金(最低现金)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 ht="24" customHeight="1">
      <c r="A1" s="10" t="inlineStr">
        <is>
          <t>中芯国际 — Schedules 营运资本 / 无形资产 / 股利</t>
        </is>
      </c>
    </row>
    <row r="2" ht="14" customHeight="1">
      <c r="A2" s="11" t="inlineStr">
        <is>
          <t>单位: 美元百万元(财报口径) | PP&amp;E见PP&amp;E页, 债务与利息见FIN页; 预测行全公式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</t>
        </is>
      </c>
    </row>
    <row r="5" ht="16" customHeight="1">
      <c r="A5" s="19" t="inlineStr">
        <is>
          <t>一、营运资本 (NWC)</t>
        </is>
      </c>
    </row>
    <row r="6">
      <c r="A6" s="4" t="inlineStr">
        <is>
          <t>应收票据及应收账款</t>
        </is>
      </c>
      <c r="B6" s="26">
        <f>BS!B6</f>
        <v/>
      </c>
      <c r="C6" s="26">
        <f>BS!C6</f>
        <v/>
      </c>
      <c r="D6" s="26">
        <f>BS!D6</f>
        <v/>
      </c>
      <c r="E6" s="26">
        <f>BS!E6</f>
        <v/>
      </c>
      <c r="F6" s="26">
        <f>BS!F6</f>
        <v/>
      </c>
      <c r="G6" s="26">
        <f>BS!G6</f>
        <v/>
      </c>
      <c r="H6" s="26">
        <f>BS!H6</f>
        <v/>
      </c>
      <c r="I6" s="26">
        <f>BS!I6</f>
        <v/>
      </c>
      <c r="J6" s="11" t="inlineStr">
        <is>
          <t>＝BS, 预测=DSO/365×收入</t>
        </is>
      </c>
    </row>
    <row r="7">
      <c r="A7" s="4" t="inlineStr">
        <is>
          <t>预付款项</t>
        </is>
      </c>
      <c r="B7" s="26">
        <f>BS!B7</f>
        <v/>
      </c>
      <c r="C7" s="26">
        <f>BS!C7</f>
        <v/>
      </c>
      <c r="D7" s="26">
        <f>BS!D7</f>
        <v/>
      </c>
      <c r="E7" s="26">
        <f>BS!E7</f>
        <v/>
      </c>
      <c r="F7" s="26">
        <f>BS!F7</f>
        <v/>
      </c>
      <c r="G7" s="26">
        <f>BS!G7</f>
        <v/>
      </c>
      <c r="H7" s="26">
        <f>BS!H7</f>
        <v/>
      </c>
      <c r="I7" s="26">
        <f>BS!I7</f>
        <v/>
      </c>
      <c r="J7" s="11" t="inlineStr">
        <is>
          <t>＝BS, 预测=收入×预付率</t>
        </is>
      </c>
    </row>
    <row r="8">
      <c r="A8" s="4" t="inlineStr">
        <is>
          <t>其他应收款</t>
        </is>
      </c>
      <c r="B8" s="26">
        <f>BS!B8</f>
        <v/>
      </c>
      <c r="C8" s="26">
        <f>BS!C8</f>
        <v/>
      </c>
      <c r="D8" s="26">
        <f>BS!D8</f>
        <v/>
      </c>
      <c r="E8" s="26">
        <f>BS!E8</f>
        <v/>
      </c>
      <c r="F8" s="26">
        <f>BS!F8</f>
        <v/>
      </c>
      <c r="G8" s="26">
        <f>BS!G8</f>
        <v/>
      </c>
      <c r="H8" s="26">
        <f>BS!H8</f>
        <v/>
      </c>
      <c r="I8" s="26">
        <f>BS!I8</f>
        <v/>
      </c>
      <c r="J8" s="11" t="inlineStr">
        <is>
          <t>＝BS, 预测持平</t>
        </is>
      </c>
    </row>
    <row r="9">
      <c r="A9" s="4" t="inlineStr">
        <is>
          <t>存货</t>
        </is>
      </c>
      <c r="B9" s="26">
        <f>BS!B9</f>
        <v/>
      </c>
      <c r="C9" s="26">
        <f>BS!C9</f>
        <v/>
      </c>
      <c r="D9" s="26">
        <f>BS!D9</f>
        <v/>
      </c>
      <c r="E9" s="26">
        <f>BS!E9</f>
        <v/>
      </c>
      <c r="F9" s="26">
        <f>BS!F9</f>
        <v/>
      </c>
      <c r="G9" s="26">
        <f>BS!G9</f>
        <v/>
      </c>
      <c r="H9" s="26">
        <f>BS!H9</f>
        <v/>
      </c>
      <c r="I9" s="26">
        <f>BS!I9</f>
        <v/>
      </c>
      <c r="J9" s="11" t="inlineStr">
        <is>
          <t>＝BS, 预测=DIO/365×营业成本</t>
        </is>
      </c>
    </row>
    <row r="10">
      <c r="A10" s="3" t="inlineStr">
        <is>
          <t>经营性流动资产小计</t>
        </is>
      </c>
      <c r="B10" s="26">
        <f>SUM(B6:B9)</f>
        <v/>
      </c>
      <c r="C10" s="26">
        <f>SUM(C6:C9)</f>
        <v/>
      </c>
      <c r="D10" s="26">
        <f>SUM(D6:D9)</f>
        <v/>
      </c>
      <c r="E10" s="26">
        <f>SUM(E6:E9)</f>
        <v/>
      </c>
      <c r="F10" s="26">
        <f>SUM(F6:F9)</f>
        <v/>
      </c>
      <c r="G10" s="26">
        <f>SUM(G6:G9)</f>
        <v/>
      </c>
      <c r="H10" s="26">
        <f>SUM(H6:H9)</f>
        <v/>
      </c>
      <c r="I10" s="26">
        <f>SUM(I6:I9)</f>
        <v/>
      </c>
      <c r="J10" s="11" t="inlineStr"/>
    </row>
    <row r="11">
      <c r="A11" s="4" t="inlineStr">
        <is>
          <t>应付票据及应付账款</t>
        </is>
      </c>
      <c r="B11" s="26">
        <f>BS!B23</f>
        <v/>
      </c>
      <c r="C11" s="26">
        <f>BS!C23</f>
        <v/>
      </c>
      <c r="D11" s="26">
        <f>BS!D23</f>
        <v/>
      </c>
      <c r="E11" s="26">
        <f>BS!E23</f>
        <v/>
      </c>
      <c r="F11" s="26">
        <f>BS!F23</f>
        <v/>
      </c>
      <c r="G11" s="26">
        <f>BS!G23</f>
        <v/>
      </c>
      <c r="H11" s="26">
        <f>BS!H23</f>
        <v/>
      </c>
      <c r="I11" s="26">
        <f>BS!I23</f>
        <v/>
      </c>
      <c r="J11" s="11" t="inlineStr">
        <is>
          <t>＝BS, 预测=DPO/365×营业成本</t>
        </is>
      </c>
    </row>
    <row r="12">
      <c r="A12" s="4" t="inlineStr">
        <is>
          <t>合同负债</t>
        </is>
      </c>
      <c r="B12" s="26">
        <f>BS!B24</f>
        <v/>
      </c>
      <c r="C12" s="26">
        <f>BS!C24</f>
        <v/>
      </c>
      <c r="D12" s="26">
        <f>BS!D24</f>
        <v/>
      </c>
      <c r="E12" s="26">
        <f>BS!E24</f>
        <v/>
      </c>
      <c r="F12" s="26">
        <f>BS!F24</f>
        <v/>
      </c>
      <c r="G12" s="26">
        <f>BS!G24</f>
        <v/>
      </c>
      <c r="H12" s="26">
        <f>BS!H24</f>
        <v/>
      </c>
      <c r="I12" s="26">
        <f>BS!I24</f>
        <v/>
      </c>
      <c r="J12" s="11" t="inlineStr">
        <is>
          <t>＝BS, 持平</t>
        </is>
      </c>
    </row>
    <row r="13">
      <c r="A13" s="4" t="inlineStr">
        <is>
          <t>应付职工薪酬</t>
        </is>
      </c>
      <c r="B13" s="26">
        <f>BS!B25</f>
        <v/>
      </c>
      <c r="C13" s="26">
        <f>BS!C25</f>
        <v/>
      </c>
      <c r="D13" s="26">
        <f>BS!D25</f>
        <v/>
      </c>
      <c r="E13" s="26">
        <f>BS!E25</f>
        <v/>
      </c>
      <c r="F13" s="26">
        <f>BS!F25</f>
        <v/>
      </c>
      <c r="G13" s="26">
        <f>BS!G25</f>
        <v/>
      </c>
      <c r="H13" s="26">
        <f>BS!H25</f>
        <v/>
      </c>
      <c r="I13" s="26">
        <f>BS!I25</f>
        <v/>
      </c>
      <c r="J13" s="11" t="inlineStr">
        <is>
          <t>＝BS, 预测=收入×比率</t>
        </is>
      </c>
    </row>
    <row r="14">
      <c r="A14" s="4" t="inlineStr">
        <is>
          <t>应交税费</t>
        </is>
      </c>
      <c r="B14" s="26">
        <f>BS!B26</f>
        <v/>
      </c>
      <c r="C14" s="26">
        <f>BS!C26</f>
        <v/>
      </c>
      <c r="D14" s="26">
        <f>BS!D26</f>
        <v/>
      </c>
      <c r="E14" s="26">
        <f>BS!E26</f>
        <v/>
      </c>
      <c r="F14" s="26">
        <f>BS!F26</f>
        <v/>
      </c>
      <c r="G14" s="26">
        <f>BS!G26</f>
        <v/>
      </c>
      <c r="H14" s="26">
        <f>BS!H26</f>
        <v/>
      </c>
      <c r="I14" s="26">
        <f>BS!I26</f>
        <v/>
      </c>
      <c r="J14" s="11" t="inlineStr">
        <is>
          <t>＝BS, 预测=收入×比率</t>
        </is>
      </c>
    </row>
    <row r="15">
      <c r="A15" s="4" t="inlineStr">
        <is>
          <t>其他应付款</t>
        </is>
      </c>
      <c r="B15" s="26">
        <f>BS!B27</f>
        <v/>
      </c>
      <c r="C15" s="26">
        <f>BS!C27</f>
        <v/>
      </c>
      <c r="D15" s="26">
        <f>BS!D27</f>
        <v/>
      </c>
      <c r="E15" s="26">
        <f>BS!E27</f>
        <v/>
      </c>
      <c r="F15" s="26">
        <f>BS!F27</f>
        <v/>
      </c>
      <c r="G15" s="26">
        <f>BS!G27</f>
        <v/>
      </c>
      <c r="H15" s="26">
        <f>BS!H27</f>
        <v/>
      </c>
      <c r="I15" s="26">
        <f>BS!I27</f>
        <v/>
      </c>
      <c r="J15" s="11" t="inlineStr">
        <is>
          <t>＝BS, 持平</t>
        </is>
      </c>
    </row>
    <row r="16">
      <c r="A16" s="3" t="inlineStr">
        <is>
          <t>经营性流动负债小计</t>
        </is>
      </c>
      <c r="B16" s="26">
        <f>SUM(B11:B15)</f>
        <v/>
      </c>
      <c r="C16" s="26">
        <f>SUM(C11:C15)</f>
        <v/>
      </c>
      <c r="D16" s="26">
        <f>SUM(D11:D15)</f>
        <v/>
      </c>
      <c r="E16" s="26">
        <f>SUM(E11:E15)</f>
        <v/>
      </c>
      <c r="F16" s="26">
        <f>SUM(F11:F15)</f>
        <v/>
      </c>
      <c r="G16" s="26">
        <f>SUM(G11:G15)</f>
        <v/>
      </c>
      <c r="H16" s="26">
        <f>SUM(H11:H15)</f>
        <v/>
      </c>
      <c r="I16" s="26">
        <f>SUM(I11:I15)</f>
        <v/>
      </c>
      <c r="J16" s="11" t="inlineStr"/>
    </row>
    <row r="17">
      <c r="A17" s="3" t="inlineStr">
        <is>
          <t>净营运资本 NWC</t>
        </is>
      </c>
      <c r="B17" s="26">
        <f>B10-B16</f>
        <v/>
      </c>
      <c r="C17" s="26">
        <f>C10-C16</f>
        <v/>
      </c>
      <c r="D17" s="26">
        <f>D10-D16</f>
        <v/>
      </c>
      <c r="E17" s="26">
        <f>E10-E16</f>
        <v/>
      </c>
      <c r="F17" s="26">
        <f>F10-F16</f>
        <v/>
      </c>
      <c r="G17" s="26">
        <f>G10-G16</f>
        <v/>
      </c>
      <c r="H17" s="26">
        <f>H10-H16</f>
        <v/>
      </c>
      <c r="I17" s="26">
        <f>I10-I16</f>
        <v/>
      </c>
      <c r="J17" s="11" t="inlineStr">
        <is>
          <t>＝经营性流动资产-经营性流动负债</t>
        </is>
      </c>
    </row>
    <row r="18">
      <c r="A18" s="4" t="inlineStr">
        <is>
          <t>ΔNWC (增加为正)</t>
        </is>
      </c>
      <c r="E18" s="26">
        <f>E17-D17</f>
        <v/>
      </c>
      <c r="F18" s="26">
        <f>F17-E17</f>
        <v/>
      </c>
      <c r="G18" s="26">
        <f>G17-F17</f>
        <v/>
      </c>
      <c r="H18" s="26">
        <f>H17-G17</f>
        <v/>
      </c>
      <c r="I18" s="26">
        <f>I17-H17</f>
        <v/>
      </c>
      <c r="J18" s="11" t="inlineStr">
        <is>
          <t>CF中扣减项</t>
        </is>
      </c>
    </row>
    <row r="20" ht="16" customHeight="1">
      <c r="A20" s="19" t="inlineStr">
        <is>
          <t>二、无形资产摊销</t>
        </is>
      </c>
    </row>
    <row r="21">
      <c r="A21" s="4" t="inlineStr">
        <is>
          <t>期初无形资产</t>
        </is>
      </c>
      <c r="E21" s="26">
        <f>BS!D14</f>
        <v/>
      </c>
      <c r="F21" s="26">
        <f>E23</f>
        <v/>
      </c>
      <c r="G21" s="26">
        <f>F23</f>
        <v/>
      </c>
      <c r="H21" s="26">
        <f>G23</f>
        <v/>
      </c>
      <c r="I21" s="26">
        <f>H23</f>
        <v/>
      </c>
      <c r="J21" s="11" t="inlineStr">
        <is>
          <t>2026期初=2025A期末</t>
        </is>
      </c>
    </row>
    <row r="22">
      <c r="A22" s="4" t="inlineStr">
        <is>
          <t>无形资产摊销</t>
        </is>
      </c>
      <c r="E22" s="26">
        <f>E21*Assumptions!$C$50</f>
        <v/>
      </c>
      <c r="F22" s="26">
        <f>F21*Assumptions!$C$50</f>
        <v/>
      </c>
      <c r="G22" s="26">
        <f>G21*Assumptions!$C$50</f>
        <v/>
      </c>
      <c r="H22" s="26">
        <f>H21*Assumptions!$C$50</f>
        <v/>
      </c>
      <c r="I22" s="26">
        <f>I21*Assumptions!$C$50</f>
        <v/>
      </c>
      <c r="J22" s="11" t="inlineStr">
        <is>
          <t>＝期初×8%</t>
        </is>
      </c>
    </row>
    <row r="23">
      <c r="A23" s="4" t="inlineStr">
        <is>
          <t>期末无形资产</t>
        </is>
      </c>
      <c r="E23" s="26">
        <f>E21-E22</f>
        <v/>
      </c>
      <c r="F23" s="26">
        <f>F21-F22</f>
        <v/>
      </c>
      <c r="G23" s="26">
        <f>G21-G22</f>
        <v/>
      </c>
      <c r="H23" s="26">
        <f>H21-H22</f>
        <v/>
      </c>
      <c r="I23" s="26">
        <f>I21-I22</f>
        <v/>
      </c>
      <c r="J23" s="11" t="inlineStr">
        <is>
          <t>＝期初-摊销</t>
        </is>
      </c>
    </row>
    <row r="25" ht="16" customHeight="1">
      <c r="A25" s="19" t="inlineStr">
        <is>
          <t>三、股利</t>
        </is>
      </c>
    </row>
    <row r="26">
      <c r="A26" s="4" t="inlineStr">
        <is>
          <t>现金分红(当年支付)</t>
        </is>
      </c>
      <c r="E26" s="26">
        <f>IS!D20*Assumptions!C$53</f>
        <v/>
      </c>
      <c r="F26" s="26">
        <f>IS!E20*Assumptions!D$53</f>
        <v/>
      </c>
      <c r="G26" s="26">
        <f>IS!F20*Assumptions!E$53</f>
        <v/>
      </c>
      <c r="H26" s="26">
        <f>IS!G20*Assumptions!F$53</f>
        <v/>
      </c>
      <c r="I26" s="26">
        <f>IS!H20*Assumptions!G$53</f>
        <v/>
      </c>
      <c r="J26" s="11" t="inlineStr">
        <is>
          <t>＝上年归母净利×支付率30%</t>
        </is>
      </c>
    </row>
  </sheetData>
  <mergeCells count="5">
    <mergeCell ref="A1:J1"/>
    <mergeCell ref="A5:J5"/>
    <mergeCell ref="A20:J20"/>
    <mergeCell ref="A2:J2"/>
    <mergeCell ref="A25:J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6" customWidth="1" min="10" max="10"/>
  </cols>
  <sheetData>
    <row r="1" ht="24" customHeight="1">
      <c r="A1" s="10" t="inlineStr">
        <is>
          <t>中芯国际 — PP&amp;E 固定资产/在建工程滚动</t>
        </is>
      </c>
    </row>
    <row r="2" ht="14" customHeight="1">
      <c r="A2" s="11" t="inlineStr">
        <is>
          <t>单位: 美元百万元(财报口径) | 固定资产与在建工程分行滚动: 期初+转固-折旧-处置 / 期初+Capex-转固; 隐含折旧率/年限校验行在底部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</t>
        </is>
      </c>
    </row>
    <row r="5" ht="16" customHeight="1">
      <c r="A5" s="19" t="inlineStr">
        <is>
          <t>一、固定资产 (净值口径)</t>
        </is>
      </c>
    </row>
    <row r="6">
      <c r="A6" s="4" t="inlineStr">
        <is>
          <t>期初固定资产净值</t>
        </is>
      </c>
      <c r="E6" s="25" t="n">
        <v>32557.8</v>
      </c>
      <c r="F6" s="26">
        <f>E10</f>
        <v/>
      </c>
      <c r="G6" s="26">
        <f>F10</f>
        <v/>
      </c>
      <c r="H6" s="26">
        <f>G10</f>
        <v/>
      </c>
      <c r="I6" s="26">
        <f>H10</f>
        <v/>
      </c>
      <c r="J6" s="11" t="inlineStr">
        <is>
          <t>2026期初=2025A固定资产325.6亿(绿色输入, 2025年报)</t>
        </is>
      </c>
    </row>
    <row r="7">
      <c r="A7" s="4" t="inlineStr">
        <is>
          <t>加: 在建工程转入</t>
        </is>
      </c>
      <c r="E7" s="26">
        <f>(E13+E14)*Assumptions!$C$46</f>
        <v/>
      </c>
      <c r="F7" s="26">
        <f>(F13+F14)*Assumptions!$C$46</f>
        <v/>
      </c>
      <c r="G7" s="26">
        <f>(G13+G14)*Assumptions!$C$46</f>
        <v/>
      </c>
      <c r="H7" s="26">
        <f>(H13+H14)*Assumptions!$C$46</f>
        <v/>
      </c>
      <c r="I7" s="26">
        <f>(I13+I14)*Assumptions!$C$46</f>
        <v/>
      </c>
      <c r="J7" s="11" t="inlineStr">
        <is>
          <t>＝(期初在建+当年Capex)×转固率75%</t>
        </is>
      </c>
    </row>
    <row r="8">
      <c r="A8" s="4" t="inlineStr">
        <is>
          <t>减: 固定资产折旧</t>
        </is>
      </c>
      <c r="E8" s="26">
        <f>E6*Assumptions!$C$47+E7*Assumptions!$C$48</f>
        <v/>
      </c>
      <c r="F8" s="26">
        <f>F6*Assumptions!$C$47+F7*Assumptions!$C$48</f>
        <v/>
      </c>
      <c r="G8" s="26">
        <f>G6*Assumptions!$C$47+G7*Assumptions!$C$48</f>
        <v/>
      </c>
      <c r="H8" s="26">
        <f>H6*Assumptions!$C$47+H7*Assumptions!$C$48</f>
        <v/>
      </c>
      <c r="I8" s="26">
        <f>I6*Assumptions!$C$47+I7*Assumptions!$C$48</f>
        <v/>
      </c>
      <c r="J8" s="11" t="inlineStr">
        <is>
          <t>＝期初净值×12%+当年转固×4%</t>
        </is>
      </c>
    </row>
    <row r="9">
      <c r="A9" s="4" t="inlineStr">
        <is>
          <t>减: 处置</t>
        </is>
      </c>
      <c r="E9" s="26">
        <f>E6*Assumptions!$C$49</f>
        <v/>
      </c>
      <c r="F9" s="26">
        <f>F6*Assumptions!$C$49</f>
        <v/>
      </c>
      <c r="G9" s="26">
        <f>G6*Assumptions!$C$49</f>
        <v/>
      </c>
      <c r="H9" s="26">
        <f>H6*Assumptions!$C$49</f>
        <v/>
      </c>
      <c r="I9" s="26">
        <f>I6*Assumptions!$C$49</f>
        <v/>
      </c>
      <c r="J9" s="11" t="inlineStr">
        <is>
          <t>＝期初净值×1%</t>
        </is>
      </c>
    </row>
    <row r="10">
      <c r="A10" s="3" t="inlineStr">
        <is>
          <t>期末固定资产净值</t>
        </is>
      </c>
      <c r="E10" s="26">
        <f>E6+E7-E8-E9</f>
        <v/>
      </c>
      <c r="F10" s="26">
        <f>F6+F7-F8-F9</f>
        <v/>
      </c>
      <c r="G10" s="26">
        <f>G6+G7-G8-G9</f>
        <v/>
      </c>
      <c r="H10" s="26">
        <f>H6+H7-H8-H9</f>
        <v/>
      </c>
      <c r="I10" s="26">
        <f>I6+I7-I8-I9</f>
        <v/>
      </c>
      <c r="J10" s="11" t="inlineStr">
        <is>
          <t>＝期初+转固-折旧-处置</t>
        </is>
      </c>
    </row>
    <row r="12" ht="16" customHeight="1">
      <c r="A12" s="19" t="inlineStr">
        <is>
          <t>二、在建工程</t>
        </is>
      </c>
    </row>
    <row r="13">
      <c r="A13" s="4" t="inlineStr">
        <is>
          <t>期初在建工程</t>
        </is>
      </c>
      <c r="E13" s="25" t="n">
        <v>0</v>
      </c>
      <c r="F13" s="26">
        <f>E15</f>
        <v/>
      </c>
      <c r="G13" s="26">
        <f>F15</f>
        <v/>
      </c>
      <c r="H13" s="26">
        <f>G15</f>
        <v/>
      </c>
      <c r="I13" s="26">
        <f>H15</f>
        <v/>
      </c>
      <c r="J13" s="11" t="inlineStr">
        <is>
          <t>2026期初=2025A在建工程0.0亿(绿色输入); 32557.8+0.0=32557.8与BS一致</t>
        </is>
      </c>
    </row>
    <row r="14">
      <c r="A14" s="4" t="inlineStr">
        <is>
          <t>加: 资本开支 Capex</t>
        </is>
      </c>
      <c r="E14" s="26">
        <f>IS!E4*Assumptions!C$45</f>
        <v/>
      </c>
      <c r="F14" s="26">
        <f>IS!F4*Assumptions!D$45</f>
        <v/>
      </c>
      <c r="G14" s="26">
        <f>IS!G4*Assumptions!E$45</f>
        <v/>
      </c>
      <c r="H14" s="26">
        <f>IS!H4*Assumptions!F$45</f>
        <v/>
      </c>
      <c r="I14" s="26">
        <f>IS!I4*Assumptions!G$45</f>
        <v/>
      </c>
      <c r="J14" s="11" t="inlineStr">
        <is>
          <t>＝收入×Capex占收入比(Assumptions)</t>
        </is>
      </c>
    </row>
    <row r="15">
      <c r="A15" s="3" t="inlineStr">
        <is>
          <t>期末在建工程</t>
        </is>
      </c>
      <c r="E15" s="26">
        <f>E13+E14-E7</f>
        <v/>
      </c>
      <c r="F15" s="26">
        <f>F13+F14-F7</f>
        <v/>
      </c>
      <c r="G15" s="26">
        <f>G13+G14-G7</f>
        <v/>
      </c>
      <c r="H15" s="26">
        <f>H13+H14-H7</f>
        <v/>
      </c>
      <c r="I15" s="26">
        <f>I13+I14-I7</f>
        <v/>
      </c>
      <c r="J15" s="11" t="inlineStr">
        <is>
          <t>＝期初+Capex-转固</t>
        </is>
      </c>
    </row>
    <row r="17" ht="16" customHeight="1">
      <c r="A17" s="19" t="inlineStr">
        <is>
          <t>三、合计与校验</t>
        </is>
      </c>
    </row>
    <row r="18">
      <c r="A18" s="3" t="inlineStr">
        <is>
          <t>固定资产+在建工程 期末合计</t>
        </is>
      </c>
      <c r="B18" s="26">
        <f>BS!B12</f>
        <v/>
      </c>
      <c r="C18" s="26">
        <f>BS!C12</f>
        <v/>
      </c>
      <c r="D18" s="26">
        <f>BS!D12</f>
        <v/>
      </c>
      <c r="E18" s="26">
        <f>E10+E15</f>
        <v/>
      </c>
      <c r="F18" s="26">
        <f>F10+F15</f>
        <v/>
      </c>
      <c r="G18" s="26">
        <f>G10+G15</f>
        <v/>
      </c>
      <c r="H18" s="26">
        <f>H10+H15</f>
        <v/>
      </c>
      <c r="I18" s="26">
        <f>I10+I15</f>
        <v/>
      </c>
      <c r="J18" s="11" t="inlineStr">
        <is>
          <t>＝BS固定资产及在建工程; 2025A合计325.6亿</t>
        </is>
      </c>
    </row>
    <row r="19">
      <c r="A19" s="3" t="inlineStr">
        <is>
          <t>D&amp;A 合计 (折旧+无形摊销)</t>
        </is>
      </c>
      <c r="B19" s="26">
        <f>CF!B5</f>
        <v/>
      </c>
      <c r="C19" s="26">
        <f>CF!C5</f>
        <v/>
      </c>
      <c r="D19" s="26">
        <f>CF!D5</f>
        <v/>
      </c>
      <c r="E19" s="26">
        <f>E8+Schedules!E22</f>
        <v/>
      </c>
      <c r="F19" s="26">
        <f>F8+Schedules!F22</f>
        <v/>
      </c>
      <c r="G19" s="26">
        <f>G8+Schedules!G22</f>
        <v/>
      </c>
      <c r="H19" s="26">
        <f>H8+Schedules!H22</f>
        <v/>
      </c>
      <c r="I19" s="26">
        <f>I8+Schedules!I22</f>
        <v/>
      </c>
      <c r="J19" s="11" t="inlineStr">
        <is>
          <t>＝折旧+Schedules无形摊销, 进CF与DCF</t>
        </is>
      </c>
    </row>
    <row r="20">
      <c r="A20" s="4" t="inlineStr">
        <is>
          <t>校验: 隐含折旧率(折旧/期初净值)</t>
        </is>
      </c>
      <c r="E20" s="16">
        <f>E8/E6</f>
        <v/>
      </c>
      <c r="F20" s="16">
        <f>F8/F6</f>
        <v/>
      </c>
      <c r="G20" s="16">
        <f>G8/G6</f>
        <v/>
      </c>
      <c r="H20" s="16">
        <f>H8/H6</f>
        <v/>
      </c>
      <c r="I20" s="16">
        <f>I8/I6</f>
        <v/>
      </c>
      <c r="J20" s="11" t="inlineStr">
        <is>
          <t>信息行; 合理带宽8%-18%</t>
        </is>
      </c>
    </row>
    <row r="21">
      <c r="A21" s="4" t="inlineStr">
        <is>
          <t>校验: 隐含折旧年限(期初净值/折旧)</t>
        </is>
      </c>
      <c r="E21" s="39">
        <f>E6/E8</f>
        <v/>
      </c>
      <c r="F21" s="39">
        <f>F6/F8</f>
        <v/>
      </c>
      <c r="G21" s="39">
        <f>G6/G8</f>
        <v/>
      </c>
      <c r="H21" s="39">
        <f>H6/H8</f>
        <v/>
      </c>
      <c r="I21" s="39">
        <f>I6/I8</f>
        <v/>
      </c>
      <c r="J21" s="11" t="inlineStr">
        <is>
          <t>信息行; 机器设备为主, 5-10年为合理带</t>
        </is>
      </c>
    </row>
  </sheetData>
  <mergeCells count="5">
    <mergeCell ref="A1:J1"/>
    <mergeCell ref="A5:J5"/>
    <mergeCell ref="A17:J17"/>
    <mergeCell ref="A12:J12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0" customWidth="1" min="10" max="10"/>
  </cols>
  <sheetData>
    <row r="1" ht="24" customHeight="1">
      <c r="A1" s="10" t="inlineStr">
        <is>
          <t>中芯国际 — FIN 债务与融资调度 (迭代展开·无循环引用)</t>
        </is>
      </c>
    </row>
    <row r="2" ht="14" customHeight="1">
      <c r="A2" s="11" t="inlineStr">
        <is>
          <t>单位: 美元百万元(财报口径) | 瀑布: 期初现金+经营CF+投资CF(不含理财)+分红+计划还款+利息→缺口=revolver新增借款→超额现金sweep还短借/长借→溢出购理财; 利息=平均余额×利率的循环链在下方"四、迭代展开"区表内展开4轮, 末轮输出供全簿引用, 无需开启迭代计算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</t>
        </is>
      </c>
    </row>
    <row r="5" ht="16" customHeight="1">
      <c r="A5" s="19" t="inlineStr">
        <is>
          <t>一、资金瀑布 (融资需求与可动用现金)</t>
        </is>
      </c>
    </row>
    <row r="6">
      <c r="A6" s="4" t="inlineStr">
        <is>
          <t>期初货币资金</t>
        </is>
      </c>
      <c r="E6" s="26">
        <f>D63</f>
        <v/>
      </c>
      <c r="F6" s="26">
        <f>E63</f>
        <v/>
      </c>
      <c r="G6" s="26">
        <f>F63</f>
        <v/>
      </c>
      <c r="H6" s="26">
        <f>G63</f>
        <v/>
      </c>
      <c r="I6" s="26">
        <f>H63</f>
        <v/>
      </c>
      <c r="J6" s="11" t="inlineStr">
        <is>
          <t>2026=2025A末; 以后=上年期末</t>
        </is>
      </c>
    </row>
    <row r="7">
      <c r="A7" s="4" t="inlineStr">
        <is>
          <t>加: 经营活动现金流(不含利息)</t>
        </is>
      </c>
      <c r="E7" s="26">
        <f>CF!E8</f>
        <v/>
      </c>
      <c r="F7" s="26">
        <f>CF!F8</f>
        <v/>
      </c>
      <c r="G7" s="26">
        <f>CF!G8</f>
        <v/>
      </c>
      <c r="H7" s="26">
        <f>CF!H8</f>
        <v/>
      </c>
      <c r="I7" s="26">
        <f>CF!I8</f>
        <v/>
      </c>
      <c r="J7" s="11" t="inlineStr">
        <is>
          <t>＝CF经营净额(利息已重分类至筹资)</t>
        </is>
      </c>
    </row>
    <row r="8">
      <c r="A8" s="4" t="inlineStr">
        <is>
          <t>加: 投资活动现金流(不含理财)</t>
        </is>
      </c>
      <c r="E8" s="26">
        <f>-PPE!E14+PPE!E9</f>
        <v/>
      </c>
      <c r="F8" s="26">
        <f>-PPE!F14+PPE!F9</f>
        <v/>
      </c>
      <c r="G8" s="26">
        <f>-PPE!G14+PPE!G9</f>
        <v/>
      </c>
      <c r="H8" s="26">
        <f>-PPE!H14+PPE!H9</f>
        <v/>
      </c>
      <c r="I8" s="26">
        <f>-PPE!I14+PPE!I9</f>
        <v/>
      </c>
      <c r="J8" s="11" t="inlineStr">
        <is>
          <t>＝-Capex+处置回收(PP&amp;E页)</t>
        </is>
      </c>
    </row>
    <row r="9">
      <c r="A9" s="4" t="inlineStr">
        <is>
          <t>减: 计划分红(负值)</t>
        </is>
      </c>
      <c r="E9" s="26">
        <f>-Schedules!E26</f>
        <v/>
      </c>
      <c r="F9" s="26">
        <f>-Schedules!F26</f>
        <v/>
      </c>
      <c r="G9" s="26">
        <f>-Schedules!G26</f>
        <v/>
      </c>
      <c r="H9" s="26">
        <f>-Schedules!H26</f>
        <v/>
      </c>
      <c r="I9" s="26">
        <f>-Schedules!I26</f>
        <v/>
      </c>
      <c r="J9" s="11" t="inlineStr">
        <is>
          <t>＝-上年归母×30% (Schedules)</t>
        </is>
      </c>
    </row>
    <row r="10">
      <c r="A10" s="4" t="inlineStr">
        <is>
          <t>减: 偿付利息(负值)</t>
        </is>
      </c>
      <c r="E10" s="26">
        <f>-E64</f>
        <v/>
      </c>
      <c r="F10" s="26">
        <f>-F64</f>
        <v/>
      </c>
      <c r="G10" s="26">
        <f>-G64</f>
        <v/>
      </c>
      <c r="H10" s="26">
        <f>-H64</f>
        <v/>
      </c>
      <c r="I10" s="26">
        <f>-I64</f>
        <v/>
      </c>
      <c r="J10" s="11" t="inlineStr">
        <is>
          <t>＝-本页利息支出合计(=第4轮迭代展开输出)</t>
        </is>
      </c>
    </row>
    <row r="11">
      <c r="A11" s="4" t="inlineStr">
        <is>
          <t>减: 实际还款合计(负值)</t>
        </is>
      </c>
      <c r="E11" s="26">
        <f>-(E20+E31+E39+E49)</f>
        <v/>
      </c>
      <c r="F11" s="26">
        <f>-(F20+F31+F39+F49)</f>
        <v/>
      </c>
      <c r="G11" s="26">
        <f>-(G20+G31+G39+G49)</f>
        <v/>
      </c>
      <c r="H11" s="26">
        <f>-(H20+H31+H39+H49)</f>
        <v/>
      </c>
      <c r="I11" s="26">
        <f>-(I20+I31+I39+I49)</f>
        <v/>
      </c>
      <c r="J11" s="11" t="inlineStr">
        <is>
          <t>＝四档实际还款加总(实际还款=MIN(计划还款,期初余额))</t>
        </is>
      </c>
    </row>
    <row r="12">
      <c r="A12" s="3" t="inlineStr">
        <is>
          <t>融资前现金结余</t>
        </is>
      </c>
      <c r="E12" s="26">
        <f>E6+E7+E8+E9+E10+E11</f>
        <v/>
      </c>
      <c r="F12" s="26">
        <f>F6+F7+F8+F9+F10+F11</f>
        <v/>
      </c>
      <c r="G12" s="26">
        <f>G6+G7+G8+G9+G10+G11</f>
        <v/>
      </c>
      <c r="H12" s="26">
        <f>H6+H7+H8+H9+H10+H11</f>
        <v/>
      </c>
      <c r="I12" s="26">
        <f>I6+I7+I8+I9+I10+I11</f>
        <v/>
      </c>
      <c r="J12" s="11" t="inlineStr">
        <is>
          <t>＝期初+经营+投资+分红+利息+还款</t>
        </is>
      </c>
    </row>
    <row r="13">
      <c r="A13" s="4" t="inlineStr">
        <is>
          <t>最低现金</t>
        </is>
      </c>
      <c r="E13" s="26">
        <f>IS!E4*Assumptions!$C$57</f>
        <v/>
      </c>
      <c r="F13" s="26">
        <f>IS!F4*Assumptions!$C$57</f>
        <v/>
      </c>
      <c r="G13" s="26">
        <f>IS!G4*Assumptions!$C$57</f>
        <v/>
      </c>
      <c r="H13" s="26">
        <f>IS!H4*Assumptions!$C$57</f>
        <v/>
      </c>
      <c r="I13" s="26">
        <f>IS!I4*Assumptions!$C$57</f>
        <v/>
      </c>
      <c r="J13" s="11" t="inlineStr">
        <is>
          <t>＝收入×60% (Assumptions)</t>
        </is>
      </c>
    </row>
    <row r="14">
      <c r="A14" s="3" t="inlineStr">
        <is>
          <t>资金缺口→新增借款(revolver)</t>
        </is>
      </c>
      <c r="E14" s="26">
        <f>MAX(0,E13-E12)</f>
        <v/>
      </c>
      <c r="F14" s="26">
        <f>MAX(0,F13-F12)</f>
        <v/>
      </c>
      <c r="G14" s="26">
        <f>MAX(0,G13-G12)</f>
        <v/>
      </c>
      <c r="H14" s="26">
        <f>MAX(0,H13-H12)</f>
        <v/>
      </c>
      <c r="I14" s="26">
        <f>MAX(0,I13-I12)</f>
        <v/>
      </c>
      <c r="J14" s="11" t="inlineStr">
        <is>
          <t>＝MAX(0, 最低现金-融资前结余)</t>
        </is>
      </c>
    </row>
    <row r="15">
      <c r="A15" s="3" t="inlineStr">
        <is>
          <t>可动用现金(还债+购理财)</t>
        </is>
      </c>
      <c r="E15" s="26">
        <f>MAX(0,E12+E14-E13)</f>
        <v/>
      </c>
      <c r="F15" s="26">
        <f>MAX(0,F12+F14-F13)</f>
        <v/>
      </c>
      <c r="G15" s="26">
        <f>MAX(0,G12+G14-G13)</f>
        <v/>
      </c>
      <c r="H15" s="26">
        <f>MAX(0,H12+H14-H13)</f>
        <v/>
      </c>
      <c r="I15" s="26">
        <f>MAX(0,I12+I14-I13)</f>
        <v/>
      </c>
      <c r="J15" s="11" t="inlineStr">
        <is>
          <t>＝MAX(0, 融资前结余+新增借款-最低现金)</t>
        </is>
      </c>
    </row>
    <row r="17" ht="16" customHeight="1">
      <c r="A17" s="19" t="inlineStr">
        <is>
          <t>· 短期借款 (revolver: 新增借款入口, sweep第一顺位)</t>
        </is>
      </c>
    </row>
    <row r="18">
      <c r="A18" s="4" t="inlineStr">
        <is>
          <t>期初余额</t>
        </is>
      </c>
      <c r="E18" s="26">
        <f>D24</f>
        <v/>
      </c>
      <c r="F18" s="26">
        <f>E24</f>
        <v/>
      </c>
      <c r="G18" s="26">
        <f>F24</f>
        <v/>
      </c>
      <c r="H18" s="26">
        <f>G24</f>
        <v/>
      </c>
      <c r="I18" s="26">
        <f>H24</f>
        <v/>
      </c>
      <c r="J18" s="11" t="inlineStr">
        <is>
          <t>上年期末</t>
        </is>
      </c>
    </row>
    <row r="19">
      <c r="A19" s="4" t="inlineStr">
        <is>
          <t>计划还款(输入)</t>
        </is>
      </c>
      <c r="E19" s="26">
        <f>Assumptions!C$58</f>
        <v/>
      </c>
      <c r="F19" s="26">
        <f>Assumptions!D$58</f>
        <v/>
      </c>
      <c r="G19" s="26">
        <f>Assumptions!E$58</f>
        <v/>
      </c>
      <c r="H19" s="26">
        <f>Assumptions!F$58</f>
        <v/>
      </c>
      <c r="I19" s="26">
        <f>Assumptions!G$58</f>
        <v/>
      </c>
      <c r="J19" s="11" t="inlineStr">
        <is>
          <t>＝Assumptions rep_st</t>
        </is>
      </c>
    </row>
    <row r="20">
      <c r="A20" s="4" t="inlineStr">
        <is>
          <t>实际还款(≤期初)</t>
        </is>
      </c>
      <c r="E20" s="26">
        <f>MIN(E19,E18)</f>
        <v/>
      </c>
      <c r="F20" s="26">
        <f>MIN(F19,F18)</f>
        <v/>
      </c>
      <c r="G20" s="26">
        <f>MIN(G19,G18)</f>
        <v/>
      </c>
      <c r="H20" s="26">
        <f>MIN(H19,H18)</f>
        <v/>
      </c>
      <c r="I20" s="26">
        <f>MIN(I19,I18)</f>
        <v/>
      </c>
      <c r="J20" s="11" t="inlineStr">
        <is>
          <t>＝MIN(计划还款, 期初余额); 防止债务清零后仍按计划额扣现金</t>
        </is>
      </c>
    </row>
    <row r="21">
      <c r="A21" s="4" t="inlineStr">
        <is>
          <t>新增借款</t>
        </is>
      </c>
      <c r="E21" s="26">
        <f>E14</f>
        <v/>
      </c>
      <c r="F21" s="26">
        <f>F14</f>
        <v/>
      </c>
      <c r="G21" s="26">
        <f>G14</f>
        <v/>
      </c>
      <c r="H21" s="26">
        <f>H14</f>
        <v/>
      </c>
      <c r="I21" s="26">
        <f>I14</f>
        <v/>
      </c>
      <c r="J21" s="11" t="inlineStr">
        <is>
          <t>＝资金缺口(全部经revolver融入)</t>
        </is>
      </c>
    </row>
    <row r="22">
      <c r="A22" s="4" t="inlineStr">
        <is>
          <t>sweep前未偿余额</t>
        </is>
      </c>
      <c r="E22" s="26">
        <f>E18-E20+E21</f>
        <v/>
      </c>
      <c r="F22" s="26">
        <f>F18-F20+F21</f>
        <v/>
      </c>
      <c r="G22" s="26">
        <f>G18-G20+G21</f>
        <v/>
      </c>
      <c r="H22" s="26">
        <f>H18-H20+H21</f>
        <v/>
      </c>
      <c r="I22" s="26">
        <f>I18-I20+I21</f>
        <v/>
      </c>
      <c r="J22" s="11" t="inlineStr">
        <is>
          <t>＝期初-实际还款+新增</t>
        </is>
      </c>
    </row>
    <row r="23">
      <c r="A23" s="4" t="inlineStr">
        <is>
          <t>现金sweep偿还</t>
        </is>
      </c>
      <c r="E23" s="26">
        <f>MIN(E15,E22)</f>
        <v/>
      </c>
      <c r="F23" s="26">
        <f>MIN(F15,F22)</f>
        <v/>
      </c>
      <c r="G23" s="26">
        <f>MIN(G15,G22)</f>
        <v/>
      </c>
      <c r="H23" s="26">
        <f>MIN(H15,H22)</f>
        <v/>
      </c>
      <c r="I23" s="26">
        <f>MIN(I15,I22)</f>
        <v/>
      </c>
      <c r="J23" s="11" t="inlineStr">
        <is>
          <t>＝MIN(可动用现金余额, sweep前未偿)</t>
        </is>
      </c>
    </row>
    <row r="24">
      <c r="A24" s="3" t="inlineStr">
        <is>
          <t>期末余额</t>
        </is>
      </c>
      <c r="D24" s="26">
        <f>BS!D22</f>
        <v/>
      </c>
      <c r="E24" s="26">
        <f>E22-E23</f>
        <v/>
      </c>
      <c r="F24" s="26">
        <f>F22-F23</f>
        <v/>
      </c>
      <c r="G24" s="26">
        <f>G22-G23</f>
        <v/>
      </c>
      <c r="H24" s="26">
        <f>H22-H23</f>
        <v/>
      </c>
      <c r="I24" s="26">
        <f>I22-I23</f>
        <v/>
      </c>
      <c r="J24" s="11" t="inlineStr">
        <is>
          <t>＝sweep前未偿-sweep</t>
        </is>
      </c>
    </row>
    <row r="25">
      <c r="A25" s="4" t="inlineStr">
        <is>
          <t>平均余额</t>
        </is>
      </c>
      <c r="E25" s="26">
        <f>(E18+E24)/2</f>
        <v/>
      </c>
      <c r="F25" s="26">
        <f>(F18+F24)/2</f>
        <v/>
      </c>
      <c r="G25" s="26">
        <f>(G18+G24)/2</f>
        <v/>
      </c>
      <c r="H25" s="26">
        <f>(H18+H24)/2</f>
        <v/>
      </c>
      <c r="I25" s="26">
        <f>(I18+I24)/2</f>
        <v/>
      </c>
      <c r="J25" s="11" t="inlineStr">
        <is>
          <t>＝(期初+期末)/2</t>
        </is>
      </c>
    </row>
    <row r="26">
      <c r="A26" s="4" t="inlineStr">
        <is>
          <t>利息支出</t>
        </is>
      </c>
      <c r="E26" s="26">
        <f>E25*Assumptions!$C$62</f>
        <v/>
      </c>
      <c r="F26" s="26">
        <f>F25*Assumptions!$C$62</f>
        <v/>
      </c>
      <c r="G26" s="26">
        <f>G25*Assumptions!$C$62</f>
        <v/>
      </c>
      <c r="H26" s="26">
        <f>H25*Assumptions!$C$62</f>
        <v/>
      </c>
      <c r="I26" s="26">
        <f>I25*Assumptions!$C$62</f>
        <v/>
      </c>
      <c r="J26" s="11" t="inlineStr">
        <is>
          <t>＝平均余额×利率(按期末余额重算的隐含值; 与采用值(第4轮迭代输出)之差见下方残差行)</t>
        </is>
      </c>
    </row>
    <row r="28" ht="16" customHeight="1">
      <c r="A28" s="19" t="inlineStr">
        <is>
          <t>· 一年内到期的非流动负债 (仅计划还款)</t>
        </is>
      </c>
    </row>
    <row r="29">
      <c r="A29" s="4" t="inlineStr">
        <is>
          <t>期初余额</t>
        </is>
      </c>
      <c r="E29" s="26">
        <f>D32</f>
        <v/>
      </c>
      <c r="F29" s="26">
        <f>E32</f>
        <v/>
      </c>
      <c r="G29" s="26">
        <f>F32</f>
        <v/>
      </c>
      <c r="H29" s="26">
        <f>G32</f>
        <v/>
      </c>
      <c r="I29" s="26">
        <f>H32</f>
        <v/>
      </c>
      <c r="J29" s="11" t="inlineStr">
        <is>
          <t>上年期末</t>
        </is>
      </c>
    </row>
    <row r="30">
      <c r="A30" s="4" t="inlineStr">
        <is>
          <t>计划还款(输入)</t>
        </is>
      </c>
      <c r="E30" s="26">
        <f>Assumptions!C$59</f>
        <v/>
      </c>
      <c r="F30" s="26">
        <f>Assumptions!D$59</f>
        <v/>
      </c>
      <c r="G30" s="26">
        <f>Assumptions!E$59</f>
        <v/>
      </c>
      <c r="H30" s="26">
        <f>Assumptions!F$59</f>
        <v/>
      </c>
      <c r="I30" s="26">
        <f>Assumptions!G$59</f>
        <v/>
      </c>
      <c r="J30" s="11" t="inlineStr">
        <is>
          <t>＝Assumptions rep_cur</t>
        </is>
      </c>
    </row>
    <row r="31">
      <c r="A31" s="4" t="inlineStr">
        <is>
          <t>实际还款(≤期初)</t>
        </is>
      </c>
      <c r="E31" s="26">
        <f>MIN(E30,E29)</f>
        <v/>
      </c>
      <c r="F31" s="26">
        <f>MIN(F30,F29)</f>
        <v/>
      </c>
      <c r="G31" s="26">
        <f>MIN(G30,G29)</f>
        <v/>
      </c>
      <c r="H31" s="26">
        <f>MIN(H30,H29)</f>
        <v/>
      </c>
      <c r="I31" s="26">
        <f>MIN(I30,I29)</f>
        <v/>
      </c>
      <c r="J31" s="11" t="inlineStr">
        <is>
          <t>＝MIN(计划还款, 期初余额); 防止债务清零后仍按计划额扣现金</t>
        </is>
      </c>
    </row>
    <row r="32">
      <c r="A32" s="3" t="inlineStr">
        <is>
          <t>期末余额</t>
        </is>
      </c>
      <c r="D32" s="26">
        <f>BS!D28</f>
        <v/>
      </c>
      <c r="E32" s="26">
        <f>E29-E31</f>
        <v/>
      </c>
      <c r="F32" s="26">
        <f>F29-F31</f>
        <v/>
      </c>
      <c r="G32" s="26">
        <f>G29-G31</f>
        <v/>
      </c>
      <c r="H32" s="26">
        <f>H29-H31</f>
        <v/>
      </c>
      <c r="I32" s="26">
        <f>I29-I31</f>
        <v/>
      </c>
      <c r="J32" s="11" t="inlineStr">
        <is>
          <t>＝期初-实际还款</t>
        </is>
      </c>
    </row>
    <row r="33">
      <c r="A33" s="4" t="inlineStr">
        <is>
          <t>平均余额</t>
        </is>
      </c>
      <c r="E33" s="26">
        <f>(E29+E32)/2</f>
        <v/>
      </c>
      <c r="F33" s="26">
        <f>(F29+F32)/2</f>
        <v/>
      </c>
      <c r="G33" s="26">
        <f>(G29+G32)/2</f>
        <v/>
      </c>
      <c r="H33" s="26">
        <f>(H29+H32)/2</f>
        <v/>
      </c>
      <c r="I33" s="26">
        <f>(I29+I32)/2</f>
        <v/>
      </c>
      <c r="J33" s="11" t="inlineStr">
        <is>
          <t>＝(期初+期末)/2</t>
        </is>
      </c>
    </row>
    <row r="34">
      <c r="A34" s="4" t="inlineStr">
        <is>
          <t>利息支出</t>
        </is>
      </c>
      <c r="E34" s="26">
        <f>E33*Assumptions!$C$63</f>
        <v/>
      </c>
      <c r="F34" s="26">
        <f>F33*Assumptions!$C$63</f>
        <v/>
      </c>
      <c r="G34" s="26">
        <f>G33*Assumptions!$C$63</f>
        <v/>
      </c>
      <c r="H34" s="26">
        <f>H33*Assumptions!$C$63</f>
        <v/>
      </c>
      <c r="I34" s="26">
        <f>I33*Assumptions!$C$63</f>
        <v/>
      </c>
      <c r="J34" s="11" t="inlineStr">
        <is>
          <t>＝平均余额×利率(按期末余额重算的隐含值; 与采用值(第4轮迭代输出)之差见下方残差行)</t>
        </is>
      </c>
    </row>
    <row r="36" ht="16" customHeight="1">
      <c r="A36" s="19" t="inlineStr">
        <is>
          <t>· 长期借款 (计划还款+sweep第二顺位)</t>
        </is>
      </c>
    </row>
    <row r="37">
      <c r="A37" s="4" t="inlineStr">
        <is>
          <t>期初余额</t>
        </is>
      </c>
      <c r="E37" s="26">
        <f>D42</f>
        <v/>
      </c>
      <c r="F37" s="26">
        <f>E42</f>
        <v/>
      </c>
      <c r="G37" s="26">
        <f>F42</f>
        <v/>
      </c>
      <c r="H37" s="26">
        <f>G42</f>
        <v/>
      </c>
      <c r="I37" s="26">
        <f>H42</f>
        <v/>
      </c>
      <c r="J37" s="11" t="inlineStr">
        <is>
          <t>上年期末</t>
        </is>
      </c>
    </row>
    <row r="38">
      <c r="A38" s="4" t="inlineStr">
        <is>
          <t>计划还款(输入)</t>
        </is>
      </c>
      <c r="E38" s="26">
        <f>Assumptions!C$60</f>
        <v/>
      </c>
      <c r="F38" s="26">
        <f>Assumptions!D$60</f>
        <v/>
      </c>
      <c r="G38" s="26">
        <f>Assumptions!E$60</f>
        <v/>
      </c>
      <c r="H38" s="26">
        <f>Assumptions!F$60</f>
        <v/>
      </c>
      <c r="I38" s="26">
        <f>Assumptions!G$60</f>
        <v/>
      </c>
      <c r="J38" s="11" t="inlineStr">
        <is>
          <t>＝Assumptions rep_lt</t>
        </is>
      </c>
    </row>
    <row r="39">
      <c r="A39" s="4" t="inlineStr">
        <is>
          <t>实际还款(≤期初)</t>
        </is>
      </c>
      <c r="E39" s="26">
        <f>MIN(E38,E37)</f>
        <v/>
      </c>
      <c r="F39" s="26">
        <f>MIN(F38,F37)</f>
        <v/>
      </c>
      <c r="G39" s="26">
        <f>MIN(G38,G37)</f>
        <v/>
      </c>
      <c r="H39" s="26">
        <f>MIN(H38,H37)</f>
        <v/>
      </c>
      <c r="I39" s="26">
        <f>MIN(I38,I37)</f>
        <v/>
      </c>
      <c r="J39" s="11" t="inlineStr">
        <is>
          <t>＝MIN(计划还款, 期初余额); 防止债务清零后仍按计划额扣现金</t>
        </is>
      </c>
    </row>
    <row r="40">
      <c r="A40" s="4" t="inlineStr">
        <is>
          <t>sweep前未偿余额</t>
        </is>
      </c>
      <c r="E40" s="26">
        <f>E37-E39</f>
        <v/>
      </c>
      <c r="F40" s="26">
        <f>F37-F39</f>
        <v/>
      </c>
      <c r="G40" s="26">
        <f>G37-G39</f>
        <v/>
      </c>
      <c r="H40" s="26">
        <f>H37-H39</f>
        <v/>
      </c>
      <c r="I40" s="26">
        <f>I37-I39</f>
        <v/>
      </c>
      <c r="J40" s="11" t="inlineStr">
        <is>
          <t>＝期初-实际还款+新增</t>
        </is>
      </c>
    </row>
    <row r="41">
      <c r="A41" s="4" t="inlineStr">
        <is>
          <t>现金sweep偿还</t>
        </is>
      </c>
      <c r="E41" s="26">
        <f>MIN(E15-E23,E40)</f>
        <v/>
      </c>
      <c r="F41" s="26">
        <f>MIN(F15-F23,F40)</f>
        <v/>
      </c>
      <c r="G41" s="26">
        <f>MIN(G15-G23,G40)</f>
        <v/>
      </c>
      <c r="H41" s="26">
        <f>MIN(H15-H23,H40)</f>
        <v/>
      </c>
      <c r="I41" s="26">
        <f>MIN(I15-I23,I40)</f>
        <v/>
      </c>
      <c r="J41" s="11" t="inlineStr">
        <is>
          <t>＝MIN(可动用现金余额, sweep前未偿)</t>
        </is>
      </c>
    </row>
    <row r="42">
      <c r="A42" s="3" t="inlineStr">
        <is>
          <t>期末余额</t>
        </is>
      </c>
      <c r="D42" s="26">
        <f>BS!D31</f>
        <v/>
      </c>
      <c r="E42" s="26">
        <f>E40-E41</f>
        <v/>
      </c>
      <c r="F42" s="26">
        <f>F40-F41</f>
        <v/>
      </c>
      <c r="G42" s="26">
        <f>G40-G41</f>
        <v/>
      </c>
      <c r="H42" s="26">
        <f>H40-H41</f>
        <v/>
      </c>
      <c r="I42" s="26">
        <f>I40-I41</f>
        <v/>
      </c>
      <c r="J42" s="11" t="inlineStr">
        <is>
          <t>＝sweep前未偿-sweep</t>
        </is>
      </c>
    </row>
    <row r="43">
      <c r="A43" s="4" t="inlineStr">
        <is>
          <t>平均余额</t>
        </is>
      </c>
      <c r="E43" s="26">
        <f>(E37+E42)/2</f>
        <v/>
      </c>
      <c r="F43" s="26">
        <f>(F37+F42)/2</f>
        <v/>
      </c>
      <c r="G43" s="26">
        <f>(G37+G42)/2</f>
        <v/>
      </c>
      <c r="H43" s="26">
        <f>(H37+H42)/2</f>
        <v/>
      </c>
      <c r="I43" s="26">
        <f>(I37+I42)/2</f>
        <v/>
      </c>
      <c r="J43" s="11" t="inlineStr">
        <is>
          <t>＝(期初+期末)/2</t>
        </is>
      </c>
    </row>
    <row r="44">
      <c r="A44" s="4" t="inlineStr">
        <is>
          <t>利息支出</t>
        </is>
      </c>
      <c r="E44" s="26">
        <f>E43*Assumptions!$C$64</f>
        <v/>
      </c>
      <c r="F44" s="26">
        <f>F43*Assumptions!$C$64</f>
        <v/>
      </c>
      <c r="G44" s="26">
        <f>G43*Assumptions!$C$64</f>
        <v/>
      </c>
      <c r="H44" s="26">
        <f>H43*Assumptions!$C$64</f>
        <v/>
      </c>
      <c r="I44" s="26">
        <f>I43*Assumptions!$C$64</f>
        <v/>
      </c>
      <c r="J44" s="11" t="inlineStr">
        <is>
          <t>＝平均余额×利率(按期末余额重算的隐含值; 与采用值(第4轮迭代输出)之差见下方残差行)</t>
        </is>
      </c>
    </row>
    <row r="46" ht="16" customHeight="1">
      <c r="A46" s="19" t="inlineStr">
        <is>
          <t>· 租赁负债 (仅计划还款)</t>
        </is>
      </c>
    </row>
    <row r="47">
      <c r="A47" s="4" t="inlineStr">
        <is>
          <t>期初余额</t>
        </is>
      </c>
      <c r="E47" s="26">
        <f>D50</f>
        <v/>
      </c>
      <c r="F47" s="26">
        <f>E50</f>
        <v/>
      </c>
      <c r="G47" s="26">
        <f>F50</f>
        <v/>
      </c>
      <c r="H47" s="26">
        <f>G50</f>
        <v/>
      </c>
      <c r="I47" s="26">
        <f>H50</f>
        <v/>
      </c>
      <c r="J47" s="11" t="inlineStr">
        <is>
          <t>上年期末</t>
        </is>
      </c>
    </row>
    <row r="48">
      <c r="A48" s="4" t="inlineStr">
        <is>
          <t>计划还款(输入)</t>
        </is>
      </c>
      <c r="E48" s="26">
        <f>Assumptions!C$61</f>
        <v/>
      </c>
      <c r="F48" s="26">
        <f>Assumptions!D$61</f>
        <v/>
      </c>
      <c r="G48" s="26">
        <f>Assumptions!E$61</f>
        <v/>
      </c>
      <c r="H48" s="26">
        <f>Assumptions!F$61</f>
        <v/>
      </c>
      <c r="I48" s="26">
        <f>Assumptions!G$61</f>
        <v/>
      </c>
      <c r="J48" s="11" t="inlineStr">
        <is>
          <t>＝Assumptions rep_lease</t>
        </is>
      </c>
    </row>
    <row r="49">
      <c r="A49" s="4" t="inlineStr">
        <is>
          <t>实际还款(≤期初)</t>
        </is>
      </c>
      <c r="E49" s="26">
        <f>MIN(E48,E47)</f>
        <v/>
      </c>
      <c r="F49" s="26">
        <f>MIN(F48,F47)</f>
        <v/>
      </c>
      <c r="G49" s="26">
        <f>MIN(G48,G47)</f>
        <v/>
      </c>
      <c r="H49" s="26">
        <f>MIN(H48,H47)</f>
        <v/>
      </c>
      <c r="I49" s="26">
        <f>MIN(I48,I47)</f>
        <v/>
      </c>
      <c r="J49" s="11" t="inlineStr">
        <is>
          <t>＝MIN(计划还款, 期初余额); 防止债务清零后仍按计划额扣现金</t>
        </is>
      </c>
    </row>
    <row r="50">
      <c r="A50" s="3" t="inlineStr">
        <is>
          <t>期末余额</t>
        </is>
      </c>
      <c r="D50" s="26">
        <f>BS!D32</f>
        <v/>
      </c>
      <c r="E50" s="26">
        <f>E47-E49</f>
        <v/>
      </c>
      <c r="F50" s="26">
        <f>F47-F49</f>
        <v/>
      </c>
      <c r="G50" s="26">
        <f>G47-G49</f>
        <v/>
      </c>
      <c r="H50" s="26">
        <f>H47-H49</f>
        <v/>
      </c>
      <c r="I50" s="26">
        <f>I47-I49</f>
        <v/>
      </c>
      <c r="J50" s="11" t="inlineStr">
        <is>
          <t>＝期初-实际还款</t>
        </is>
      </c>
    </row>
    <row r="51">
      <c r="A51" s="4" t="inlineStr">
        <is>
          <t>平均余额</t>
        </is>
      </c>
      <c r="E51" s="26">
        <f>(E47+E50)/2</f>
        <v/>
      </c>
      <c r="F51" s="26">
        <f>(F47+F50)/2</f>
        <v/>
      </c>
      <c r="G51" s="26">
        <f>(G47+G50)/2</f>
        <v/>
      </c>
      <c r="H51" s="26">
        <f>(H47+H50)/2</f>
        <v/>
      </c>
      <c r="I51" s="26">
        <f>(I47+I50)/2</f>
        <v/>
      </c>
      <c r="J51" s="11" t="inlineStr">
        <is>
          <t>＝(期初+期末)/2</t>
        </is>
      </c>
    </row>
    <row r="52">
      <c r="A52" s="4" t="inlineStr">
        <is>
          <t>利息支出</t>
        </is>
      </c>
      <c r="E52" s="26">
        <f>E51*Assumptions!$C$65</f>
        <v/>
      </c>
      <c r="F52" s="26">
        <f>F51*Assumptions!$C$65</f>
        <v/>
      </c>
      <c r="G52" s="26">
        <f>G51*Assumptions!$C$65</f>
        <v/>
      </c>
      <c r="H52" s="26">
        <f>H51*Assumptions!$C$65</f>
        <v/>
      </c>
      <c r="I52" s="26">
        <f>I51*Assumptions!$C$65</f>
        <v/>
      </c>
      <c r="J52" s="11" t="inlineStr">
        <is>
          <t>＝平均余额×利率(按期末余额重算的隐含值; 与采用值(第4轮迭代输出)之差见下方残差行)</t>
        </is>
      </c>
    </row>
    <row r="54" ht="16" customHeight="1">
      <c r="A54" s="19" t="inlineStr">
        <is>
          <t>三、汇总 / 理财 / 现金期末</t>
        </is>
      </c>
    </row>
    <row r="55">
      <c r="A55" s="4" t="inlineStr">
        <is>
          <t>有息负债期初合计</t>
        </is>
      </c>
      <c r="D55" s="26">
        <f>D56</f>
        <v/>
      </c>
      <c r="E55" s="26">
        <f>E18+E29+E37+E47</f>
        <v/>
      </c>
      <c r="F55" s="26">
        <f>F18+F29+F37+F47</f>
        <v/>
      </c>
      <c r="G55" s="26">
        <f>G18+G29+G37+G47</f>
        <v/>
      </c>
      <c r="H55" s="26">
        <f>H18+H29+H37+H47</f>
        <v/>
      </c>
      <c r="I55" s="26">
        <f>I18+I29+I37+I47</f>
        <v/>
      </c>
      <c r="J55" s="11" t="inlineStr">
        <is>
          <t>四档期初加总</t>
        </is>
      </c>
    </row>
    <row r="56">
      <c r="A56" s="3" t="inlineStr">
        <is>
          <t>有息负债期末合计</t>
        </is>
      </c>
      <c r="D56" s="26">
        <f>D24+D32+D42+D50</f>
        <v/>
      </c>
      <c r="E56" s="26">
        <f>E24+E32+E42+E50</f>
        <v/>
      </c>
      <c r="F56" s="26">
        <f>F24+F32+F42+F50</f>
        <v/>
      </c>
      <c r="G56" s="26">
        <f>G24+G32+G42+G50</f>
        <v/>
      </c>
      <c r="H56" s="26">
        <f>H24+H32+H42+H50</f>
        <v/>
      </c>
      <c r="I56" s="26">
        <f>I24+I32+I42+I50</f>
        <v/>
      </c>
      <c r="J56" s="11" t="inlineStr">
        <is>
          <t>四档期末加总</t>
        </is>
      </c>
    </row>
    <row r="57">
      <c r="A57" s="4" t="inlineStr">
        <is>
          <t>债务净变动(增加为正)</t>
        </is>
      </c>
      <c r="E57" s="26">
        <f>E56-E55</f>
        <v/>
      </c>
      <c r="F57" s="26">
        <f>F56-F55</f>
        <v/>
      </c>
      <c r="G57" s="26">
        <f>G56-G55</f>
        <v/>
      </c>
      <c r="H57" s="26">
        <f>H56-H55</f>
        <v/>
      </c>
      <c r="I57" s="26">
        <f>I56-I55</f>
        <v/>
      </c>
      <c r="J57" s="11" t="inlineStr">
        <is>
          <t>＝期末-期初, 进CF筹资</t>
        </is>
      </c>
    </row>
    <row r="58">
      <c r="A58" s="4" t="inlineStr">
        <is>
          <t>现金sweep合计</t>
        </is>
      </c>
      <c r="E58" s="26">
        <f>E23+E41</f>
        <v/>
      </c>
      <c r="F58" s="26">
        <f>F23+F41</f>
        <v/>
      </c>
      <c r="G58" s="26">
        <f>G23+G41</f>
        <v/>
      </c>
      <c r="H58" s="26">
        <f>H23+H41</f>
        <v/>
      </c>
      <c r="I58" s="26">
        <f>I23+I41</f>
        <v/>
      </c>
      <c r="J58" s="11" t="inlineStr">
        <is>
          <t>＝短借sweep+长借sweep</t>
        </is>
      </c>
    </row>
    <row r="59">
      <c r="A59" s="4" t="inlineStr">
        <is>
          <t>溢出资金→购买理财</t>
        </is>
      </c>
      <c r="E59" s="26">
        <f>E15-E58</f>
        <v/>
      </c>
      <c r="F59" s="26">
        <f>F15-F58</f>
        <v/>
      </c>
      <c r="G59" s="26">
        <f>G15-G58</f>
        <v/>
      </c>
      <c r="H59" s="26">
        <f>H15-H58</f>
        <v/>
      </c>
      <c r="I59" s="26">
        <f>I15-I58</f>
        <v/>
      </c>
      <c r="J59" s="11" t="inlineStr">
        <is>
          <t>＝可动用现金-sweep合计(债务清零后剩余)</t>
        </is>
      </c>
    </row>
    <row r="60">
      <c r="A60" s="4" t="inlineStr">
        <is>
          <t>期初交易性金融资产(理财)</t>
        </is>
      </c>
      <c r="E60" s="26">
        <f>D61</f>
        <v/>
      </c>
      <c r="F60" s="26">
        <f>E61</f>
        <v/>
      </c>
      <c r="G60" s="26">
        <f>F61</f>
        <v/>
      </c>
      <c r="H60" s="26">
        <f>G61</f>
        <v/>
      </c>
      <c r="I60" s="26">
        <f>H61</f>
        <v/>
      </c>
      <c r="J60" s="11" t="inlineStr">
        <is>
          <t>2026=2025A末45.31亿</t>
        </is>
      </c>
    </row>
    <row r="61">
      <c r="A61" s="4" t="inlineStr">
        <is>
          <t>期末交易性金融资产(理财)</t>
        </is>
      </c>
      <c r="D61" s="26">
        <f>BS!D5</f>
        <v/>
      </c>
      <c r="E61" s="26">
        <f>E60+E59</f>
        <v/>
      </c>
      <c r="F61" s="26">
        <f>F60+F59</f>
        <v/>
      </c>
      <c r="G61" s="26">
        <f>G60+G59</f>
        <v/>
      </c>
      <c r="H61" s="26">
        <f>H60+H59</f>
        <v/>
      </c>
      <c r="I61" s="26">
        <f>I60+I59</f>
        <v/>
      </c>
      <c r="J61" s="11" t="inlineStr">
        <is>
          <t>＝期初+溢出购买; 简化: 缺口年不赎回</t>
        </is>
      </c>
    </row>
    <row r="62">
      <c r="A62" s="4" t="inlineStr">
        <is>
          <t>理财净变动</t>
        </is>
      </c>
      <c r="E62" s="26">
        <f>E61-E60</f>
        <v/>
      </c>
      <c r="F62" s="26">
        <f>F61-F60</f>
        <v/>
      </c>
      <c r="G62" s="26">
        <f>G61-G60</f>
        <v/>
      </c>
      <c r="H62" s="26">
        <f>H61-H60</f>
        <v/>
      </c>
      <c r="I62" s="26">
        <f>I61-I60</f>
        <v/>
      </c>
      <c r="J62" s="11" t="inlineStr">
        <is>
          <t>＝期末-期初, 进CF投资活动</t>
        </is>
      </c>
    </row>
    <row r="63">
      <c r="A63" s="3" t="inlineStr">
        <is>
          <t>期末货币资金(=最低现金)</t>
        </is>
      </c>
      <c r="D63" s="26">
        <f>BS!D4</f>
        <v/>
      </c>
      <c r="E63" s="26">
        <f>E12+E14-E58-E59</f>
        <v/>
      </c>
      <c r="F63" s="26">
        <f>F12+F14-F58-F59</f>
        <v/>
      </c>
      <c r="G63" s="26">
        <f>G12+G14-G58-G59</f>
        <v/>
      </c>
      <c r="H63" s="26">
        <f>H12+H14-H58-H59</f>
        <v/>
      </c>
      <c r="I63" s="26">
        <f>I12+I14-I58-I59</f>
        <v/>
      </c>
      <c r="J63" s="11" t="inlineStr">
        <is>
          <t>＝融资前结余+新增-sweep-溢出, 恒等于最低现金</t>
        </is>
      </c>
    </row>
    <row r="64">
      <c r="A64" s="4" t="inlineStr">
        <is>
          <t>利息支出合计</t>
        </is>
      </c>
      <c r="E64" s="26">
        <f>E130</f>
        <v/>
      </c>
      <c r="F64" s="26">
        <f>F130</f>
        <v/>
      </c>
      <c r="G64" s="26">
        <f>G130</f>
        <v/>
      </c>
      <c r="H64" s="26">
        <f>H130</f>
        <v/>
      </c>
      <c r="I64" s="26">
        <f>I130</f>
        <v/>
      </c>
      <c r="J64" s="11" t="inlineStr">
        <is>
          <t>＝第4轮迭代展开输出(四档平均余额×利率); 上方分档利息行为隐含重算值, 差额见残差行</t>
        </is>
      </c>
    </row>
    <row r="65">
      <c r="A65" s="4" t="inlineStr">
        <is>
          <t>利息收入</t>
        </is>
      </c>
      <c r="E65" s="26">
        <f>E132</f>
        <v/>
      </c>
      <c r="F65" s="26">
        <f>F132</f>
        <v/>
      </c>
      <c r="G65" s="26">
        <f>G132</f>
        <v/>
      </c>
      <c r="H65" s="26">
        <f>H132</f>
        <v/>
      </c>
      <c r="I65" s="26">
        <f>I132</f>
        <v/>
      </c>
      <c r="J65" s="11" t="inlineStr">
        <is>
          <t>＝第4轮迭代展开输出(货币资金平均余额×1.2%)</t>
        </is>
      </c>
    </row>
    <row r="66">
      <c r="A66" s="4" t="inlineStr">
        <is>
          <t>其他财务费用</t>
        </is>
      </c>
      <c r="E66" s="26">
        <f>Assumptions!$C$67</f>
        <v/>
      </c>
      <c r="F66" s="26">
        <f>Assumptions!$C$67</f>
        <v/>
      </c>
      <c r="G66" s="26">
        <f>Assumptions!$C$67</f>
        <v/>
      </c>
      <c r="H66" s="26">
        <f>Assumptions!$C$67</f>
        <v/>
      </c>
      <c r="I66" s="26">
        <f>Assumptions!$C$67</f>
        <v/>
      </c>
      <c r="J66" s="11" t="inlineStr">
        <is>
          <t>＝Assumptions 30百万</t>
        </is>
      </c>
    </row>
    <row r="67">
      <c r="A67" s="3" t="inlineStr">
        <is>
          <t>财务费用净额(→IS)</t>
        </is>
      </c>
      <c r="E67" s="26">
        <f>E133</f>
        <v/>
      </c>
      <c r="F67" s="26">
        <f>F133</f>
        <v/>
      </c>
      <c r="G67" s="26">
        <f>G133</f>
        <v/>
      </c>
      <c r="H67" s="26">
        <f>H133</f>
        <v/>
      </c>
      <c r="I67" s="26">
        <f>I133</f>
        <v/>
      </c>
      <c r="J67" s="11" t="inlineStr">
        <is>
          <t>＝利息支出-利息收入+其他</t>
        </is>
      </c>
    </row>
    <row r="69" ht="16" customHeight="1">
      <c r="A69" s="19" t="inlineStr">
        <is>
          <t>四、迭代展开 (iteration unrolling — 循环链表内展开, 替代Excel迭代计算)</t>
        </is>
      </c>
    </row>
    <row r="70" ht="30" customHeight="1">
      <c r="A70" s="9" t="inlineStr">
        <is>
          <t>方法: 第1轮按"期初债务×利率"计息→算期末债务₁/现金₁; 第k轮(k=2..4)按"(期初+上轮期末)/2×利率"重算→期末_k; 第4轮输出回填上方汇总行(利息支出合计/利息收入/财务费用净额)供IS/CF/BS引用; 每轮残差=|Δ利息支出|+|Δ利息收入|(相对上轮), &lt;0.01即收敛(外部不动点法实测6轮内收敛至1e-8, 4轮充足)</t>
        </is>
      </c>
    </row>
    <row r="71" ht="16" customHeight="1">
      <c r="A71" s="19" t="inlineStr">
        <is>
          <t>· 第1轮迭代 (iter1)</t>
        </is>
      </c>
    </row>
    <row r="72">
      <c r="A72" s="4" t="inlineStr">
        <is>
          <t>iter1: 采用利息支出 (=期初债务×利率)</t>
        </is>
      </c>
      <c r="E72" s="26">
        <f>E18*Assumptions!$C$62+E29*Assumptions!$C$63+E37*Assumptions!$C$64+E47*Assumptions!$C$65</f>
        <v/>
      </c>
      <c r="F72" s="26">
        <f>F18*Assumptions!$C$62+F29*Assumptions!$C$63+F37*Assumptions!$C$64+F47*Assumptions!$C$65</f>
        <v/>
      </c>
      <c r="G72" s="26">
        <f>G18*Assumptions!$C$62+G29*Assumptions!$C$63+G37*Assumptions!$C$64+G47*Assumptions!$C$65</f>
        <v/>
      </c>
      <c r="H72" s="26">
        <f>H18*Assumptions!$C$62+H29*Assumptions!$C$63+H37*Assumptions!$C$64+H47*Assumptions!$C$65</f>
        <v/>
      </c>
      <c r="I72" s="26">
        <f>I18*Assumptions!$C$62+I29*Assumptions!$C$63+I37*Assumptions!$C$64+I47*Assumptions!$C$65</f>
        <v/>
      </c>
    </row>
    <row r="73">
      <c r="A73" s="4" t="inlineStr">
        <is>
          <t>iter1: 采用利息收入 (=期初现金×收益率)</t>
        </is>
      </c>
      <c r="E73" s="26">
        <f>E6*Assumptions!$C$66</f>
        <v/>
      </c>
      <c r="F73" s="26">
        <f>F6*Assumptions!$C$66</f>
        <v/>
      </c>
      <c r="G73" s="26">
        <f>G6*Assumptions!$C$66</f>
        <v/>
      </c>
      <c r="H73" s="26">
        <f>H6*Assumptions!$C$66</f>
        <v/>
      </c>
      <c r="I73" s="26">
        <f>I6*Assumptions!$C$66</f>
        <v/>
      </c>
    </row>
    <row r="74">
      <c r="A74" s="4" t="inlineStr">
        <is>
          <t>iter1: 财务费用净额(采用口径)</t>
        </is>
      </c>
      <c r="E74" s="26">
        <f>E72-E73+E66</f>
        <v/>
      </c>
      <c r="F74" s="26">
        <f>F72-F73+F66</f>
        <v/>
      </c>
      <c r="G74" s="26">
        <f>G72-G73+G66</f>
        <v/>
      </c>
      <c r="H74" s="26">
        <f>H72-H73+H66</f>
        <v/>
      </c>
      <c r="I74" s="26">
        <f>I72-I73+I66</f>
        <v/>
      </c>
    </row>
    <row r="75">
      <c r="A75" s="4" t="inlineStr">
        <is>
          <t>iter1: 归母净利(按采用利息重算)</t>
        </is>
      </c>
      <c r="E75" s="26">
        <f>(IS!E7-IS!E9-IS!E10-IS!E11-IS!E12+IS!E14+IS!E16-E74)*(1-Assumptions!C$33)</f>
        <v/>
      </c>
      <c r="F75" s="26">
        <f>(IS!F7-IS!F9-IS!F10-IS!F11-IS!F12+IS!F14+IS!F16-F74)*(1-Assumptions!D$33)</f>
        <v/>
      </c>
      <c r="G75" s="26">
        <f>(IS!G7-IS!G9-IS!G10-IS!G11-IS!G12+IS!G14+IS!G16-G74)*(1-Assumptions!E$33)</f>
        <v/>
      </c>
      <c r="H75" s="26">
        <f>(IS!H7-IS!H9-IS!H10-IS!H11-IS!H12+IS!H14+IS!H16-H74)*(1-Assumptions!F$33)</f>
        <v/>
      </c>
      <c r="I75" s="26">
        <f>(IS!I7-IS!I9-IS!I10-IS!I11-IS!I12+IS!I14+IS!I16-I74)*(1-Assumptions!G$33)</f>
        <v/>
      </c>
    </row>
    <row r="76">
      <c r="A76" s="4" t="inlineStr">
        <is>
          <t>iter1: 经营CF(按采用利息重算)</t>
        </is>
      </c>
      <c r="E76" s="26">
        <f>E75+PPE!E19+E72-Schedules!E18</f>
        <v/>
      </c>
      <c r="F76" s="26">
        <f>F75+PPE!F19+F72-Schedules!F18</f>
        <v/>
      </c>
      <c r="G76" s="26">
        <f>G75+PPE!G19+G72-Schedules!G18</f>
        <v/>
      </c>
      <c r="H76" s="26">
        <f>H75+PPE!H19+H72-Schedules!H18</f>
        <v/>
      </c>
      <c r="I76" s="26">
        <f>I75+PPE!I19+I72-Schedules!I18</f>
        <v/>
      </c>
    </row>
    <row r="77">
      <c r="A77" s="4" t="inlineStr">
        <is>
          <t>iter1: 融资前现金结余</t>
        </is>
      </c>
      <c r="E77" s="26">
        <f>E6+E76+E8+E9-E72+E11</f>
        <v/>
      </c>
      <c r="F77" s="26">
        <f>F6+F76+F8+F9-F72+F11</f>
        <v/>
      </c>
      <c r="G77" s="26">
        <f>G6+G76+G8+G9-G72+G11</f>
        <v/>
      </c>
      <c r="H77" s="26">
        <f>H6+H76+H8+H9-H72+H11</f>
        <v/>
      </c>
      <c r="I77" s="26">
        <f>I6+I76+I8+I9-I72+I11</f>
        <v/>
      </c>
    </row>
    <row r="78">
      <c r="A78" s="4" t="inlineStr">
        <is>
          <t>iter1: 新增借款(revolver)</t>
        </is>
      </c>
      <c r="E78" s="26">
        <f>MAX(0,E13-E77)</f>
        <v/>
      </c>
      <c r="F78" s="26">
        <f>MAX(0,F13-F77)</f>
        <v/>
      </c>
      <c r="G78" s="26">
        <f>MAX(0,G13-G77)</f>
        <v/>
      </c>
      <c r="H78" s="26">
        <f>MAX(0,H13-H77)</f>
        <v/>
      </c>
      <c r="I78" s="26">
        <f>MAX(0,I13-I77)</f>
        <v/>
      </c>
    </row>
    <row r="79">
      <c r="A79" s="4" t="inlineStr">
        <is>
          <t>iter1: 可动用现金</t>
        </is>
      </c>
      <c r="E79" s="26">
        <f>MAX(0,E77+E78-E13)</f>
        <v/>
      </c>
      <c r="F79" s="26">
        <f>MAX(0,F77+F78-F13)</f>
        <v/>
      </c>
      <c r="G79" s="26">
        <f>MAX(0,G77+G78-G13)</f>
        <v/>
      </c>
      <c r="H79" s="26">
        <f>MAX(0,H77+H78-H13)</f>
        <v/>
      </c>
      <c r="I79" s="26">
        <f>MAX(0,I77+I78-I13)</f>
        <v/>
      </c>
    </row>
    <row r="80">
      <c r="A80" s="4" t="inlineStr">
        <is>
          <t>iter1: 短期借款期末</t>
        </is>
      </c>
      <c r="E80" s="26">
        <f>(E18-E20+E78)-MIN(E79,E18-E20+E78)</f>
        <v/>
      </c>
      <c r="F80" s="26">
        <f>(F18-F20+F78)-MIN(F79,F18-F20+F78)</f>
        <v/>
      </c>
      <c r="G80" s="26">
        <f>(G18-G20+G78)-MIN(G79,G18-G20+G78)</f>
        <v/>
      </c>
      <c r="H80" s="26">
        <f>(H18-H20+H78)-MIN(H79,H18-H20+H78)</f>
        <v/>
      </c>
      <c r="I80" s="26">
        <f>(I18-I20+I78)-MIN(I79,I18-I20+I78)</f>
        <v/>
      </c>
    </row>
    <row r="81">
      <c r="A81" s="4" t="inlineStr">
        <is>
          <t>iter1: 长期借款期末</t>
        </is>
      </c>
      <c r="E81" s="26">
        <f>(E37-E39)-MIN(E79-(E18-E20+E78-E80),E37-E39)</f>
        <v/>
      </c>
      <c r="F81" s="26">
        <f>(F37-F39)-MIN(F79-(F18-F20+F78-F80),F37-F39)</f>
        <v/>
      </c>
      <c r="G81" s="26">
        <f>(G37-G39)-MIN(G79-(G18-G20+G78-G80),G37-G39)</f>
        <v/>
      </c>
      <c r="H81" s="26">
        <f>(H37-H39)-MIN(H79-(H18-H20+H78-H80),H37-H39)</f>
        <v/>
      </c>
      <c r="I81" s="26">
        <f>(I37-I39)-MIN(I79-(I18-I20+I78-I80),I37-I39)</f>
        <v/>
      </c>
    </row>
    <row r="82">
      <c r="A82" s="4" t="inlineStr">
        <is>
          <t>iter1: 利息支出(按期末余额重算)</t>
        </is>
      </c>
      <c r="E82" s="26">
        <f>(E18+E80)/2*Assumptions!$C$62+(E29+E32)/2*Assumptions!$C$63+(E37+E81)/2*Assumptions!$C$64+(E47+E50)/2*Assumptions!$C$65</f>
        <v/>
      </c>
      <c r="F82" s="26">
        <f>(F18+F80)/2*Assumptions!$C$62+(F29+F32)/2*Assumptions!$C$63+(F37+F81)/2*Assumptions!$C$64+(F47+F50)/2*Assumptions!$C$65</f>
        <v/>
      </c>
      <c r="G82" s="26">
        <f>(G18+G80)/2*Assumptions!$C$62+(G29+G32)/2*Assumptions!$C$63+(G37+G81)/2*Assumptions!$C$64+(G47+G50)/2*Assumptions!$C$65</f>
        <v/>
      </c>
      <c r="H82" s="26">
        <f>(H18+H80)/2*Assumptions!$C$62+(H29+H32)/2*Assumptions!$C$63+(H37+H81)/2*Assumptions!$C$64+(H47+H50)/2*Assumptions!$C$65</f>
        <v/>
      </c>
      <c r="I82" s="26">
        <f>(I18+I80)/2*Assumptions!$C$62+(I29+I32)/2*Assumptions!$C$63+(I37+I81)/2*Assumptions!$C$64+(I47+I50)/2*Assumptions!$C$65</f>
        <v/>
      </c>
    </row>
    <row r="83">
      <c r="A83" s="4" t="inlineStr">
        <is>
          <t>iter1: 期末现金</t>
        </is>
      </c>
      <c r="E83" s="26">
        <f>E77+E78-E79</f>
        <v/>
      </c>
      <c r="F83" s="26">
        <f>F77+F78-F79</f>
        <v/>
      </c>
      <c r="G83" s="26">
        <f>G77+G78-G79</f>
        <v/>
      </c>
      <c r="H83" s="26">
        <f>H77+H78-H79</f>
        <v/>
      </c>
      <c r="I83" s="26">
        <f>I77+I78-I79</f>
        <v/>
      </c>
    </row>
    <row r="84">
      <c r="A84" s="4" t="inlineStr">
        <is>
          <t>iter1: 利息收入(按期末现金重算)</t>
        </is>
      </c>
      <c r="E84" s="26">
        <f>(E6+E83)/2*Assumptions!$C$66</f>
        <v/>
      </c>
      <c r="F84" s="26">
        <f>(F6+F83)/2*Assumptions!$C$66</f>
        <v/>
      </c>
      <c r="G84" s="26">
        <f>(G6+G83)/2*Assumptions!$C$66</f>
        <v/>
      </c>
      <c r="H84" s="26">
        <f>(H6+H83)/2*Assumptions!$C$66</f>
        <v/>
      </c>
      <c r="I84" s="26">
        <f>(I6+I83)/2*Assumptions!$C$66</f>
        <v/>
      </c>
    </row>
    <row r="85">
      <c r="A85" s="4" t="inlineStr">
        <is>
          <t>iter1: 财务费用净额(重算)</t>
        </is>
      </c>
      <c r="E85" s="26">
        <f>E82-E84+E66</f>
        <v/>
      </c>
      <c r="F85" s="26">
        <f>F82-F84+F66</f>
        <v/>
      </c>
      <c r="G85" s="26">
        <f>G82-G84+G66</f>
        <v/>
      </c>
      <c r="H85" s="26">
        <f>H82-H84+H66</f>
        <v/>
      </c>
      <c r="I85" s="26">
        <f>I82-I84+I66</f>
        <v/>
      </c>
    </row>
    <row r="86">
      <c r="A86" s="3" t="inlineStr">
        <is>
          <t>iter1: 残差 |Δ利息支出|+|Δ利息收入|</t>
        </is>
      </c>
      <c r="E86" s="40">
        <f>ABS(E82-E72)+ABS(E84-E73)</f>
        <v/>
      </c>
      <c r="F86" s="40">
        <f>ABS(F82-F72)+ABS(F84-F73)</f>
        <v/>
      </c>
      <c r="G86" s="40">
        <f>ABS(G82-G72)+ABS(G84-G73)</f>
        <v/>
      </c>
      <c r="H86" s="40">
        <f>ABS(H82-H72)+ABS(H84-H73)</f>
        <v/>
      </c>
      <c r="I86" s="40">
        <f>ABS(I82-I72)+ABS(I84-I73)</f>
        <v/>
      </c>
    </row>
    <row r="87" ht="16" customHeight="1">
      <c r="A87" s="19" t="inlineStr">
        <is>
          <t>· 第2轮迭代 (iter2)</t>
        </is>
      </c>
    </row>
    <row r="88">
      <c r="A88" s="4" t="inlineStr">
        <is>
          <t>iter2: 采用利息支出 (=上轮重算值)</t>
        </is>
      </c>
      <c r="E88" s="26">
        <f>E82</f>
        <v/>
      </c>
      <c r="F88" s="26">
        <f>F82</f>
        <v/>
      </c>
      <c r="G88" s="26">
        <f>G82</f>
        <v/>
      </c>
      <c r="H88" s="26">
        <f>H82</f>
        <v/>
      </c>
      <c r="I88" s="26">
        <f>I82</f>
        <v/>
      </c>
    </row>
    <row r="89">
      <c r="A89" s="4" t="inlineStr">
        <is>
          <t>iter2: 采用利息收入 (=上轮重算值)</t>
        </is>
      </c>
      <c r="E89" s="26">
        <f>E84</f>
        <v/>
      </c>
      <c r="F89" s="26">
        <f>F84</f>
        <v/>
      </c>
      <c r="G89" s="26">
        <f>G84</f>
        <v/>
      </c>
      <c r="H89" s="26">
        <f>H84</f>
        <v/>
      </c>
      <c r="I89" s="26">
        <f>I84</f>
        <v/>
      </c>
    </row>
    <row r="90">
      <c r="A90" s="4" t="inlineStr">
        <is>
          <t>iter2: 财务费用净额(采用口径)</t>
        </is>
      </c>
      <c r="E90" s="26">
        <f>E88-E89+E66</f>
        <v/>
      </c>
      <c r="F90" s="26">
        <f>F88-F89+F66</f>
        <v/>
      </c>
      <c r="G90" s="26">
        <f>G88-G89+G66</f>
        <v/>
      </c>
      <c r="H90" s="26">
        <f>H88-H89+H66</f>
        <v/>
      </c>
      <c r="I90" s="26">
        <f>I88-I89+I66</f>
        <v/>
      </c>
    </row>
    <row r="91">
      <c r="A91" s="4" t="inlineStr">
        <is>
          <t>iter2: 归母净利(按采用利息重算)</t>
        </is>
      </c>
      <c r="E91" s="26">
        <f>(IS!E7-IS!E9-IS!E10-IS!E11-IS!E12+IS!E14+IS!E16-E90)*(1-Assumptions!C$33)</f>
        <v/>
      </c>
      <c r="F91" s="26">
        <f>(IS!F7-IS!F9-IS!F10-IS!F11-IS!F12+IS!F14+IS!F16-F90)*(1-Assumptions!D$33)</f>
        <v/>
      </c>
      <c r="G91" s="26">
        <f>(IS!G7-IS!G9-IS!G10-IS!G11-IS!G12+IS!G14+IS!G16-G90)*(1-Assumptions!E$33)</f>
        <v/>
      </c>
      <c r="H91" s="26">
        <f>(IS!H7-IS!H9-IS!H10-IS!H11-IS!H12+IS!H14+IS!H16-H90)*(1-Assumptions!F$33)</f>
        <v/>
      </c>
      <c r="I91" s="26">
        <f>(IS!I7-IS!I9-IS!I10-IS!I11-IS!I12+IS!I14+IS!I16-I90)*(1-Assumptions!G$33)</f>
        <v/>
      </c>
    </row>
    <row r="92">
      <c r="A92" s="4" t="inlineStr">
        <is>
          <t>iter2: 经营CF(按采用利息重算)</t>
        </is>
      </c>
      <c r="E92" s="26">
        <f>E91+PPE!E19+E88-Schedules!E18</f>
        <v/>
      </c>
      <c r="F92" s="26">
        <f>F91+PPE!F19+F88-Schedules!F18</f>
        <v/>
      </c>
      <c r="G92" s="26">
        <f>G91+PPE!G19+G88-Schedules!G18</f>
        <v/>
      </c>
      <c r="H92" s="26">
        <f>H91+PPE!H19+H88-Schedules!H18</f>
        <v/>
      </c>
      <c r="I92" s="26">
        <f>I91+PPE!I19+I88-Schedules!I18</f>
        <v/>
      </c>
    </row>
    <row r="93">
      <c r="A93" s="4" t="inlineStr">
        <is>
          <t>iter2: 融资前现金结余</t>
        </is>
      </c>
      <c r="E93" s="26">
        <f>E6+E92+E8+E9-E88+E11</f>
        <v/>
      </c>
      <c r="F93" s="26">
        <f>F6+F92+F8+F9-F88+F11</f>
        <v/>
      </c>
      <c r="G93" s="26">
        <f>G6+G92+G8+G9-G88+G11</f>
        <v/>
      </c>
      <c r="H93" s="26">
        <f>H6+H92+H8+H9-H88+H11</f>
        <v/>
      </c>
      <c r="I93" s="26">
        <f>I6+I92+I8+I9-I88+I11</f>
        <v/>
      </c>
    </row>
    <row r="94">
      <c r="A94" s="4" t="inlineStr">
        <is>
          <t>iter2: 新增借款(revolver)</t>
        </is>
      </c>
      <c r="E94" s="26">
        <f>MAX(0,E13-E93)</f>
        <v/>
      </c>
      <c r="F94" s="26">
        <f>MAX(0,F13-F93)</f>
        <v/>
      </c>
      <c r="G94" s="26">
        <f>MAX(0,G13-G93)</f>
        <v/>
      </c>
      <c r="H94" s="26">
        <f>MAX(0,H13-H93)</f>
        <v/>
      </c>
      <c r="I94" s="26">
        <f>MAX(0,I13-I93)</f>
        <v/>
      </c>
    </row>
    <row r="95">
      <c r="A95" s="4" t="inlineStr">
        <is>
          <t>iter2: 可动用现金</t>
        </is>
      </c>
      <c r="E95" s="26">
        <f>MAX(0,E93+E94-E13)</f>
        <v/>
      </c>
      <c r="F95" s="26">
        <f>MAX(0,F93+F94-F13)</f>
        <v/>
      </c>
      <c r="G95" s="26">
        <f>MAX(0,G93+G94-G13)</f>
        <v/>
      </c>
      <c r="H95" s="26">
        <f>MAX(0,H93+H94-H13)</f>
        <v/>
      </c>
      <c r="I95" s="26">
        <f>MAX(0,I93+I94-I13)</f>
        <v/>
      </c>
    </row>
    <row r="96">
      <c r="A96" s="4" t="inlineStr">
        <is>
          <t>iter2: 短期借款期末</t>
        </is>
      </c>
      <c r="E96" s="26">
        <f>(E18-E20+E94)-MIN(E95,E18-E20+E94)</f>
        <v/>
      </c>
      <c r="F96" s="26">
        <f>(F18-F20+F94)-MIN(F95,F18-F20+F94)</f>
        <v/>
      </c>
      <c r="G96" s="26">
        <f>(G18-G20+G94)-MIN(G95,G18-G20+G94)</f>
        <v/>
      </c>
      <c r="H96" s="26">
        <f>(H18-H20+H94)-MIN(H95,H18-H20+H94)</f>
        <v/>
      </c>
      <c r="I96" s="26">
        <f>(I18-I20+I94)-MIN(I95,I18-I20+I94)</f>
        <v/>
      </c>
    </row>
    <row r="97">
      <c r="A97" s="4" t="inlineStr">
        <is>
          <t>iter2: 长期借款期末</t>
        </is>
      </c>
      <c r="E97" s="26">
        <f>(E37-E39)-MIN(E95-(E18-E20+E94-E96),E37-E39)</f>
        <v/>
      </c>
      <c r="F97" s="26">
        <f>(F37-F39)-MIN(F95-(F18-F20+F94-F96),F37-F39)</f>
        <v/>
      </c>
      <c r="G97" s="26">
        <f>(G37-G39)-MIN(G95-(G18-G20+G94-G96),G37-G39)</f>
        <v/>
      </c>
      <c r="H97" s="26">
        <f>(H37-H39)-MIN(H95-(H18-H20+H94-H96),H37-H39)</f>
        <v/>
      </c>
      <c r="I97" s="26">
        <f>(I37-I39)-MIN(I95-(I18-I20+I94-I96),I37-I39)</f>
        <v/>
      </c>
    </row>
    <row r="98">
      <c r="A98" s="4" t="inlineStr">
        <is>
          <t>iter2: 利息支出(按期末余额重算)</t>
        </is>
      </c>
      <c r="E98" s="26">
        <f>(E18+E96)/2*Assumptions!$C$62+(E29+E32)/2*Assumptions!$C$63+(E37+E97)/2*Assumptions!$C$64+(E47+E50)/2*Assumptions!$C$65</f>
        <v/>
      </c>
      <c r="F98" s="26">
        <f>(F18+F96)/2*Assumptions!$C$62+(F29+F32)/2*Assumptions!$C$63+(F37+F97)/2*Assumptions!$C$64+(F47+F50)/2*Assumptions!$C$65</f>
        <v/>
      </c>
      <c r="G98" s="26">
        <f>(G18+G96)/2*Assumptions!$C$62+(G29+G32)/2*Assumptions!$C$63+(G37+G97)/2*Assumptions!$C$64+(G47+G50)/2*Assumptions!$C$65</f>
        <v/>
      </c>
      <c r="H98" s="26">
        <f>(H18+H96)/2*Assumptions!$C$62+(H29+H32)/2*Assumptions!$C$63+(H37+H97)/2*Assumptions!$C$64+(H47+H50)/2*Assumptions!$C$65</f>
        <v/>
      </c>
      <c r="I98" s="26">
        <f>(I18+I96)/2*Assumptions!$C$62+(I29+I32)/2*Assumptions!$C$63+(I37+I97)/2*Assumptions!$C$64+(I47+I50)/2*Assumptions!$C$65</f>
        <v/>
      </c>
    </row>
    <row r="99">
      <c r="A99" s="4" t="inlineStr">
        <is>
          <t>iter2: 期末现金</t>
        </is>
      </c>
      <c r="E99" s="26">
        <f>E93+E94-E95</f>
        <v/>
      </c>
      <c r="F99" s="26">
        <f>F93+F94-F95</f>
        <v/>
      </c>
      <c r="G99" s="26">
        <f>G93+G94-G95</f>
        <v/>
      </c>
      <c r="H99" s="26">
        <f>H93+H94-H95</f>
        <v/>
      </c>
      <c r="I99" s="26">
        <f>I93+I94-I95</f>
        <v/>
      </c>
    </row>
    <row r="100">
      <c r="A100" s="4" t="inlineStr">
        <is>
          <t>iter2: 利息收入(按期末现金重算)</t>
        </is>
      </c>
      <c r="E100" s="26">
        <f>(E6+E99)/2*Assumptions!$C$66</f>
        <v/>
      </c>
      <c r="F100" s="26">
        <f>(F6+F99)/2*Assumptions!$C$66</f>
        <v/>
      </c>
      <c r="G100" s="26">
        <f>(G6+G99)/2*Assumptions!$C$66</f>
        <v/>
      </c>
      <c r="H100" s="26">
        <f>(H6+H99)/2*Assumptions!$C$66</f>
        <v/>
      </c>
      <c r="I100" s="26">
        <f>(I6+I99)/2*Assumptions!$C$66</f>
        <v/>
      </c>
    </row>
    <row r="101">
      <c r="A101" s="4" t="inlineStr">
        <is>
          <t>iter2: 财务费用净额(重算)</t>
        </is>
      </c>
      <c r="E101" s="26">
        <f>E98-E100+E66</f>
        <v/>
      </c>
      <c r="F101" s="26">
        <f>F98-F100+F66</f>
        <v/>
      </c>
      <c r="G101" s="26">
        <f>G98-G100+G66</f>
        <v/>
      </c>
      <c r="H101" s="26">
        <f>H98-H100+H66</f>
        <v/>
      </c>
      <c r="I101" s="26">
        <f>I98-I100+I66</f>
        <v/>
      </c>
    </row>
    <row r="102">
      <c r="A102" s="3" t="inlineStr">
        <is>
          <t>iter2: 残差 |Δ利息支出|+|Δ利息收入|</t>
        </is>
      </c>
      <c r="E102" s="40">
        <f>ABS(E98-E88)+ABS(E100-E89)</f>
        <v/>
      </c>
      <c r="F102" s="40">
        <f>ABS(F98-F88)+ABS(F100-F89)</f>
        <v/>
      </c>
      <c r="G102" s="40">
        <f>ABS(G98-G88)+ABS(G100-G89)</f>
        <v/>
      </c>
      <c r="H102" s="40">
        <f>ABS(H98-H88)+ABS(H100-H89)</f>
        <v/>
      </c>
      <c r="I102" s="40">
        <f>ABS(I98-I88)+ABS(I100-I89)</f>
        <v/>
      </c>
    </row>
    <row r="103" ht="16" customHeight="1">
      <c r="A103" s="19" t="inlineStr">
        <is>
          <t>· 第3轮迭代 (iter3)</t>
        </is>
      </c>
    </row>
    <row r="104">
      <c r="A104" s="4" t="inlineStr">
        <is>
          <t>iter3: 采用利息支出 (=上轮重算值)</t>
        </is>
      </c>
      <c r="E104" s="26">
        <f>E98</f>
        <v/>
      </c>
      <c r="F104" s="26">
        <f>F98</f>
        <v/>
      </c>
      <c r="G104" s="26">
        <f>G98</f>
        <v/>
      </c>
      <c r="H104" s="26">
        <f>H98</f>
        <v/>
      </c>
      <c r="I104" s="26">
        <f>I98</f>
        <v/>
      </c>
    </row>
    <row r="105">
      <c r="A105" s="4" t="inlineStr">
        <is>
          <t>iter3: 采用利息收入 (=上轮重算值)</t>
        </is>
      </c>
      <c r="E105" s="26">
        <f>E100</f>
        <v/>
      </c>
      <c r="F105" s="26">
        <f>F100</f>
        <v/>
      </c>
      <c r="G105" s="26">
        <f>G100</f>
        <v/>
      </c>
      <c r="H105" s="26">
        <f>H100</f>
        <v/>
      </c>
      <c r="I105" s="26">
        <f>I100</f>
        <v/>
      </c>
    </row>
    <row r="106">
      <c r="A106" s="4" t="inlineStr">
        <is>
          <t>iter3: 财务费用净额(采用口径)</t>
        </is>
      </c>
      <c r="E106" s="26">
        <f>E104-E105+E66</f>
        <v/>
      </c>
      <c r="F106" s="26">
        <f>F104-F105+F66</f>
        <v/>
      </c>
      <c r="G106" s="26">
        <f>G104-G105+G66</f>
        <v/>
      </c>
      <c r="H106" s="26">
        <f>H104-H105+H66</f>
        <v/>
      </c>
      <c r="I106" s="26">
        <f>I104-I105+I66</f>
        <v/>
      </c>
    </row>
    <row r="107">
      <c r="A107" s="4" t="inlineStr">
        <is>
          <t>iter3: 归母净利(按采用利息重算)</t>
        </is>
      </c>
      <c r="E107" s="26">
        <f>(IS!E7-IS!E9-IS!E10-IS!E11-IS!E12+IS!E14+IS!E16-E106)*(1-Assumptions!C$33)</f>
        <v/>
      </c>
      <c r="F107" s="26">
        <f>(IS!F7-IS!F9-IS!F10-IS!F11-IS!F12+IS!F14+IS!F16-F106)*(1-Assumptions!D$33)</f>
        <v/>
      </c>
      <c r="G107" s="26">
        <f>(IS!G7-IS!G9-IS!G10-IS!G11-IS!G12+IS!G14+IS!G16-G106)*(1-Assumptions!E$33)</f>
        <v/>
      </c>
      <c r="H107" s="26">
        <f>(IS!H7-IS!H9-IS!H10-IS!H11-IS!H12+IS!H14+IS!H16-H106)*(1-Assumptions!F$33)</f>
        <v/>
      </c>
      <c r="I107" s="26">
        <f>(IS!I7-IS!I9-IS!I10-IS!I11-IS!I12+IS!I14+IS!I16-I106)*(1-Assumptions!G$33)</f>
        <v/>
      </c>
    </row>
    <row r="108">
      <c r="A108" s="4" t="inlineStr">
        <is>
          <t>iter3: 经营CF(按采用利息重算)</t>
        </is>
      </c>
      <c r="E108" s="26">
        <f>E107+PPE!E19+E104-Schedules!E18</f>
        <v/>
      </c>
      <c r="F108" s="26">
        <f>F107+PPE!F19+F104-Schedules!F18</f>
        <v/>
      </c>
      <c r="G108" s="26">
        <f>G107+PPE!G19+G104-Schedules!G18</f>
        <v/>
      </c>
      <c r="H108" s="26">
        <f>H107+PPE!H19+H104-Schedules!H18</f>
        <v/>
      </c>
      <c r="I108" s="26">
        <f>I107+PPE!I19+I104-Schedules!I18</f>
        <v/>
      </c>
    </row>
    <row r="109">
      <c r="A109" s="4" t="inlineStr">
        <is>
          <t>iter3: 融资前现金结余</t>
        </is>
      </c>
      <c r="E109" s="26">
        <f>E6+E108+E8+E9-E104+E11</f>
        <v/>
      </c>
      <c r="F109" s="26">
        <f>F6+F108+F8+F9-F104+F11</f>
        <v/>
      </c>
      <c r="G109" s="26">
        <f>G6+G108+G8+G9-G104+G11</f>
        <v/>
      </c>
      <c r="H109" s="26">
        <f>H6+H108+H8+H9-H104+H11</f>
        <v/>
      </c>
      <c r="I109" s="26">
        <f>I6+I108+I8+I9-I104+I11</f>
        <v/>
      </c>
    </row>
    <row r="110">
      <c r="A110" s="4" t="inlineStr">
        <is>
          <t>iter3: 新增借款(revolver)</t>
        </is>
      </c>
      <c r="E110" s="26">
        <f>MAX(0,E13-E109)</f>
        <v/>
      </c>
      <c r="F110" s="26">
        <f>MAX(0,F13-F109)</f>
        <v/>
      </c>
      <c r="G110" s="26">
        <f>MAX(0,G13-G109)</f>
        <v/>
      </c>
      <c r="H110" s="26">
        <f>MAX(0,H13-H109)</f>
        <v/>
      </c>
      <c r="I110" s="26">
        <f>MAX(0,I13-I109)</f>
        <v/>
      </c>
    </row>
    <row r="111">
      <c r="A111" s="4" t="inlineStr">
        <is>
          <t>iter3: 可动用现金</t>
        </is>
      </c>
      <c r="E111" s="26">
        <f>MAX(0,E109+E110-E13)</f>
        <v/>
      </c>
      <c r="F111" s="26">
        <f>MAX(0,F109+F110-F13)</f>
        <v/>
      </c>
      <c r="G111" s="26">
        <f>MAX(0,G109+G110-G13)</f>
        <v/>
      </c>
      <c r="H111" s="26">
        <f>MAX(0,H109+H110-H13)</f>
        <v/>
      </c>
      <c r="I111" s="26">
        <f>MAX(0,I109+I110-I13)</f>
        <v/>
      </c>
    </row>
    <row r="112">
      <c r="A112" s="4" t="inlineStr">
        <is>
          <t>iter3: 短期借款期末</t>
        </is>
      </c>
      <c r="E112" s="26">
        <f>(E18-E20+E110)-MIN(E111,E18-E20+E110)</f>
        <v/>
      </c>
      <c r="F112" s="26">
        <f>(F18-F20+F110)-MIN(F111,F18-F20+F110)</f>
        <v/>
      </c>
      <c r="G112" s="26">
        <f>(G18-G20+G110)-MIN(G111,G18-G20+G110)</f>
        <v/>
      </c>
      <c r="H112" s="26">
        <f>(H18-H20+H110)-MIN(H111,H18-H20+H110)</f>
        <v/>
      </c>
      <c r="I112" s="26">
        <f>(I18-I20+I110)-MIN(I111,I18-I20+I110)</f>
        <v/>
      </c>
    </row>
    <row r="113">
      <c r="A113" s="4" t="inlineStr">
        <is>
          <t>iter3: 长期借款期末</t>
        </is>
      </c>
      <c r="E113" s="26">
        <f>(E37-E39)-MIN(E111-(E18-E20+E110-E112),E37-E39)</f>
        <v/>
      </c>
      <c r="F113" s="26">
        <f>(F37-F39)-MIN(F111-(F18-F20+F110-F112),F37-F39)</f>
        <v/>
      </c>
      <c r="G113" s="26">
        <f>(G37-G39)-MIN(G111-(G18-G20+G110-G112),G37-G39)</f>
        <v/>
      </c>
      <c r="H113" s="26">
        <f>(H37-H39)-MIN(H111-(H18-H20+H110-H112),H37-H39)</f>
        <v/>
      </c>
      <c r="I113" s="26">
        <f>(I37-I39)-MIN(I111-(I18-I20+I110-I112),I37-I39)</f>
        <v/>
      </c>
    </row>
    <row r="114">
      <c r="A114" s="4" t="inlineStr">
        <is>
          <t>iter3: 利息支出(按期末余额重算)</t>
        </is>
      </c>
      <c r="E114" s="26">
        <f>(E18+E112)/2*Assumptions!$C$62+(E29+E32)/2*Assumptions!$C$63+(E37+E113)/2*Assumptions!$C$64+(E47+E50)/2*Assumptions!$C$65</f>
        <v/>
      </c>
      <c r="F114" s="26">
        <f>(F18+F112)/2*Assumptions!$C$62+(F29+F32)/2*Assumptions!$C$63+(F37+F113)/2*Assumptions!$C$64+(F47+F50)/2*Assumptions!$C$65</f>
        <v/>
      </c>
      <c r="G114" s="26">
        <f>(G18+G112)/2*Assumptions!$C$62+(G29+G32)/2*Assumptions!$C$63+(G37+G113)/2*Assumptions!$C$64+(G47+G50)/2*Assumptions!$C$65</f>
        <v/>
      </c>
      <c r="H114" s="26">
        <f>(H18+H112)/2*Assumptions!$C$62+(H29+H32)/2*Assumptions!$C$63+(H37+H113)/2*Assumptions!$C$64+(H47+H50)/2*Assumptions!$C$65</f>
        <v/>
      </c>
      <c r="I114" s="26">
        <f>(I18+I112)/2*Assumptions!$C$62+(I29+I32)/2*Assumptions!$C$63+(I37+I113)/2*Assumptions!$C$64+(I47+I50)/2*Assumptions!$C$65</f>
        <v/>
      </c>
    </row>
    <row r="115">
      <c r="A115" s="4" t="inlineStr">
        <is>
          <t>iter3: 期末现金</t>
        </is>
      </c>
      <c r="E115" s="26">
        <f>E109+E110-E111</f>
        <v/>
      </c>
      <c r="F115" s="26">
        <f>F109+F110-F111</f>
        <v/>
      </c>
      <c r="G115" s="26">
        <f>G109+G110-G111</f>
        <v/>
      </c>
      <c r="H115" s="26">
        <f>H109+H110-H111</f>
        <v/>
      </c>
      <c r="I115" s="26">
        <f>I109+I110-I111</f>
        <v/>
      </c>
    </row>
    <row r="116">
      <c r="A116" s="4" t="inlineStr">
        <is>
          <t>iter3: 利息收入(按期末现金重算)</t>
        </is>
      </c>
      <c r="E116" s="26">
        <f>(E6+E115)/2*Assumptions!$C$66</f>
        <v/>
      </c>
      <c r="F116" s="26">
        <f>(F6+F115)/2*Assumptions!$C$66</f>
        <v/>
      </c>
      <c r="G116" s="26">
        <f>(G6+G115)/2*Assumptions!$C$66</f>
        <v/>
      </c>
      <c r="H116" s="26">
        <f>(H6+H115)/2*Assumptions!$C$66</f>
        <v/>
      </c>
      <c r="I116" s="26">
        <f>(I6+I115)/2*Assumptions!$C$66</f>
        <v/>
      </c>
    </row>
    <row r="117">
      <c r="A117" s="4" t="inlineStr">
        <is>
          <t>iter3: 财务费用净额(重算)</t>
        </is>
      </c>
      <c r="E117" s="26">
        <f>E114-E116+E66</f>
        <v/>
      </c>
      <c r="F117" s="26">
        <f>F114-F116+F66</f>
        <v/>
      </c>
      <c r="G117" s="26">
        <f>G114-G116+G66</f>
        <v/>
      </c>
      <c r="H117" s="26">
        <f>H114-H116+H66</f>
        <v/>
      </c>
      <c r="I117" s="26">
        <f>I114-I116+I66</f>
        <v/>
      </c>
    </row>
    <row r="118">
      <c r="A118" s="3" t="inlineStr">
        <is>
          <t>iter3: 残差 |Δ利息支出|+|Δ利息收入|</t>
        </is>
      </c>
      <c r="E118" s="40">
        <f>ABS(E114-E104)+ABS(E116-E105)</f>
        <v/>
      </c>
      <c r="F118" s="40">
        <f>ABS(F114-F104)+ABS(F116-F105)</f>
        <v/>
      </c>
      <c r="G118" s="40">
        <f>ABS(G114-G104)+ABS(G116-G105)</f>
        <v/>
      </c>
      <c r="H118" s="40">
        <f>ABS(H114-H104)+ABS(H116-H105)</f>
        <v/>
      </c>
      <c r="I118" s="40">
        <f>ABS(I114-I104)+ABS(I116-I105)</f>
        <v/>
      </c>
    </row>
    <row r="119" ht="16" customHeight="1">
      <c r="A119" s="19" t="inlineStr">
        <is>
          <t>· 第4轮迭代 (iter4)</t>
        </is>
      </c>
    </row>
    <row r="120">
      <c r="A120" s="4" t="inlineStr">
        <is>
          <t>iter4: 采用利息支出 (=上轮重算值)</t>
        </is>
      </c>
      <c r="E120" s="26">
        <f>E114</f>
        <v/>
      </c>
      <c r="F120" s="26">
        <f>F114</f>
        <v/>
      </c>
      <c r="G120" s="26">
        <f>G114</f>
        <v/>
      </c>
      <c r="H120" s="26">
        <f>H114</f>
        <v/>
      </c>
      <c r="I120" s="26">
        <f>I114</f>
        <v/>
      </c>
    </row>
    <row r="121">
      <c r="A121" s="4" t="inlineStr">
        <is>
          <t>iter4: 采用利息收入 (=上轮重算值)</t>
        </is>
      </c>
      <c r="E121" s="26">
        <f>E116</f>
        <v/>
      </c>
      <c r="F121" s="26">
        <f>F116</f>
        <v/>
      </c>
      <c r="G121" s="26">
        <f>G116</f>
        <v/>
      </c>
      <c r="H121" s="26">
        <f>H116</f>
        <v/>
      </c>
      <c r="I121" s="26">
        <f>I116</f>
        <v/>
      </c>
    </row>
    <row r="122">
      <c r="A122" s="4" t="inlineStr">
        <is>
          <t>iter4: 财务费用净额(采用口径)</t>
        </is>
      </c>
      <c r="E122" s="26">
        <f>E120-E121+E66</f>
        <v/>
      </c>
      <c r="F122" s="26">
        <f>F120-F121+F66</f>
        <v/>
      </c>
      <c r="G122" s="26">
        <f>G120-G121+G66</f>
        <v/>
      </c>
      <c r="H122" s="26">
        <f>H120-H121+H66</f>
        <v/>
      </c>
      <c r="I122" s="26">
        <f>I120-I121+I66</f>
        <v/>
      </c>
    </row>
    <row r="123">
      <c r="A123" s="4" t="inlineStr">
        <is>
          <t>iter4: 归母净利(按采用利息重算)</t>
        </is>
      </c>
      <c r="E123" s="26">
        <f>(IS!E7-IS!E9-IS!E10-IS!E11-IS!E12+IS!E14+IS!E16-E122)*(1-Assumptions!C$33)</f>
        <v/>
      </c>
      <c r="F123" s="26">
        <f>(IS!F7-IS!F9-IS!F10-IS!F11-IS!F12+IS!F14+IS!F16-F122)*(1-Assumptions!D$33)</f>
        <v/>
      </c>
      <c r="G123" s="26">
        <f>(IS!G7-IS!G9-IS!G10-IS!G11-IS!G12+IS!G14+IS!G16-G122)*(1-Assumptions!E$33)</f>
        <v/>
      </c>
      <c r="H123" s="26">
        <f>(IS!H7-IS!H9-IS!H10-IS!H11-IS!H12+IS!H14+IS!H16-H122)*(1-Assumptions!F$33)</f>
        <v/>
      </c>
      <c r="I123" s="26">
        <f>(IS!I7-IS!I9-IS!I10-IS!I11-IS!I12+IS!I14+IS!I16-I122)*(1-Assumptions!G$33)</f>
        <v/>
      </c>
    </row>
    <row r="124">
      <c r="A124" s="4" t="inlineStr">
        <is>
          <t>iter4: 经营CF(按采用利息重算)</t>
        </is>
      </c>
      <c r="E124" s="26">
        <f>E123+PPE!E19+E120-Schedules!E18</f>
        <v/>
      </c>
      <c r="F124" s="26">
        <f>F123+PPE!F19+F120-Schedules!F18</f>
        <v/>
      </c>
      <c r="G124" s="26">
        <f>G123+PPE!G19+G120-Schedules!G18</f>
        <v/>
      </c>
      <c r="H124" s="26">
        <f>H123+PPE!H19+H120-Schedules!H18</f>
        <v/>
      </c>
      <c r="I124" s="26">
        <f>I123+PPE!I19+I120-Schedules!I18</f>
        <v/>
      </c>
    </row>
    <row r="125">
      <c r="A125" s="4" t="inlineStr">
        <is>
          <t>iter4: 融资前现金结余</t>
        </is>
      </c>
      <c r="E125" s="26">
        <f>E6+E124+E8+E9-E120+E11</f>
        <v/>
      </c>
      <c r="F125" s="26">
        <f>F6+F124+F8+F9-F120+F11</f>
        <v/>
      </c>
      <c r="G125" s="26">
        <f>G6+G124+G8+G9-G120+G11</f>
        <v/>
      </c>
      <c r="H125" s="26">
        <f>H6+H124+H8+H9-H120+H11</f>
        <v/>
      </c>
      <c r="I125" s="26">
        <f>I6+I124+I8+I9-I120+I11</f>
        <v/>
      </c>
    </row>
    <row r="126">
      <c r="A126" s="4" t="inlineStr">
        <is>
          <t>iter4: 新增借款(revolver)</t>
        </is>
      </c>
      <c r="E126" s="26">
        <f>MAX(0,E13-E125)</f>
        <v/>
      </c>
      <c r="F126" s="26">
        <f>MAX(0,F13-F125)</f>
        <v/>
      </c>
      <c r="G126" s="26">
        <f>MAX(0,G13-G125)</f>
        <v/>
      </c>
      <c r="H126" s="26">
        <f>MAX(0,H13-H125)</f>
        <v/>
      </c>
      <c r="I126" s="26">
        <f>MAX(0,I13-I125)</f>
        <v/>
      </c>
    </row>
    <row r="127">
      <c r="A127" s="4" t="inlineStr">
        <is>
          <t>iter4: 可动用现金</t>
        </is>
      </c>
      <c r="E127" s="26">
        <f>MAX(0,E125+E126-E13)</f>
        <v/>
      </c>
      <c r="F127" s="26">
        <f>MAX(0,F125+F126-F13)</f>
        <v/>
      </c>
      <c r="G127" s="26">
        <f>MAX(0,G125+G126-G13)</f>
        <v/>
      </c>
      <c r="H127" s="26">
        <f>MAX(0,H125+H126-H13)</f>
        <v/>
      </c>
      <c r="I127" s="26">
        <f>MAX(0,I125+I126-I13)</f>
        <v/>
      </c>
    </row>
    <row r="128">
      <c r="A128" s="4" t="inlineStr">
        <is>
          <t>iter4: 短期借款期末</t>
        </is>
      </c>
      <c r="E128" s="26">
        <f>(E18-E20+E126)-MIN(E127,E18-E20+E126)</f>
        <v/>
      </c>
      <c r="F128" s="26">
        <f>(F18-F20+F126)-MIN(F127,F18-F20+F126)</f>
        <v/>
      </c>
      <c r="G128" s="26">
        <f>(G18-G20+G126)-MIN(G127,G18-G20+G126)</f>
        <v/>
      </c>
      <c r="H128" s="26">
        <f>(H18-H20+H126)-MIN(H127,H18-H20+H126)</f>
        <v/>
      </c>
      <c r="I128" s="26">
        <f>(I18-I20+I126)-MIN(I127,I18-I20+I126)</f>
        <v/>
      </c>
    </row>
    <row r="129">
      <c r="A129" s="4" t="inlineStr">
        <is>
          <t>iter4: 长期借款期末</t>
        </is>
      </c>
      <c r="E129" s="26">
        <f>(E37-E39)-MIN(E127-(E18-E20+E126-E128),E37-E39)</f>
        <v/>
      </c>
      <c r="F129" s="26">
        <f>(F37-F39)-MIN(F127-(F18-F20+F126-F128),F37-F39)</f>
        <v/>
      </c>
      <c r="G129" s="26">
        <f>(G37-G39)-MIN(G127-(G18-G20+G126-G128),G37-G39)</f>
        <v/>
      </c>
      <c r="H129" s="26">
        <f>(H37-H39)-MIN(H127-(H18-H20+H126-H128),H37-H39)</f>
        <v/>
      </c>
      <c r="I129" s="26">
        <f>(I37-I39)-MIN(I127-(I18-I20+I126-I128),I37-I39)</f>
        <v/>
      </c>
    </row>
    <row r="130">
      <c r="A130" s="4" t="inlineStr">
        <is>
          <t>iter4: 利息支出(按期末余额重算)</t>
        </is>
      </c>
      <c r="E130" s="26">
        <f>(E18+E128)/2*Assumptions!$C$62+(E29+E32)/2*Assumptions!$C$63+(E37+E129)/2*Assumptions!$C$64+(E47+E50)/2*Assumptions!$C$65</f>
        <v/>
      </c>
      <c r="F130" s="26">
        <f>(F18+F128)/2*Assumptions!$C$62+(F29+F32)/2*Assumptions!$C$63+(F37+F129)/2*Assumptions!$C$64+(F47+F50)/2*Assumptions!$C$65</f>
        <v/>
      </c>
      <c r="G130" s="26">
        <f>(G18+G128)/2*Assumptions!$C$62+(G29+G32)/2*Assumptions!$C$63+(G37+G129)/2*Assumptions!$C$64+(G47+G50)/2*Assumptions!$C$65</f>
        <v/>
      </c>
      <c r="H130" s="26">
        <f>(H18+H128)/2*Assumptions!$C$62+(H29+H32)/2*Assumptions!$C$63+(H37+H129)/2*Assumptions!$C$64+(H47+H50)/2*Assumptions!$C$65</f>
        <v/>
      </c>
      <c r="I130" s="26">
        <f>(I18+I128)/2*Assumptions!$C$62+(I29+I32)/2*Assumptions!$C$63+(I37+I129)/2*Assumptions!$C$64+(I47+I50)/2*Assumptions!$C$65</f>
        <v/>
      </c>
    </row>
    <row r="131">
      <c r="A131" s="4" t="inlineStr">
        <is>
          <t>iter4: 期末现金</t>
        </is>
      </c>
      <c r="E131" s="26">
        <f>E125+E126-E127</f>
        <v/>
      </c>
      <c r="F131" s="26">
        <f>F125+F126-F127</f>
        <v/>
      </c>
      <c r="G131" s="26">
        <f>G125+G126-G127</f>
        <v/>
      </c>
      <c r="H131" s="26">
        <f>H125+H126-H127</f>
        <v/>
      </c>
      <c r="I131" s="26">
        <f>I125+I126-I127</f>
        <v/>
      </c>
    </row>
    <row r="132">
      <c r="A132" s="4" t="inlineStr">
        <is>
          <t>iter4: 利息收入(按期末现金重算)</t>
        </is>
      </c>
      <c r="E132" s="26">
        <f>(E6+E131)/2*Assumptions!$C$66</f>
        <v/>
      </c>
      <c r="F132" s="26">
        <f>(F6+F131)/2*Assumptions!$C$66</f>
        <v/>
      </c>
      <c r="G132" s="26">
        <f>(G6+G131)/2*Assumptions!$C$66</f>
        <v/>
      </c>
      <c r="H132" s="26">
        <f>(H6+H131)/2*Assumptions!$C$66</f>
        <v/>
      </c>
      <c r="I132" s="26">
        <f>(I6+I131)/2*Assumptions!$C$66</f>
        <v/>
      </c>
    </row>
    <row r="133">
      <c r="A133" s="4" t="inlineStr">
        <is>
          <t>iter4: 财务费用净额(重算)</t>
        </is>
      </c>
      <c r="E133" s="26">
        <f>E130-E132+E66</f>
        <v/>
      </c>
      <c r="F133" s="26">
        <f>F130-F132+F66</f>
        <v/>
      </c>
      <c r="G133" s="26">
        <f>G130-G132+G66</f>
        <v/>
      </c>
      <c r="H133" s="26">
        <f>H130-H132+H66</f>
        <v/>
      </c>
      <c r="I133" s="26">
        <f>I130-I132+I66</f>
        <v/>
      </c>
    </row>
    <row r="134">
      <c r="A134" s="3" t="inlineStr">
        <is>
          <t>iter4: 残差 |Δ利息支出|+|Δ利息收入|</t>
        </is>
      </c>
      <c r="E134" s="40">
        <f>ABS(E130-E120)+ABS(E132-E121)</f>
        <v/>
      </c>
      <c r="F134" s="40">
        <f>ABS(F130-F120)+ABS(F132-F121)</f>
        <v/>
      </c>
      <c r="G134" s="40">
        <f>ABS(G130-G120)+ABS(G132-G121)</f>
        <v/>
      </c>
      <c r="H134" s="40">
        <f>ABS(H130-H120)+ABS(H132-H121)</f>
        <v/>
      </c>
      <c r="I134" s="40">
        <f>ABS(I130-I120)+ABS(I132-I121)</f>
        <v/>
      </c>
    </row>
    <row r="136" ht="16" customHeight="1">
      <c r="A136" s="19" t="inlineStr">
        <is>
          <t>五、收敛残差 (第4轮采用值 vs 按期末余额重算隐含值, &lt;0.01即收敛)</t>
        </is>
      </c>
    </row>
    <row r="137">
      <c r="A137" s="4" t="inlineStr">
        <is>
          <t>残差: 利息支出 |采用值-隐含值|</t>
        </is>
      </c>
      <c r="E137" s="40">
        <f>ABS(E64-(E26+E34+E44+E52))</f>
        <v/>
      </c>
      <c r="F137" s="40">
        <f>ABS(F64-(F26+F34+F44+F52))</f>
        <v/>
      </c>
      <c r="G137" s="40">
        <f>ABS(G64-(G26+G34+G44+G52))</f>
        <v/>
      </c>
      <c r="H137" s="40">
        <f>ABS(H64-(H26+H34+H44+H52))</f>
        <v/>
      </c>
      <c r="I137" s="40">
        <f>ABS(I64-(I26+I34+I44+I52))</f>
        <v/>
      </c>
      <c r="J137" s="11" t="inlineStr">
        <is>
          <t>隐含值=上方四档利息行(按期末余额重算)加总</t>
        </is>
      </c>
    </row>
    <row r="138">
      <c r="A138" s="4" t="inlineStr">
        <is>
          <t>残差: 利息收入 |采用值-隐含值|</t>
        </is>
      </c>
      <c r="E138" s="40">
        <f>ABS(E65-(E6+E63)/2*Assumptions!$C$66)</f>
        <v/>
      </c>
      <c r="F138" s="40">
        <f>ABS(F65-(F6+F63)/2*Assumptions!$C$66)</f>
        <v/>
      </c>
      <c r="G138" s="40">
        <f>ABS(G65-(G6+G63)/2*Assumptions!$C$66)</f>
        <v/>
      </c>
      <c r="H138" s="40">
        <f>ABS(H65-(H6+H63)/2*Assumptions!$C$66)</f>
        <v/>
      </c>
      <c r="I138" s="40">
        <f>ABS(I65-(I6+I63)/2*Assumptions!$C$66)</f>
        <v/>
      </c>
      <c r="J138" s="11" t="inlineStr">
        <is>
          <t>隐含值=(期初+期末货币资金)/2×1.2%</t>
        </is>
      </c>
    </row>
    <row r="139">
      <c r="A139" s="3" t="inlineStr">
        <is>
          <t>残差上限 (应&lt;0.01)</t>
        </is>
      </c>
      <c r="E139" s="41">
        <f>MAX(E137,E138)</f>
        <v/>
      </c>
      <c r="F139" s="41">
        <f>MAX(F137,F138)</f>
        <v/>
      </c>
      <c r="G139" s="41">
        <f>MAX(G137,G138)</f>
        <v/>
      </c>
      <c r="H139" s="41">
        <f>MAX(H137,H138)</f>
        <v/>
      </c>
      <c r="I139" s="41">
        <f>MAX(I137,I138)</f>
        <v/>
      </c>
      <c r="J139" s="11" t="inlineStr">
        <is>
          <t>两项取大; Checks页第11项汇总校验</t>
        </is>
      </c>
    </row>
    <row r="140">
      <c r="A140" s="3" t="inlineStr">
        <is>
          <t>收敛判定 (TRUE=收敛)</t>
        </is>
      </c>
      <c r="E140" s="27">
        <f>E139&lt;0.01</f>
        <v/>
      </c>
      <c r="F140" s="27">
        <f>F139&lt;0.01</f>
        <v/>
      </c>
      <c r="G140" s="27">
        <f>G139&lt;0.01</f>
        <v/>
      </c>
      <c r="H140" s="27">
        <f>H139&lt;0.01</f>
        <v/>
      </c>
      <c r="I140" s="27">
        <f>I139&lt;0.01</f>
        <v/>
      </c>
      <c r="J140" s="11" t="inlineStr"/>
    </row>
  </sheetData>
  <mergeCells count="15">
    <mergeCell ref="A1:J1"/>
    <mergeCell ref="A5:J5"/>
    <mergeCell ref="A46:J46"/>
    <mergeCell ref="A36:J36"/>
    <mergeCell ref="A71:J71"/>
    <mergeCell ref="A103:J103"/>
    <mergeCell ref="A119:J119"/>
    <mergeCell ref="A17:J17"/>
    <mergeCell ref="A70:J70"/>
    <mergeCell ref="A136:J136"/>
    <mergeCell ref="A69:J69"/>
    <mergeCell ref="A87:J87"/>
    <mergeCell ref="A2:J2"/>
    <mergeCell ref="A28:J28"/>
    <mergeCell ref="A54:J5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 ht="24" customHeight="1">
      <c r="A1" s="10" t="inlineStr">
        <is>
          <t>中芯国际 — Equity_Roll 所有者权益滚动</t>
        </is>
      </c>
    </row>
    <row r="2" ht="14" customHeight="1">
      <c r="A2" s="11" t="inlineStr">
        <is>
          <t>单位: 美元百万元(财报口径) | 股本/资本公积/库存股/OCI持平滚动; 盈余公积按归母计提; 未分配=期初+归母-分红-盈余公积计提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</t>
        </is>
      </c>
    </row>
    <row r="5">
      <c r="A5" s="4" t="inlineStr">
        <is>
          <t>股本</t>
        </is>
      </c>
      <c r="B5" s="25" t="n">
        <v>0</v>
      </c>
      <c r="C5" s="25" t="n">
        <v>31.9</v>
      </c>
      <c r="D5" s="25" t="n">
        <v>32</v>
      </c>
      <c r="E5" s="26">
        <f>D5</f>
        <v/>
      </c>
      <c r="F5" s="26">
        <f>E5</f>
        <v/>
      </c>
      <c r="G5" s="26">
        <f>F5</f>
        <v/>
      </c>
      <c r="H5" s="26">
        <f>G5</f>
        <v/>
      </c>
      <c r="I5" s="26">
        <f>H5</f>
        <v/>
      </c>
      <c r="J5" s="11" t="inlineStr">
        <is>
          <t>预测持平(不考虑增发)</t>
        </is>
      </c>
    </row>
    <row r="6">
      <c r="A6" s="4" t="inlineStr">
        <is>
          <t>资本公积</t>
        </is>
      </c>
      <c r="B6" s="25" t="n">
        <v>0</v>
      </c>
      <c r="C6" s="25" t="n">
        <v>14266.4</v>
      </c>
      <c r="D6" s="25" t="n">
        <v>14394.8</v>
      </c>
      <c r="E6" s="26">
        <f>D6</f>
        <v/>
      </c>
      <c r="F6" s="26">
        <f>E6</f>
        <v/>
      </c>
      <c r="G6" s="26">
        <f>F6</f>
        <v/>
      </c>
      <c r="H6" s="26">
        <f>G6</f>
        <v/>
      </c>
      <c r="I6" s="26">
        <f>H6</f>
        <v/>
      </c>
      <c r="J6" s="11" t="inlineStr">
        <is>
          <t>预测持平</t>
        </is>
      </c>
    </row>
    <row r="7">
      <c r="A7" s="4" t="inlineStr">
        <is>
          <t>减: 库存股</t>
        </is>
      </c>
      <c r="B7" s="25" t="n">
        <v>0</v>
      </c>
      <c r="C7" s="25" t="n">
        <v>0</v>
      </c>
      <c r="D7" s="25" t="n">
        <v>0</v>
      </c>
      <c r="E7" s="26">
        <f>D7</f>
        <v/>
      </c>
      <c r="F7" s="26">
        <f>E7</f>
        <v/>
      </c>
      <c r="G7" s="26">
        <f>F7</f>
        <v/>
      </c>
      <c r="H7" s="26">
        <f>G7</f>
        <v/>
      </c>
      <c r="I7" s="26">
        <f>H7</f>
        <v/>
      </c>
      <c r="J7" s="11" t="inlineStr">
        <is>
          <t>预测持平</t>
        </is>
      </c>
    </row>
    <row r="8">
      <c r="A8" s="4" t="inlineStr">
        <is>
          <t>其他综合收益</t>
        </is>
      </c>
      <c r="B8" s="25" t="n">
        <v>286.9</v>
      </c>
      <c r="C8" s="25" t="n">
        <v>142.5</v>
      </c>
      <c r="D8" s="25" t="n">
        <v>154.7</v>
      </c>
      <c r="E8" s="26">
        <f>D8</f>
        <v/>
      </c>
      <c r="F8" s="26">
        <f>E8</f>
        <v/>
      </c>
      <c r="G8" s="26">
        <f>F8</f>
        <v/>
      </c>
      <c r="H8" s="26">
        <f>G8</f>
        <v/>
      </c>
      <c r="I8" s="26">
        <f>H8</f>
        <v/>
      </c>
      <c r="J8" s="11" t="inlineStr">
        <is>
          <t>预测持平(汇率/公允变动不预测)</t>
        </is>
      </c>
    </row>
    <row r="9">
      <c r="A9" s="4" t="inlineStr">
        <is>
          <t>盈余公积计提(流量)</t>
        </is>
      </c>
      <c r="E9" s="26">
        <f>IS!E20*Assumptions!$C$54</f>
        <v/>
      </c>
      <c r="F9" s="26">
        <f>IS!F20*Assumptions!$C$54</f>
        <v/>
      </c>
      <c r="G9" s="26">
        <f>IS!G20*Assumptions!$C$54</f>
        <v/>
      </c>
      <c r="H9" s="26">
        <f>IS!H20*Assumptions!$C$54</f>
        <v/>
      </c>
      <c r="I9" s="26">
        <f>IS!I20*Assumptions!$C$54</f>
        <v/>
      </c>
      <c r="J9" s="11" t="inlineStr">
        <is>
          <t>＝当年归母×0% (Assumptions)</t>
        </is>
      </c>
    </row>
    <row r="10">
      <c r="A10" s="4" t="inlineStr">
        <is>
          <t>盈余公积(期末)</t>
        </is>
      </c>
      <c r="B10" s="25" t="n">
        <v>0</v>
      </c>
      <c r="C10" s="25" t="n">
        <v>0</v>
      </c>
      <c r="D10" s="25" t="n">
        <v>0</v>
      </c>
      <c r="E10" s="26">
        <f>D10+E9</f>
        <v/>
      </c>
      <c r="F10" s="26">
        <f>E10+F9</f>
        <v/>
      </c>
      <c r="G10" s="26">
        <f>F10+G9</f>
        <v/>
      </c>
      <c r="H10" s="26">
        <f>G10+H9</f>
        <v/>
      </c>
      <c r="I10" s="26">
        <f>H10+I9</f>
        <v/>
      </c>
      <c r="J10" s="11" t="inlineStr">
        <is>
          <t>＝期初+计提</t>
        </is>
      </c>
    </row>
    <row r="11">
      <c r="A11" s="4" t="inlineStr">
        <is>
          <t>现金分红(流量, 引用)</t>
        </is>
      </c>
      <c r="E11" s="26">
        <f>Schedules!E26</f>
        <v/>
      </c>
      <c r="F11" s="26">
        <f>Schedules!F26</f>
        <v/>
      </c>
      <c r="G11" s="26">
        <f>Schedules!G26</f>
        <v/>
      </c>
      <c r="H11" s="26">
        <f>Schedules!H26</f>
        <v/>
      </c>
      <c r="I11" s="26">
        <f>Schedules!I26</f>
        <v/>
      </c>
      <c r="J11" s="11" t="inlineStr">
        <is>
          <t>＝Schedules</t>
        </is>
      </c>
    </row>
    <row r="12">
      <c r="A12" s="4" t="inlineStr">
        <is>
          <t>未分配利润(期末)</t>
        </is>
      </c>
      <c r="B12" s="25" t="n">
        <v>0</v>
      </c>
      <c r="C12" s="25" t="n">
        <v>6173.1</v>
      </c>
      <c r="D12" s="25" t="n">
        <v>6858.2</v>
      </c>
      <c r="E12" s="26">
        <f>D12+IS!E20-E11-E9</f>
        <v/>
      </c>
      <c r="F12" s="26">
        <f>E12+IS!F20-F11-F9</f>
        <v/>
      </c>
      <c r="G12" s="26">
        <f>F12+IS!G20-G11-G9</f>
        <v/>
      </c>
      <c r="H12" s="26">
        <f>G12+IS!H20-H11-H9</f>
        <v/>
      </c>
      <c r="I12" s="26">
        <f>H12+IS!I20-I11-I9</f>
        <v/>
      </c>
      <c r="J12" s="11" t="inlineStr">
        <is>
          <t>＝期初+归母净利-分红-盈余公积计提</t>
        </is>
      </c>
    </row>
    <row r="13">
      <c r="A13" s="4" t="inlineStr">
        <is>
          <t>其他权益项目(轧差, 引用BS)</t>
        </is>
      </c>
      <c r="B13" s="25" t="n">
        <v>5746.7</v>
      </c>
      <c r="C13" s="25" t="n">
        <v>-0.1</v>
      </c>
      <c r="D13" s="25" t="n">
        <v>0</v>
      </c>
      <c r="E13" s="26">
        <f>D13</f>
        <v/>
      </c>
      <c r="F13" s="26">
        <f>E13</f>
        <v/>
      </c>
      <c r="G13" s="26">
        <f>F13</f>
        <v/>
      </c>
      <c r="H13" s="26">
        <f>G13</f>
        <v/>
      </c>
      <c r="I13" s="26">
        <f>H13</f>
        <v/>
      </c>
      <c r="J13" s="11" t="inlineStr">
        <is>
          <t>含专项储备及换算尾差, 持平</t>
        </is>
      </c>
    </row>
    <row r="14">
      <c r="A14" s="3" t="inlineStr">
        <is>
          <t>归母所有者权益合计</t>
        </is>
      </c>
      <c r="B14" s="35">
        <f>B5+B6-B7+B8+B10+B12+B13</f>
        <v/>
      </c>
      <c r="C14" s="35">
        <f>C5+C6-C7+C8+C10+C12+C13</f>
        <v/>
      </c>
      <c r="D14" s="35">
        <f>D5+D6-D7+D8+D10+D12+D13</f>
        <v/>
      </c>
      <c r="E14" s="35">
        <f>E5+E6-E7+E8+E10+E12+E13</f>
        <v/>
      </c>
      <c r="F14" s="35">
        <f>F5+F6-F7+F8+F10+F12+F13</f>
        <v/>
      </c>
      <c r="G14" s="35">
        <f>G5+G6-G7+G8+G10+G12+G13</f>
        <v/>
      </c>
      <c r="H14" s="35">
        <f>H5+H6-H7+H8+H10+H12+H13</f>
        <v/>
      </c>
      <c r="I14" s="35">
        <f>I5+I6-I7+I8+I10+I12+I13</f>
        <v/>
      </c>
      <c r="J14" s="11" t="inlineStr"/>
    </row>
    <row r="15">
      <c r="A15" s="4" t="inlineStr">
        <is>
          <t>少数股东权益</t>
        </is>
      </c>
      <c r="B15" s="25" t="n">
        <v>0</v>
      </c>
      <c r="C15" s="25" t="n">
        <v>11255.8</v>
      </c>
      <c r="D15" s="25" t="n">
        <v>13580.9</v>
      </c>
      <c r="E15" s="26">
        <f>D15</f>
        <v/>
      </c>
      <c r="F15" s="26">
        <f>E15</f>
        <v/>
      </c>
      <c r="G15" s="26">
        <f>F15</f>
        <v/>
      </c>
      <c r="H15" s="26">
        <f>G15</f>
        <v/>
      </c>
      <c r="I15" s="26">
        <f>H15</f>
        <v/>
      </c>
      <c r="J15" s="11" t="inlineStr"/>
    </row>
    <row r="16">
      <c r="A16" s="3" t="inlineStr">
        <is>
          <t>所有者权益合计</t>
        </is>
      </c>
      <c r="B16" s="36">
        <f>B14+B15</f>
        <v/>
      </c>
      <c r="C16" s="36">
        <f>C14+C15</f>
        <v/>
      </c>
      <c r="D16" s="36">
        <f>D14+D15</f>
        <v/>
      </c>
      <c r="E16" s="36">
        <f>E14+E15</f>
        <v/>
      </c>
      <c r="F16" s="36">
        <f>F14+F15</f>
        <v/>
      </c>
      <c r="G16" s="36">
        <f>G14+G15</f>
        <v/>
      </c>
      <c r="H16" s="36">
        <f>H14+H15</f>
        <v/>
      </c>
      <c r="I16" s="36">
        <f>I14+I15</f>
        <v/>
      </c>
      <c r="J16" s="11" t="inlineStr"/>
    </row>
    <row r="18" ht="16" customHeight="1">
      <c r="A18" s="19" t="inlineStr">
        <is>
          <t>稀释股数</t>
        </is>
      </c>
    </row>
    <row r="19">
      <c r="A19" s="4" t="inlineStr">
        <is>
          <t>基本股数(总股本, 百万股)</t>
        </is>
      </c>
      <c r="C19" s="26">
        <f>Assumptions!$C$8</f>
        <v/>
      </c>
      <c r="J19" s="11" t="inlineStr">
        <is>
          <t>＝Assumptions总股本85.61亿股</t>
        </is>
      </c>
    </row>
    <row r="20">
      <c r="A20" s="4" t="inlineStr">
        <is>
          <t>稀释工具(可转债/期权等, 百万股)</t>
        </is>
      </c>
      <c r="C20" s="29" t="n">
        <v>0</v>
      </c>
      <c r="J20" s="11" t="inlineStr">
        <is>
          <t>占位输入: 如有流通可转债/期权等稀释工具在此输入</t>
        </is>
      </c>
    </row>
    <row r="21">
      <c r="A21" s="3" t="inlineStr">
        <is>
          <t>稀释后股数(百万股)</t>
        </is>
      </c>
      <c r="C21" s="37">
        <f>C19+C20</f>
        <v/>
      </c>
      <c r="J21" s="11" t="inlineStr">
        <is>
          <t>DCF/相对估值/Scenarios每股口径统一引用本行</t>
        </is>
      </c>
    </row>
  </sheetData>
  <mergeCells count="3">
    <mergeCell ref="A1:J1"/>
    <mergeCell ref="A18:J18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 ht="24" customHeight="1">
      <c r="A1" s="10" t="inlineStr">
        <is>
          <t>中芯国际 — DCF 绝对估值 (FCFF, 显性期2026-2030 + Gordon终值)</t>
        </is>
      </c>
    </row>
    <row r="2" ht="14" customHeight="1">
      <c r="A2" s="11" t="inlineStr">
        <is>
          <t>单位: 美元百万元(财报口径) | 估值基准日2026-08-17, 采用年中折现(mid-year convention: t=0.5/1.5/.../4.5); WACC/g引用Assumptions(采用值=IF(override为空,计算值,override))</t>
        </is>
      </c>
    </row>
    <row r="3">
      <c r="A3" s="3" t="inlineStr">
        <is>
          <t>项目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</t>
        </is>
      </c>
    </row>
    <row r="4">
      <c r="A4" s="4" t="inlineStr">
        <is>
          <t>EBIT</t>
        </is>
      </c>
      <c r="E4" s="26">
        <f>IS!E23</f>
        <v/>
      </c>
      <c r="F4" s="26">
        <f>IS!F23</f>
        <v/>
      </c>
      <c r="G4" s="26">
        <f>IS!G23</f>
        <v/>
      </c>
      <c r="H4" s="26">
        <f>IS!H23</f>
        <v/>
      </c>
      <c r="I4" s="26">
        <f>IS!I23</f>
        <v/>
      </c>
      <c r="J4" s="11" t="inlineStr">
        <is>
          <t>＝IS: 利润总额+财务费用</t>
        </is>
      </c>
    </row>
    <row r="5">
      <c r="A5" s="4" t="inlineStr">
        <is>
          <t>税率</t>
        </is>
      </c>
      <c r="E5" s="16">
        <f>Assumptions!C$33</f>
        <v/>
      </c>
      <c r="F5" s="16">
        <f>Assumptions!D$33</f>
        <v/>
      </c>
      <c r="G5" s="16">
        <f>Assumptions!E$33</f>
        <v/>
      </c>
      <c r="H5" s="16">
        <f>Assumptions!F$33</f>
        <v/>
      </c>
      <c r="I5" s="16">
        <f>Assumptions!G$33</f>
        <v/>
      </c>
      <c r="J5" s="11" t="inlineStr"/>
    </row>
    <row r="6">
      <c r="A6" s="3" t="inlineStr">
        <is>
          <t>NOPAT = EBIT×(1-t)</t>
        </is>
      </c>
      <c r="E6" s="36">
        <f>E4*(1-E5)</f>
        <v/>
      </c>
      <c r="F6" s="36">
        <f>F4*(1-F5)</f>
        <v/>
      </c>
      <c r="G6" s="36">
        <f>G4*(1-G5)</f>
        <v/>
      </c>
      <c r="H6" s="36">
        <f>H4*(1-H5)</f>
        <v/>
      </c>
      <c r="I6" s="36">
        <f>I4*(1-I5)</f>
        <v/>
      </c>
      <c r="J6" s="11" t="inlineStr"/>
    </row>
    <row r="7">
      <c r="A7" s="4" t="inlineStr">
        <is>
          <t>加: D&amp;A</t>
        </is>
      </c>
      <c r="E7" s="26">
        <f>PPE!E19</f>
        <v/>
      </c>
      <c r="F7" s="26">
        <f>PPE!F19</f>
        <v/>
      </c>
      <c r="G7" s="26">
        <f>PPE!G19</f>
        <v/>
      </c>
      <c r="H7" s="26">
        <f>PPE!H19</f>
        <v/>
      </c>
      <c r="I7" s="26">
        <f>PPE!I19</f>
        <v/>
      </c>
      <c r="J7" s="11" t="inlineStr"/>
    </row>
    <row r="8">
      <c r="A8" s="4" t="inlineStr">
        <is>
          <t>减: ΔNWC</t>
        </is>
      </c>
      <c r="E8" s="26">
        <f>Schedules!E18</f>
        <v/>
      </c>
      <c r="F8" s="26">
        <f>Schedules!F18</f>
        <v/>
      </c>
      <c r="G8" s="26">
        <f>Schedules!G18</f>
        <v/>
      </c>
      <c r="H8" s="26">
        <f>Schedules!H18</f>
        <v/>
      </c>
      <c r="I8" s="26">
        <f>Schedules!I18</f>
        <v/>
      </c>
      <c r="J8" s="11" t="inlineStr">
        <is>
          <t>NWC增加为现金流出</t>
        </is>
      </c>
    </row>
    <row r="9">
      <c r="A9" s="4" t="inlineStr">
        <is>
          <t>减: Capex</t>
        </is>
      </c>
      <c r="E9" s="26">
        <f>PPE!E14</f>
        <v/>
      </c>
      <c r="F9" s="26">
        <f>PPE!F14</f>
        <v/>
      </c>
      <c r="G9" s="26">
        <f>PPE!G14</f>
        <v/>
      </c>
      <c r="H9" s="26">
        <f>PPE!H14</f>
        <v/>
      </c>
      <c r="I9" s="26">
        <f>PPE!I14</f>
        <v/>
      </c>
      <c r="J9" s="11" t="inlineStr"/>
    </row>
    <row r="10">
      <c r="A10" s="3" t="inlineStr">
        <is>
          <t>FCFF</t>
        </is>
      </c>
      <c r="E10" s="36">
        <f>E6+E7-E8-E9</f>
        <v/>
      </c>
      <c r="F10" s="36">
        <f>F6+F7-F8-F9</f>
        <v/>
      </c>
      <c r="G10" s="36">
        <f>G6+G7-G8-G9</f>
        <v/>
      </c>
      <c r="H10" s="36">
        <f>H6+H7-H8-H9</f>
        <v/>
      </c>
      <c r="I10" s="36">
        <f>I6+I7-I8-I9</f>
        <v/>
      </c>
      <c r="J10" s="11" t="inlineStr"/>
    </row>
    <row r="11">
      <c r="A11" s="4" t="inlineStr">
        <is>
          <t>折现年序(年中)</t>
        </is>
      </c>
      <c r="E11" s="42" t="n">
        <v>0.5</v>
      </c>
      <c r="F11" s="42" t="n">
        <v>1.5</v>
      </c>
      <c r="G11" s="42" t="n">
        <v>2.5</v>
      </c>
      <c r="H11" s="42" t="n">
        <v>3.5</v>
      </c>
      <c r="I11" s="42" t="n">
        <v>4.5</v>
      </c>
      <c r="J11" s="11" t="inlineStr">
        <is>
          <t>年中折现(mid-year); 基准日2026-08-17, 近似年中收到现金流</t>
        </is>
      </c>
    </row>
    <row r="12">
      <c r="A12" s="4" t="inlineStr">
        <is>
          <t>折现因子</t>
        </is>
      </c>
      <c r="E12" s="32">
        <f>1/(1+Assumptions!$C$82)^E11</f>
        <v/>
      </c>
      <c r="F12" s="32">
        <f>1/(1+Assumptions!$C$82)^F11</f>
        <v/>
      </c>
      <c r="G12" s="32">
        <f>1/(1+Assumptions!$C$82)^G11</f>
        <v/>
      </c>
      <c r="H12" s="32">
        <f>1/(1+Assumptions!$C$82)^H11</f>
        <v/>
      </c>
      <c r="I12" s="32">
        <f>1/(1+Assumptions!$C$82)^I11</f>
        <v/>
      </c>
      <c r="J12" s="11" t="inlineStr"/>
    </row>
    <row r="13">
      <c r="A13" s="4" t="inlineStr">
        <is>
          <t>PV(FCFF)</t>
        </is>
      </c>
      <c r="E13" s="26">
        <f>E10*E12</f>
        <v/>
      </c>
      <c r="F13" s="26">
        <f>F10*F12</f>
        <v/>
      </c>
      <c r="G13" s="26">
        <f>G10*G12</f>
        <v/>
      </c>
      <c r="H13" s="26">
        <f>H10*H12</f>
        <v/>
      </c>
      <c r="I13" s="26">
        <f>I10*I12</f>
        <v/>
      </c>
      <c r="J13" s="11" t="inlineStr"/>
    </row>
    <row r="15">
      <c r="A15" s="3" t="inlineStr">
        <is>
          <t>显性期PV合计 (2026-2030)</t>
        </is>
      </c>
      <c r="D15" s="36">
        <f>SUM(E13:I13)</f>
        <v/>
      </c>
      <c r="J15" s="11" t="inlineStr"/>
    </row>
    <row r="16">
      <c r="A16" s="4" t="inlineStr">
        <is>
          <t>终值 TV (Gordon)</t>
        </is>
      </c>
      <c r="D16" s="26">
        <f>I10*(1+Assumptions!$C$83)/(Assumptions!$C$82-Assumptions!$C$83)</f>
        <v/>
      </c>
      <c r="J16" s="11" t="inlineStr">
        <is>
          <t>＝FCFF2030×(1+g)/(WACC-g)</t>
        </is>
      </c>
    </row>
    <row r="17">
      <c r="A17" s="4" t="inlineStr">
        <is>
          <t>PV(终值)</t>
        </is>
      </c>
      <c r="D17" s="26">
        <f>D16*I12</f>
        <v/>
      </c>
      <c r="J17" s="11" t="inlineStr">
        <is>
          <t>终值按t=4.5折现(与显性期最后一年一致)</t>
        </is>
      </c>
    </row>
    <row r="18">
      <c r="A18" s="3" t="inlineStr">
        <is>
          <t>企业价值 EV</t>
        </is>
      </c>
      <c r="D18" s="36">
        <f>D15+D17</f>
        <v/>
      </c>
      <c r="J18" s="11" t="inlineStr"/>
    </row>
    <row r="19">
      <c r="A19" s="4" t="inlineStr">
        <is>
          <t>加: 货币资金(2025A末)</t>
        </is>
      </c>
      <c r="D19" s="26">
        <f>BS!D4</f>
        <v/>
      </c>
      <c r="J19" s="11" t="inlineStr"/>
    </row>
    <row r="20">
      <c r="A20" s="4" t="inlineStr">
        <is>
          <t>加: 交易性金融资产(2025A末)</t>
        </is>
      </c>
      <c r="D20" s="26">
        <f>BS!D5</f>
        <v/>
      </c>
      <c r="J20" s="11" t="inlineStr"/>
    </row>
    <row r="21">
      <c r="A21" s="4" t="inlineStr">
        <is>
          <t>加: 其他权益工具投资(2025A末)</t>
        </is>
      </c>
      <c r="D21" s="26">
        <f>BS!D18</f>
        <v/>
      </c>
      <c r="J21" s="11" t="inlineStr">
        <is>
          <t>2025A末15.3亿, 参股投资按账面值计入股权价值</t>
        </is>
      </c>
    </row>
    <row r="22">
      <c r="A22" s="4" t="inlineStr">
        <is>
          <t>减: 有息负债(2025A末)</t>
        </is>
      </c>
      <c r="D22" s="26">
        <f>-(BS!D22+BS!D28+BS!D31+BS!D32)</f>
        <v/>
      </c>
      <c r="J22" s="11" t="inlineStr"/>
    </row>
    <row r="23">
      <c r="A23" s="4" t="inlineStr">
        <is>
          <t>净现金调整合计</t>
        </is>
      </c>
      <c r="D23" s="26">
        <f>D19+D20+D21+D22</f>
        <v/>
      </c>
      <c r="J23" s="11" t="inlineStr">
        <is>
          <t>供Sensitivity/Scenarios页引用</t>
        </is>
      </c>
    </row>
    <row r="24">
      <c r="A24" s="3" t="inlineStr">
        <is>
          <t>股权价值</t>
        </is>
      </c>
      <c r="D24" s="36">
        <f>D18+D23</f>
        <v/>
      </c>
      <c r="J24" s="11" t="inlineStr"/>
    </row>
    <row r="25">
      <c r="A25" s="3" t="inlineStr">
        <is>
          <t>每股价值 (元)</t>
        </is>
      </c>
      <c r="D25" s="15">
        <f>D24/Equity_Roll!$C$21</f>
        <v/>
      </c>
      <c r="J25" s="11" t="inlineStr">
        <is>
          <t>＝股权价值/稀释股数(Equity_Roll页)</t>
        </is>
      </c>
    </row>
    <row r="26">
      <c r="A26" s="4" t="inlineStr">
        <is>
          <t>现价 (2026-08-17)</t>
        </is>
      </c>
      <c r="D26" s="14">
        <f>Assumptions!$C$7</f>
        <v/>
      </c>
      <c r="J26" s="11" t="inlineStr"/>
    </row>
    <row r="27">
      <c r="A27" s="3" t="inlineStr">
        <is>
          <t>隐含涨跌幅</t>
        </is>
      </c>
      <c r="D27" s="43">
        <f>D25/D26-1</f>
        <v/>
      </c>
      <c r="J27" s="11" t="inlineStr"/>
    </row>
    <row r="28">
      <c r="A28" s="4" t="inlineStr">
        <is>
          <t>隐含2026E P/E</t>
        </is>
      </c>
      <c r="D28" s="44">
        <f>D24/IS!E20</f>
        <v/>
      </c>
      <c r="J28" s="11" t="inlineStr">
        <is>
          <t>＝股权价值/2026E归母</t>
        </is>
      </c>
    </row>
    <row r="29">
      <c r="A29" s="4" t="inlineStr">
        <is>
          <t>隐含2026E EV/EBITDA</t>
        </is>
      </c>
      <c r="D29" s="44">
        <f>D18/(IS!E23+PPE!E19)</f>
        <v/>
      </c>
      <c r="J29" s="11" t="inlineStr"/>
    </row>
    <row r="30">
      <c r="A30" s="11" t="inlineStr">
        <is>
          <t>注: 估值基准日2026-08-17, 与2026财年现金流起点存在时间错位; 年中折现(t=0.5起)为该错位的标准近似处理, 不再单独做stub调整</t>
        </is>
      </c>
    </row>
  </sheetData>
  <mergeCells count="3">
    <mergeCell ref="A1:J1"/>
    <mergeCell ref="A30:J30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 ht="24" customHeight="1">
      <c r="A1" s="10" t="inlineStr">
        <is>
          <t>中芯国际 — FCFE 股权自由现金流估值 (Ke折现, 与FCFF双视图)</t>
        </is>
      </c>
    </row>
    <row r="2" ht="14" customHeight="1">
      <c r="A2" s="11" t="inlineStr">
        <is>
          <t>单位: 美元百万元(财报口径) | FCFE=归母净利+D&amp;A-ΔNWC-Capex+净新增借款(FIN页调度); 按股权成本Ke折现(年中口径与DCF页一致), 直接得股权价值, 无需EV→Equity桥</t>
        </is>
      </c>
    </row>
    <row r="3">
      <c r="A3" s="3" t="inlineStr">
        <is>
          <t>项目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</t>
        </is>
      </c>
    </row>
    <row r="4">
      <c r="A4" s="4" t="inlineStr">
        <is>
          <t>归母净利润</t>
        </is>
      </c>
      <c r="E4" s="26">
        <f>IS!E20</f>
        <v/>
      </c>
      <c r="F4" s="26">
        <f>IS!F20</f>
        <v/>
      </c>
      <c r="G4" s="26">
        <f>IS!G20</f>
        <v/>
      </c>
      <c r="H4" s="26">
        <f>IS!H20</f>
        <v/>
      </c>
      <c r="I4" s="26">
        <f>IS!I20</f>
        <v/>
      </c>
      <c r="J4" s="11" t="inlineStr">
        <is>
          <t>＝IS归母净利(含FIN调度后的利息)</t>
        </is>
      </c>
    </row>
    <row r="5">
      <c r="A5" s="4" t="inlineStr">
        <is>
          <t>加: D&amp;A</t>
        </is>
      </c>
      <c r="E5" s="26">
        <f>PPE!E19</f>
        <v/>
      </c>
      <c r="F5" s="26">
        <f>PPE!F19</f>
        <v/>
      </c>
      <c r="G5" s="26">
        <f>PPE!G19</f>
        <v/>
      </c>
      <c r="H5" s="26">
        <f>PPE!H19</f>
        <v/>
      </c>
      <c r="I5" s="26">
        <f>PPE!I19</f>
        <v/>
      </c>
      <c r="J5" s="11" t="inlineStr">
        <is>
          <t>＝PP&amp;E页折旧+无形摊销</t>
        </is>
      </c>
    </row>
    <row r="6">
      <c r="A6" s="4" t="inlineStr">
        <is>
          <t>减: ΔNWC</t>
        </is>
      </c>
      <c r="E6" s="26">
        <f>Schedules!E18</f>
        <v/>
      </c>
      <c r="F6" s="26">
        <f>Schedules!F18</f>
        <v/>
      </c>
      <c r="G6" s="26">
        <f>Schedules!G18</f>
        <v/>
      </c>
      <c r="H6" s="26">
        <f>Schedules!H18</f>
        <v/>
      </c>
      <c r="I6" s="26">
        <f>Schedules!I18</f>
        <v/>
      </c>
      <c r="J6" s="11" t="inlineStr">
        <is>
          <t>＝Schedules; NWC增加为现金流出</t>
        </is>
      </c>
    </row>
    <row r="7">
      <c r="A7" s="4" t="inlineStr">
        <is>
          <t>减: Capex</t>
        </is>
      </c>
      <c r="E7" s="26">
        <f>PPE!E14</f>
        <v/>
      </c>
      <c r="F7" s="26">
        <f>PPE!F14</f>
        <v/>
      </c>
      <c r="G7" s="26">
        <f>PPE!G14</f>
        <v/>
      </c>
      <c r="H7" s="26">
        <f>PPE!H14</f>
        <v/>
      </c>
      <c r="I7" s="26">
        <f>PPE!I14</f>
        <v/>
      </c>
      <c r="J7" s="11" t="inlineStr">
        <is>
          <t>＝PP&amp;E页资本开支</t>
        </is>
      </c>
    </row>
    <row r="8">
      <c r="A8" s="4" t="inlineStr">
        <is>
          <t>加: 净新增借款</t>
        </is>
      </c>
      <c r="E8" s="26">
        <f>FIN!E57</f>
        <v/>
      </c>
      <c r="F8" s="26">
        <f>FIN!F57</f>
        <v/>
      </c>
      <c r="G8" s="26">
        <f>FIN!G57</f>
        <v/>
      </c>
      <c r="H8" s="26">
        <f>FIN!H57</f>
        <v/>
      </c>
      <c r="I8" s="26">
        <f>FIN!I57</f>
        <v/>
      </c>
      <c r="J8" s="11" t="inlineStr">
        <is>
          <t>＝FIN四档债务期末-期初(revolver新增-sweep偿还-计划还款); 股权口径下债务净变动归股东</t>
        </is>
      </c>
    </row>
    <row r="9">
      <c r="A9" s="3" t="inlineStr">
        <is>
          <t>FCFE</t>
        </is>
      </c>
      <c r="E9" s="36">
        <f>E4+E5-E6-E7+E8</f>
        <v/>
      </c>
      <c r="F9" s="36">
        <f>F4+F5-F6-F7+F8</f>
        <v/>
      </c>
      <c r="G9" s="36">
        <f>G4+G5-G6-G7+G8</f>
        <v/>
      </c>
      <c r="H9" s="36">
        <f>H4+H5-H6-H7+H8</f>
        <v/>
      </c>
      <c r="I9" s="36">
        <f>I4+I5-I6-I7+I8</f>
        <v/>
      </c>
      <c r="J9" s="11" t="inlineStr">
        <is>
          <t>＝归母+D&amp;A-ΔNWC-Capex+净新增借款</t>
        </is>
      </c>
    </row>
    <row r="10">
      <c r="A10" s="4" t="inlineStr">
        <is>
          <t>折现年序(年中)</t>
        </is>
      </c>
      <c r="E10" s="42" t="n">
        <v>0.5</v>
      </c>
      <c r="F10" s="42" t="n">
        <v>1.5</v>
      </c>
      <c r="G10" s="42" t="n">
        <v>2.5</v>
      </c>
      <c r="H10" s="42" t="n">
        <v>3.5</v>
      </c>
      <c r="I10" s="42" t="n">
        <v>4.5</v>
      </c>
      <c r="J10" s="11" t="inlineStr">
        <is>
          <t>年中折现, 与DCF页同口径</t>
        </is>
      </c>
    </row>
    <row r="11">
      <c r="A11" s="4" t="inlineStr">
        <is>
          <t>折现因子 (Ke)</t>
        </is>
      </c>
      <c r="E11" s="32">
        <f>1/(1+KE)^E10</f>
        <v/>
      </c>
      <c r="F11" s="32">
        <f>1/(1+KE)^F10</f>
        <v/>
      </c>
      <c r="G11" s="32">
        <f>1/(1+KE)^G10</f>
        <v/>
      </c>
      <c r="H11" s="32">
        <f>1/(1+KE)^H10</f>
        <v/>
      </c>
      <c r="I11" s="32">
        <f>1/(1+KE)^I10</f>
        <v/>
      </c>
      <c r="J11" s="11" t="inlineStr">
        <is>
          <t>＝1/(1+Ke)^t; Ke为named range(Assumptions股权成本)</t>
        </is>
      </c>
    </row>
    <row r="12">
      <c r="A12" s="4" t="inlineStr">
        <is>
          <t>PV(FCFE)</t>
        </is>
      </c>
      <c r="E12" s="26">
        <f>E9*E11</f>
        <v/>
      </c>
      <c r="F12" s="26">
        <f>F9*F11</f>
        <v/>
      </c>
      <c r="G12" s="26">
        <f>G9*G11</f>
        <v/>
      </c>
      <c r="H12" s="26">
        <f>H9*H11</f>
        <v/>
      </c>
      <c r="I12" s="26">
        <f>I9*I11</f>
        <v/>
      </c>
      <c r="J12" s="11" t="inlineStr"/>
    </row>
    <row r="14">
      <c r="A14" s="3" t="inlineStr">
        <is>
          <t>显性期PV合计 (2026-2030)</t>
        </is>
      </c>
      <c r="D14" s="36">
        <f>SUM(E12:I12)</f>
        <v/>
      </c>
      <c r="J14" s="11" t="inlineStr"/>
    </row>
    <row r="15">
      <c r="A15" s="4" t="inlineStr">
        <is>
          <t>终值 TV (Gordon)</t>
        </is>
      </c>
      <c r="D15" s="26">
        <f>I9*(1+TERM_G)/(KE-TERM_G)</f>
        <v/>
      </c>
      <c r="J15" s="11" t="inlineStr">
        <is>
          <t>＝FCFE2030×(1+g)/(Ke-g); Ke/g均为named range</t>
        </is>
      </c>
    </row>
    <row r="16">
      <c r="A16" s="4" t="inlineStr">
        <is>
          <t>PV(终值)</t>
        </is>
      </c>
      <c r="D16" s="26">
        <f>D15*I11</f>
        <v/>
      </c>
      <c r="J16" s="11" t="inlineStr">
        <is>
          <t>终值按t=4.5折现(与DCF页一致)</t>
        </is>
      </c>
    </row>
    <row r="17">
      <c r="A17" s="3" t="inlineStr">
        <is>
          <t>股权价值 (FCFE口径)</t>
        </is>
      </c>
      <c r="D17" s="36">
        <f>D14+D16</f>
        <v/>
      </c>
      <c r="J17" s="11" t="inlineStr">
        <is>
          <t>FCFE直接折现为股权价值, 无需净现金桥</t>
        </is>
      </c>
    </row>
    <row r="18">
      <c r="A18" s="3" t="inlineStr">
        <is>
          <t>每股价值 (元)</t>
        </is>
      </c>
      <c r="D18" s="15">
        <f>D17/SHARES_DIL</f>
        <v/>
      </c>
      <c r="J18" s="11" t="inlineStr">
        <is>
          <t>＝股权价值/稀释股数(named range)</t>
        </is>
      </c>
    </row>
    <row r="19">
      <c r="A19" s="4" t="inlineStr">
        <is>
          <t>对照: FCFF口径每股价值 (元)</t>
        </is>
      </c>
      <c r="D19" s="14">
        <f>DCF!D25</f>
        <v/>
      </c>
      <c r="J19" s="11" t="inlineStr">
        <is>
          <t>＝DCF页主输出</t>
        </is>
      </c>
    </row>
    <row r="20">
      <c r="A20" s="3" t="inlineStr">
        <is>
          <t>两法差异 (FCFE/FCFF-1)</t>
        </is>
      </c>
      <c r="D20" s="43">
        <f>D18/D19-1</f>
        <v/>
      </c>
      <c r="J20" s="11" t="inlineStr">
        <is>
          <t xml:space="preserve"> Checks页含一致性信息行</t>
        </is>
      </c>
    </row>
    <row r="21" ht="52" customHeight="1">
      <c r="A21" s="3" t="inlineStr">
        <is>
          <t>两法差异原因</t>
        </is>
      </c>
      <c r="B21" s="9" t="inlineStr">
        <is>
          <t>①折现率不同: FCFF按WACC(全资本成本, 税盾在分母)折现, FCFE按Ke(纯股权成本)折现; ②口径不同: FCFF为企业自由现金流, 须经EV→Equity桥加回净现金/扣有息负债, FCFE已含净新增借款、直接对应股权; ③杠杆路径不同: FCFE逐年反映FIN页revolver/sweep实际债务调度(资本结构动态变化), FCFF隐含目标结构(Wd)恒定; ④两法在"恒定资本结构+一致税盾处理"下理论等价, 实务差异主要来自债务调度时点、净现金桥与折现率差; 差异幅度大时应复查融资假设</t>
        </is>
      </c>
    </row>
  </sheetData>
  <mergeCells count="3">
    <mergeCell ref="A1:J1"/>
    <mergeCell ref="B21:J2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4" customWidth="1" min="5" max="5"/>
    <col width="11" customWidth="1" min="6" max="6"/>
    <col width="14" customWidth="1" min="7" max="7"/>
    <col width="11" customWidth="1" min="8" max="8"/>
    <col width="12" customWidth="1" min="9" max="9"/>
    <col width="10" customWidth="1" min="10" max="10"/>
    <col width="56" customWidth="1" min="11" max="11"/>
    <col width="9" customWidth="1" min="12" max="12"/>
    <col width="9" customWidth="1" min="13" max="13"/>
    <col width="8" customWidth="1" min="14" max="14"/>
    <col width="9" customWidth="1" min="15" max="15"/>
  </cols>
  <sheetData>
    <row r="1" ht="24" customHeight="1">
      <c r="A1" s="10" t="inlineStr">
        <is>
          <t>中芯国际 — Relative_Val 可比公司相对估值 + Beta unlever/relever</t>
        </is>
      </c>
    </row>
    <row r="2" ht="14" customHeight="1">
      <c r="A2" s="11" t="inlineStr">
        <is>
          <t>市值/PE-TTM为2026-08-17收盘(腾讯行情); 预测归母为一致预期/分析师输入; L-O列: βl/(1+(1-t)D/E) unlever取中位→Assumptions按目标结构relever</t>
        </is>
      </c>
    </row>
    <row r="4">
      <c r="A4" s="12" t="inlineStr">
        <is>
          <t>公司</t>
        </is>
      </c>
      <c r="B4" s="12" t="inlineStr">
        <is>
          <t>代码</t>
        </is>
      </c>
      <c r="C4" s="12" t="inlineStr">
        <is>
          <t>市值(亿元)</t>
        </is>
      </c>
      <c r="D4" s="12" t="inlineStr">
        <is>
          <t>PE-TTM</t>
        </is>
      </c>
      <c r="E4" s="12" t="inlineStr">
        <is>
          <t>2026E归母(亿)</t>
        </is>
      </c>
      <c r="F4" s="12" t="inlineStr">
        <is>
          <t>2026E PE</t>
        </is>
      </c>
      <c r="G4" s="12" t="inlineStr">
        <is>
          <t>2027E归母(亿)</t>
        </is>
      </c>
      <c r="H4" s="12" t="inlineStr">
        <is>
          <t>2027E PE</t>
        </is>
      </c>
      <c r="I4" s="12" t="inlineStr">
        <is>
          <t>26→27增速</t>
        </is>
      </c>
      <c r="J4" s="12" t="inlineStr">
        <is>
          <t>PEG</t>
        </is>
      </c>
      <c r="K4" s="12" t="inlineStr">
        <is>
          <t>数据来源 / 备注</t>
        </is>
      </c>
      <c r="L4" s="12" t="inlineStr">
        <is>
          <t>βl(输入)</t>
        </is>
      </c>
      <c r="M4" s="12" t="inlineStr">
        <is>
          <t>D/E(输入)</t>
        </is>
      </c>
      <c r="N4" s="12" t="inlineStr">
        <is>
          <t>税率(输入)</t>
        </is>
      </c>
      <c r="O4" s="12" t="inlineStr">
        <is>
          <t>βu(公式)</t>
        </is>
      </c>
    </row>
    <row r="5">
      <c r="A5" s="3" t="inlineStr">
        <is>
          <t>可比中位数(A股0家)</t>
        </is>
      </c>
      <c r="K5" s="9" t="inlineStr">
        <is>
          <t>无可比公司配置(兜底模式): βu走Assumptions蓝色输入, 相对估值上下限=目标PE下限</t>
        </is>
      </c>
    </row>
    <row r="6">
      <c r="A6" s="3" t="inlineStr">
        <is>
          <t>中芯国际(现价)</t>
        </is>
      </c>
      <c r="B6" s="21" t="inlineStr">
        <is>
          <t>00981.HK</t>
        </is>
      </c>
      <c r="C6" s="26">
        <f>Assumptions!$C$9/100</f>
        <v/>
      </c>
      <c r="D6" s="45" t="n">
        <v>120.51</v>
      </c>
      <c r="E6" s="26">
        <f>Assumptions!$C$13/100</f>
        <v/>
      </c>
      <c r="F6" s="46">
        <f>C6/E6</f>
        <v/>
      </c>
      <c r="G6" s="26">
        <f>Assumptions!$C$15/100</f>
        <v/>
      </c>
      <c r="H6" s="44">
        <f>C6/G6</f>
        <v/>
      </c>
      <c r="K6" s="9" t="inlineStr">
        <is>
          <t>2026E/2027E归母=一致预期; 腾讯行情PE-TTM(港元口径, 2026-08-17)</t>
        </is>
      </c>
    </row>
    <row r="8" ht="16" customHeight="1">
      <c r="A8" s="19" t="inlineStr">
        <is>
          <t>中芯国际定价 (基于模型基准2026E归母)</t>
        </is>
      </c>
    </row>
    <row r="9">
      <c r="A9" s="4" t="inlineStr">
        <is>
          <t>目标PE下限</t>
        </is>
      </c>
      <c r="C9" s="47" t="n">
        <v>25</v>
      </c>
      <c r="K9" s="11" t="inlineStr">
        <is>
          <t>兜底默认: 25x(无可比清单); 建议补comps后取可比中位数为上界</t>
        </is>
      </c>
    </row>
    <row r="10">
      <c r="A10" s="4" t="inlineStr">
        <is>
          <t>目标PE上限</t>
        </is>
      </c>
      <c r="C10" s="44">
        <f>C9</f>
        <v/>
      </c>
      <c r="K10" s="11" t="inlineStr">
        <is>
          <t>＝目标PE下限(无可比公司配置, 兜底)</t>
        </is>
      </c>
    </row>
    <row r="11">
      <c r="A11" s="4" t="inlineStr">
        <is>
          <t>模型基准2026E归母(百万)</t>
        </is>
      </c>
      <c r="C11" s="26">
        <f>IS!E20</f>
        <v/>
      </c>
    </row>
    <row r="12">
      <c r="A12" s="3" t="inlineStr">
        <is>
          <t>对应股价下限(元)</t>
        </is>
      </c>
      <c r="C12" s="15">
        <f>C9*C11/Equity_Roll!$C$21</f>
        <v/>
      </c>
    </row>
    <row r="13">
      <c r="A13" s="3" t="inlineStr">
        <is>
          <t>对应股价上限(元)</t>
        </is>
      </c>
      <c r="C13" s="15">
        <f>C10*C11/Equity_Roll!$C$21</f>
        <v/>
      </c>
    </row>
    <row r="14">
      <c r="A14" s="4" t="inlineStr">
        <is>
          <t>以一致预期2026E归母8.0亿计股价区间(元)</t>
        </is>
      </c>
      <c r="C14" s="14">
        <f>C9*Assumptions!$C$13/Equity_Roll!$C$21</f>
        <v/>
      </c>
      <c r="D14" s="14">
        <f>C10*Assumptions!$C$13/Equity_Roll!$C$21</f>
        <v/>
      </c>
      <c r="K14" s="11" t="inlineStr">
        <is>
          <t>左=PE下限, 右=PE上限</t>
        </is>
      </c>
    </row>
    <row r="15">
      <c r="A15" s="4" t="inlineStr">
        <is>
          <t>相对现价9.6218元空间</t>
        </is>
      </c>
      <c r="C15" s="16">
        <f>C12/Assumptions!$C$7-1</f>
        <v/>
      </c>
      <c r="D15" s="16">
        <f>C13/Assumptions!$C$7-1</f>
        <v/>
      </c>
    </row>
  </sheetData>
  <mergeCells count="3">
    <mergeCell ref="A1:O1"/>
    <mergeCell ref="A8:O8"/>
    <mergeCell ref="A2:O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9" max="9"/>
  </cols>
  <sheetData>
    <row r="1" ht="24" customHeight="1">
      <c r="A1" s="10" t="inlineStr">
        <is>
          <t>中芯国际 — Sensitivity 敏感性分析</t>
        </is>
      </c>
    </row>
    <row r="2" ht="14" customHeight="1">
      <c r="A2" s="11" t="inlineStr">
        <is>
          <t>单位: 元/股 | 矩阵轴为公式(自动对中WACC采用值/g), 两矩阵引用DCF页FCFF与Equity_Roll稀释股数; 另附DPO单维敏感性</t>
        </is>
      </c>
    </row>
    <row r="4" ht="16" customHeight="1">
      <c r="A4" s="19" t="inlineStr">
        <is>
          <t>矩阵一: DCF每股价值 — WACC × 永续增长率g (年中折现, 与DCF页同口径)</t>
        </is>
      </c>
    </row>
    <row r="5">
      <c r="A5" s="27" t="inlineStr">
        <is>
          <t>WACC \ g</t>
        </is>
      </c>
      <c r="C5" s="43">
        <f>Assumptions!$C$83-0.0100</f>
        <v/>
      </c>
      <c r="D5" s="43">
        <f>Assumptions!$C$83-0.0050</f>
        <v/>
      </c>
      <c r="E5" s="43">
        <f>Assumptions!$C$83</f>
        <v/>
      </c>
      <c r="F5" s="43">
        <f>Assumptions!$C$83+0.0050</f>
        <v/>
      </c>
      <c r="G5" s="43">
        <f>Assumptions!$C$83+0.0100</f>
        <v/>
      </c>
    </row>
    <row r="6">
      <c r="B6" s="43">
        <f>Assumptions!$C$82-0.0100</f>
        <v/>
      </c>
      <c r="C6" s="14">
        <f>(DCF!$E$10/(1+$B6)^0.5+DCF!$F$10/(1+$B6)^1.5+DCF!$G$10/(1+$B6)^2.5+DCF!$H$10/(1+$B6)^3.5+DCF!$I$10/(1+$B6)^4.5+DCF!$I$10*(1+C$5)/($B6-C$5)/(1+$B6)^4.5+DCF!$D$23)/Equity_Roll!$C$21</f>
        <v/>
      </c>
      <c r="D6" s="14">
        <f>(DCF!$E$10/(1+$B6)^0.5+DCF!$F$10/(1+$B6)^1.5+DCF!$G$10/(1+$B6)^2.5+DCF!$H$10/(1+$B6)^3.5+DCF!$I$10/(1+$B6)^4.5+DCF!$I$10*(1+D$5)/($B6-D$5)/(1+$B6)^4.5+DCF!$D$23)/Equity_Roll!$C$21</f>
        <v/>
      </c>
      <c r="E6" s="14">
        <f>(DCF!$E$10/(1+$B6)^0.5+DCF!$F$10/(1+$B6)^1.5+DCF!$G$10/(1+$B6)^2.5+DCF!$H$10/(1+$B6)^3.5+DCF!$I$10/(1+$B6)^4.5+DCF!$I$10*(1+E$5)/($B6-E$5)/(1+$B6)^4.5+DCF!$D$23)/Equity_Roll!$C$21</f>
        <v/>
      </c>
      <c r="F6" s="14">
        <f>(DCF!$E$10/(1+$B6)^0.5+DCF!$F$10/(1+$B6)^1.5+DCF!$G$10/(1+$B6)^2.5+DCF!$H$10/(1+$B6)^3.5+DCF!$I$10/(1+$B6)^4.5+DCF!$I$10*(1+F$5)/($B6-F$5)/(1+$B6)^4.5+DCF!$D$23)/Equity_Roll!$C$21</f>
        <v/>
      </c>
      <c r="G6" s="14">
        <f>(DCF!$E$10/(1+$B6)^0.5+DCF!$F$10/(1+$B6)^1.5+DCF!$G$10/(1+$B6)^2.5+DCF!$H$10/(1+$B6)^3.5+DCF!$I$10/(1+$B6)^4.5+DCF!$I$10*(1+G$5)/($B6-G$5)/(1+$B6)^4.5+DCF!$D$23)/Equity_Roll!$C$21</f>
        <v/>
      </c>
    </row>
    <row r="7">
      <c r="B7" s="43">
        <f>Assumptions!$C$82-0.0050</f>
        <v/>
      </c>
      <c r="C7" s="14">
        <f>(DCF!$E$10/(1+$B7)^0.5+DCF!$F$10/(1+$B7)^1.5+DCF!$G$10/(1+$B7)^2.5+DCF!$H$10/(1+$B7)^3.5+DCF!$I$10/(1+$B7)^4.5+DCF!$I$10*(1+C$5)/($B7-C$5)/(1+$B7)^4.5+DCF!$D$23)/Equity_Roll!$C$21</f>
        <v/>
      </c>
      <c r="D7" s="14">
        <f>(DCF!$E$10/(1+$B7)^0.5+DCF!$F$10/(1+$B7)^1.5+DCF!$G$10/(1+$B7)^2.5+DCF!$H$10/(1+$B7)^3.5+DCF!$I$10/(1+$B7)^4.5+DCF!$I$10*(1+D$5)/($B7-D$5)/(1+$B7)^4.5+DCF!$D$23)/Equity_Roll!$C$21</f>
        <v/>
      </c>
      <c r="E7" s="14">
        <f>(DCF!$E$10/(1+$B7)^0.5+DCF!$F$10/(1+$B7)^1.5+DCF!$G$10/(1+$B7)^2.5+DCF!$H$10/(1+$B7)^3.5+DCF!$I$10/(1+$B7)^4.5+DCF!$I$10*(1+E$5)/($B7-E$5)/(1+$B7)^4.5+DCF!$D$23)/Equity_Roll!$C$21</f>
        <v/>
      </c>
      <c r="F7" s="14">
        <f>(DCF!$E$10/(1+$B7)^0.5+DCF!$F$10/(1+$B7)^1.5+DCF!$G$10/(1+$B7)^2.5+DCF!$H$10/(1+$B7)^3.5+DCF!$I$10/(1+$B7)^4.5+DCF!$I$10*(1+F$5)/($B7-F$5)/(1+$B7)^4.5+DCF!$D$23)/Equity_Roll!$C$21</f>
        <v/>
      </c>
      <c r="G7" s="14">
        <f>(DCF!$E$10/(1+$B7)^0.5+DCF!$F$10/(1+$B7)^1.5+DCF!$G$10/(1+$B7)^2.5+DCF!$H$10/(1+$B7)^3.5+DCF!$I$10/(1+$B7)^4.5+DCF!$I$10*(1+G$5)/($B7-G$5)/(1+$B7)^4.5+DCF!$D$23)/Equity_Roll!$C$21</f>
        <v/>
      </c>
    </row>
    <row r="8">
      <c r="B8" s="43">
        <f>Assumptions!$C$82</f>
        <v/>
      </c>
      <c r="C8" s="14">
        <f>(DCF!$E$10/(1+$B8)^0.5+DCF!$F$10/(1+$B8)^1.5+DCF!$G$10/(1+$B8)^2.5+DCF!$H$10/(1+$B8)^3.5+DCF!$I$10/(1+$B8)^4.5+DCF!$I$10*(1+C$5)/($B8-C$5)/(1+$B8)^4.5+DCF!$D$23)/Equity_Roll!$C$21</f>
        <v/>
      </c>
      <c r="D8" s="14">
        <f>(DCF!$E$10/(1+$B8)^0.5+DCF!$F$10/(1+$B8)^1.5+DCF!$G$10/(1+$B8)^2.5+DCF!$H$10/(1+$B8)^3.5+DCF!$I$10/(1+$B8)^4.5+DCF!$I$10*(1+D$5)/($B8-D$5)/(1+$B8)^4.5+DCF!$D$23)/Equity_Roll!$C$21</f>
        <v/>
      </c>
      <c r="E8" s="48">
        <f>(DCF!$E$10/(1+$B8)^0.5+DCF!$F$10/(1+$B8)^1.5+DCF!$G$10/(1+$B8)^2.5+DCF!$H$10/(1+$B8)^3.5+DCF!$I$10/(1+$B8)^4.5+DCF!$I$10*(1+E$5)/($B8-E$5)/(1+$B8)^4.5+DCF!$D$23)/Equity_Roll!$C$21</f>
        <v/>
      </c>
      <c r="F8" s="14">
        <f>(DCF!$E$10/(1+$B8)^0.5+DCF!$F$10/(1+$B8)^1.5+DCF!$G$10/(1+$B8)^2.5+DCF!$H$10/(1+$B8)^3.5+DCF!$I$10/(1+$B8)^4.5+DCF!$I$10*(1+F$5)/($B8-F$5)/(1+$B8)^4.5+DCF!$D$23)/Equity_Roll!$C$21</f>
        <v/>
      </c>
      <c r="G8" s="14">
        <f>(DCF!$E$10/(1+$B8)^0.5+DCF!$F$10/(1+$B8)^1.5+DCF!$G$10/(1+$B8)^2.5+DCF!$H$10/(1+$B8)^3.5+DCF!$I$10/(1+$B8)^4.5+DCF!$I$10*(1+G$5)/($B8-G$5)/(1+$B8)^4.5+DCF!$D$23)/Equity_Roll!$C$21</f>
        <v/>
      </c>
    </row>
    <row r="9">
      <c r="B9" s="43">
        <f>Assumptions!$C$82+0.0050</f>
        <v/>
      </c>
      <c r="C9" s="14">
        <f>(DCF!$E$10/(1+$B9)^0.5+DCF!$F$10/(1+$B9)^1.5+DCF!$G$10/(1+$B9)^2.5+DCF!$H$10/(1+$B9)^3.5+DCF!$I$10/(1+$B9)^4.5+DCF!$I$10*(1+C$5)/($B9-C$5)/(1+$B9)^4.5+DCF!$D$23)/Equity_Roll!$C$21</f>
        <v/>
      </c>
      <c r="D9" s="14">
        <f>(DCF!$E$10/(1+$B9)^0.5+DCF!$F$10/(1+$B9)^1.5+DCF!$G$10/(1+$B9)^2.5+DCF!$H$10/(1+$B9)^3.5+DCF!$I$10/(1+$B9)^4.5+DCF!$I$10*(1+D$5)/($B9-D$5)/(1+$B9)^4.5+DCF!$D$23)/Equity_Roll!$C$21</f>
        <v/>
      </c>
      <c r="E9" s="14">
        <f>(DCF!$E$10/(1+$B9)^0.5+DCF!$F$10/(1+$B9)^1.5+DCF!$G$10/(1+$B9)^2.5+DCF!$H$10/(1+$B9)^3.5+DCF!$I$10/(1+$B9)^4.5+DCF!$I$10*(1+E$5)/($B9-E$5)/(1+$B9)^4.5+DCF!$D$23)/Equity_Roll!$C$21</f>
        <v/>
      </c>
      <c r="F9" s="14">
        <f>(DCF!$E$10/(1+$B9)^0.5+DCF!$F$10/(1+$B9)^1.5+DCF!$G$10/(1+$B9)^2.5+DCF!$H$10/(1+$B9)^3.5+DCF!$I$10/(1+$B9)^4.5+DCF!$I$10*(1+F$5)/($B9-F$5)/(1+$B9)^4.5+DCF!$D$23)/Equity_Roll!$C$21</f>
        <v/>
      </c>
      <c r="G9" s="14">
        <f>(DCF!$E$10/(1+$B9)^0.5+DCF!$F$10/(1+$B9)^1.5+DCF!$G$10/(1+$B9)^2.5+DCF!$H$10/(1+$B9)^3.5+DCF!$I$10/(1+$B9)^4.5+DCF!$I$10*(1+G$5)/($B9-G$5)/(1+$B9)^4.5+DCF!$D$23)/Equity_Roll!$C$21</f>
        <v/>
      </c>
    </row>
    <row r="10">
      <c r="B10" s="43">
        <f>Assumptions!$C$82+0.0100</f>
        <v/>
      </c>
      <c r="C10" s="14">
        <f>(DCF!$E$10/(1+$B10)^0.5+DCF!$F$10/(1+$B10)^1.5+DCF!$G$10/(1+$B10)^2.5+DCF!$H$10/(1+$B10)^3.5+DCF!$I$10/(1+$B10)^4.5+DCF!$I$10*(1+C$5)/($B10-C$5)/(1+$B10)^4.5+DCF!$D$23)/Equity_Roll!$C$21</f>
        <v/>
      </c>
      <c r="D10" s="14">
        <f>(DCF!$E$10/(1+$B10)^0.5+DCF!$F$10/(1+$B10)^1.5+DCF!$G$10/(1+$B10)^2.5+DCF!$H$10/(1+$B10)^3.5+DCF!$I$10/(1+$B10)^4.5+DCF!$I$10*(1+D$5)/($B10-D$5)/(1+$B10)^4.5+DCF!$D$23)/Equity_Roll!$C$21</f>
        <v/>
      </c>
      <c r="E10" s="14">
        <f>(DCF!$E$10/(1+$B10)^0.5+DCF!$F$10/(1+$B10)^1.5+DCF!$G$10/(1+$B10)^2.5+DCF!$H$10/(1+$B10)^3.5+DCF!$I$10/(1+$B10)^4.5+DCF!$I$10*(1+E$5)/($B10-E$5)/(1+$B10)^4.5+DCF!$D$23)/Equity_Roll!$C$21</f>
        <v/>
      </c>
      <c r="F10" s="14">
        <f>(DCF!$E$10/(1+$B10)^0.5+DCF!$F$10/(1+$B10)^1.5+DCF!$G$10/(1+$B10)^2.5+DCF!$H$10/(1+$B10)^3.5+DCF!$I$10/(1+$B10)^4.5+DCF!$I$10*(1+F$5)/($B10-F$5)/(1+$B10)^4.5+DCF!$D$23)/Equity_Roll!$C$21</f>
        <v/>
      </c>
      <c r="G10" s="14">
        <f>(DCF!$E$10/(1+$B10)^0.5+DCF!$F$10/(1+$B10)^1.5+DCF!$G$10/(1+$B10)^2.5+DCF!$H$10/(1+$B10)^3.5+DCF!$I$10/(1+$B10)^4.5+DCF!$I$10*(1+G$5)/($B10-G$5)/(1+$B10)^4.5+DCF!$D$23)/Equity_Roll!$C$21</f>
        <v/>
      </c>
    </row>
    <row r="11">
      <c r="A11" s="11" t="inlineStr">
        <is>
          <t>高亮格=当前采用值(WACC/g轴自动对中); 与DCF页同为年中折现口径</t>
        </is>
      </c>
    </row>
    <row r="13" ht="16" customHeight="1">
      <c r="A13" s="19" t="inlineStr">
        <is>
          <t>矩阵二: 股价 — 2026E归母增速 × 目标PE (2025A归母685百万为基数)</t>
        </is>
      </c>
    </row>
    <row r="14">
      <c r="A14" s="27" t="inlineStr">
        <is>
          <t>2026E归母增速 \ PE</t>
        </is>
      </c>
      <c r="C14" s="49" t="n">
        <v>25</v>
      </c>
      <c r="D14" s="49" t="n">
        <v>30</v>
      </c>
      <c r="E14" s="49" t="n">
        <v>35</v>
      </c>
      <c r="F14" s="49" t="n">
        <v>40</v>
      </c>
      <c r="G14" s="49" t="n">
        <v>45</v>
      </c>
      <c r="H14" s="49" t="n">
        <v>50</v>
      </c>
    </row>
    <row r="15">
      <c r="B15" s="50" t="n">
        <v>0.4</v>
      </c>
      <c r="C15" s="14">
        <f>IS!$D$20*(1+$B15)*C$14/Equity_Roll!$C$21</f>
        <v/>
      </c>
      <c r="D15" s="14">
        <f>IS!$D$20*(1+$B15)*D$14/Equity_Roll!$C$21</f>
        <v/>
      </c>
      <c r="E15" s="14">
        <f>IS!$D$20*(1+$B15)*E$14/Equity_Roll!$C$21</f>
        <v/>
      </c>
      <c r="F15" s="14">
        <f>IS!$D$20*(1+$B15)*F$14/Equity_Roll!$C$21</f>
        <v/>
      </c>
      <c r="G15" s="14">
        <f>IS!$D$20*(1+$B15)*G$14/Equity_Roll!$C$21</f>
        <v/>
      </c>
      <c r="H15" s="14">
        <f>IS!$D$20*(1+$B15)*H$14/Equity_Roll!$C$21</f>
        <v/>
      </c>
    </row>
    <row r="16">
      <c r="B16" s="50" t="n">
        <v>0.6</v>
      </c>
      <c r="C16" s="14">
        <f>IS!$D$20*(1+$B16)*C$14/Equity_Roll!$C$21</f>
        <v/>
      </c>
      <c r="D16" s="14">
        <f>IS!$D$20*(1+$B16)*D$14/Equity_Roll!$C$21</f>
        <v/>
      </c>
      <c r="E16" s="14">
        <f>IS!$D$20*(1+$B16)*E$14/Equity_Roll!$C$21</f>
        <v/>
      </c>
      <c r="F16" s="14">
        <f>IS!$D$20*(1+$B16)*F$14/Equity_Roll!$C$21</f>
        <v/>
      </c>
      <c r="G16" s="14">
        <f>IS!$D$20*(1+$B16)*G$14/Equity_Roll!$C$21</f>
        <v/>
      </c>
      <c r="H16" s="14">
        <f>IS!$D$20*(1+$B16)*H$14/Equity_Roll!$C$21</f>
        <v/>
      </c>
    </row>
    <row r="17">
      <c r="B17" s="50" t="n">
        <v>0.8</v>
      </c>
      <c r="C17" s="14">
        <f>IS!$D$20*(1+$B17)*C$14/Equity_Roll!$C$21</f>
        <v/>
      </c>
      <c r="D17" s="14">
        <f>IS!$D$20*(1+$B17)*D$14/Equity_Roll!$C$21</f>
        <v/>
      </c>
      <c r="E17" s="14">
        <f>IS!$D$20*(1+$B17)*E$14/Equity_Roll!$C$21</f>
        <v/>
      </c>
      <c r="F17" s="14">
        <f>IS!$D$20*(1+$B17)*F$14/Equity_Roll!$C$21</f>
        <v/>
      </c>
      <c r="G17" s="14">
        <f>IS!$D$20*(1+$B17)*G$14/Equity_Roll!$C$21</f>
        <v/>
      </c>
      <c r="H17" s="14">
        <f>IS!$D$20*(1+$B17)*H$14/Equity_Roll!$C$21</f>
        <v/>
      </c>
    </row>
    <row r="18">
      <c r="B18" s="50" t="n">
        <v>1</v>
      </c>
      <c r="C18" s="14">
        <f>IS!$D$20*(1+$B18)*C$14/Equity_Roll!$C$21</f>
        <v/>
      </c>
      <c r="D18" s="14">
        <f>IS!$D$20*(1+$B18)*D$14/Equity_Roll!$C$21</f>
        <v/>
      </c>
      <c r="E18" s="14">
        <f>IS!$D$20*(1+$B18)*E$14/Equity_Roll!$C$21</f>
        <v/>
      </c>
      <c r="F18" s="14">
        <f>IS!$D$20*(1+$B18)*F$14/Equity_Roll!$C$21</f>
        <v/>
      </c>
      <c r="G18" s="14">
        <f>IS!$D$20*(1+$B18)*G$14/Equity_Roll!$C$21</f>
        <v/>
      </c>
      <c r="H18" s="14">
        <f>IS!$D$20*(1+$B18)*H$14/Equity_Roll!$C$21</f>
        <v/>
      </c>
    </row>
    <row r="19">
      <c r="B19" s="50" t="n">
        <v>1.115</v>
      </c>
      <c r="C19" s="14">
        <f>IS!$D$20*(1+$B19)*C$14/Equity_Roll!$C$21</f>
        <v/>
      </c>
      <c r="D19" s="14">
        <f>IS!$D$20*(1+$B19)*D$14/Equity_Roll!$C$21</f>
        <v/>
      </c>
      <c r="E19" s="14">
        <f>IS!$D$20*(1+$B19)*E$14/Equity_Roll!$C$21</f>
        <v/>
      </c>
      <c r="F19" s="14">
        <f>IS!$D$20*(1+$B19)*F$14/Equity_Roll!$C$21</f>
        <v/>
      </c>
      <c r="G19" s="14">
        <f>IS!$D$20*(1+$B19)*G$14/Equity_Roll!$C$21</f>
        <v/>
      </c>
      <c r="H19" s="14">
        <f>IS!$D$20*(1+$B19)*H$14/Equity_Roll!$C$21</f>
        <v/>
      </c>
    </row>
    <row r="20">
      <c r="B20" s="50" t="n">
        <v>1.3</v>
      </c>
      <c r="C20" s="14">
        <f>IS!$D$20*(1+$B20)*C$14/Equity_Roll!$C$21</f>
        <v/>
      </c>
      <c r="D20" s="14">
        <f>IS!$D$20*(1+$B20)*D$14/Equity_Roll!$C$21</f>
        <v/>
      </c>
      <c r="E20" s="14">
        <f>IS!$D$20*(1+$B20)*E$14/Equity_Roll!$C$21</f>
        <v/>
      </c>
      <c r="F20" s="14">
        <f>IS!$D$20*(1+$B20)*F$14/Equity_Roll!$C$21</f>
        <v/>
      </c>
      <c r="G20" s="14">
        <f>IS!$D$20*(1+$B20)*G$14/Equity_Roll!$C$21</f>
        <v/>
      </c>
      <c r="H20" s="14">
        <f>IS!$D$20*(1+$B20)*H$14/Equity_Roll!$C$21</f>
        <v/>
      </c>
    </row>
    <row r="21">
      <c r="A21" s="11" t="inlineStr">
        <is>
          <t>高亮行≈一致预期增速; 矩阵与DCF独立, 供交叉验证</t>
        </is>
      </c>
    </row>
    <row r="23" ht="16" customHeight="1">
      <c r="A23" s="19" t="inlineStr">
        <is>
          <t>矩阵三: DPO单维敏感性 — 应付天数变动 × DCF每股价值</t>
        </is>
      </c>
    </row>
    <row r="24">
      <c r="A24" s="27" t="inlineStr">
        <is>
          <t>DPO变动(天) \ 每股价值</t>
        </is>
      </c>
      <c r="C24" s="27" t="inlineStr">
        <is>
          <t>每股价值(元)</t>
        </is>
      </c>
      <c r="D24" s="27" t="inlineStr">
        <is>
          <t>vs基准</t>
        </is>
      </c>
      <c r="I24" s="9" t="inlineStr">
        <is>
          <t>机制: DPO变动δ→应付变动→ΔNWC变动→FCFF一阶调整; 未反映利息二阶效应(金额小); δ=0格=DCF基准</t>
        </is>
      </c>
    </row>
    <row r="25">
      <c r="B25" s="51" t="n">
        <v>-40</v>
      </c>
      <c r="C25" s="14">
        <f>((DCF!E$10+$B25/365*(IS!E$6-IS!D$6))/(1+Assumptions!$C$82)^0.5+(DCF!F$10+$B25/365*(IS!F$6-IS!E$6))/(1+Assumptions!$C$82)^1.5+(DCF!G$10+$B25/365*(IS!G$6-IS!F$6))/(1+Assumptions!$C$82)^2.5+(DCF!H$10+$B25/365*(IS!H$6-IS!G$6))/(1+Assumptions!$C$82)^3.5+(DCF!I$10+$B25/365*(IS!I$6-IS!H$6))/(1+Assumptions!$C$82)^4.5+(DCF!$I$10+$B25/365*(IS!I$6-IS!H$6))*(1+Assumptions!$C$83)/(Assumptions!$C$82-Assumptions!$C$83)/(1+Assumptions!$C$82)^4.5+DCF!$D$23)/Equity_Roll!$C$21</f>
        <v/>
      </c>
      <c r="D25" s="16">
        <f>C25/DCF!$D$25-1</f>
        <v/>
      </c>
    </row>
    <row r="26">
      <c r="B26" s="51" t="n">
        <v>-20</v>
      </c>
      <c r="C26" s="14">
        <f>((DCF!E$10+$B26/365*(IS!E$6-IS!D$6))/(1+Assumptions!$C$82)^0.5+(DCF!F$10+$B26/365*(IS!F$6-IS!E$6))/(1+Assumptions!$C$82)^1.5+(DCF!G$10+$B26/365*(IS!G$6-IS!F$6))/(1+Assumptions!$C$82)^2.5+(DCF!H$10+$B26/365*(IS!H$6-IS!G$6))/(1+Assumptions!$C$82)^3.5+(DCF!I$10+$B26/365*(IS!I$6-IS!H$6))/(1+Assumptions!$C$82)^4.5+(DCF!$I$10+$B26/365*(IS!I$6-IS!H$6))*(1+Assumptions!$C$83)/(Assumptions!$C$82-Assumptions!$C$83)/(1+Assumptions!$C$82)^4.5+DCF!$D$23)/Equity_Roll!$C$21</f>
        <v/>
      </c>
      <c r="D26" s="16">
        <f>C26/DCF!$D$25-1</f>
        <v/>
      </c>
    </row>
    <row r="27">
      <c r="B27" s="51" t="n">
        <v>0</v>
      </c>
      <c r="C27" s="48">
        <f>((DCF!E$10+$B27/365*(IS!E$6-IS!D$6))/(1+Assumptions!$C$82)^0.5+(DCF!F$10+$B27/365*(IS!F$6-IS!E$6))/(1+Assumptions!$C$82)^1.5+(DCF!G$10+$B27/365*(IS!G$6-IS!F$6))/(1+Assumptions!$C$82)^2.5+(DCF!H$10+$B27/365*(IS!H$6-IS!G$6))/(1+Assumptions!$C$82)^3.5+(DCF!I$10+$B27/365*(IS!I$6-IS!H$6))/(1+Assumptions!$C$82)^4.5+(DCF!$I$10+$B27/365*(IS!I$6-IS!H$6))*(1+Assumptions!$C$83)/(Assumptions!$C$82-Assumptions!$C$83)/(1+Assumptions!$C$82)^4.5+DCF!$D$23)/Equity_Roll!$C$21</f>
        <v/>
      </c>
      <c r="D27" s="16">
        <f>C27/DCF!$D$25-1</f>
        <v/>
      </c>
    </row>
    <row r="28">
      <c r="B28" s="51" t="n">
        <v>20</v>
      </c>
      <c r="C28" s="14">
        <f>((DCF!E$10+$B28/365*(IS!E$6-IS!D$6))/(1+Assumptions!$C$82)^0.5+(DCF!F$10+$B28/365*(IS!F$6-IS!E$6))/(1+Assumptions!$C$82)^1.5+(DCF!G$10+$B28/365*(IS!G$6-IS!F$6))/(1+Assumptions!$C$82)^2.5+(DCF!H$10+$B28/365*(IS!H$6-IS!G$6))/(1+Assumptions!$C$82)^3.5+(DCF!I$10+$B28/365*(IS!I$6-IS!H$6))/(1+Assumptions!$C$82)^4.5+(DCF!$I$10+$B28/365*(IS!I$6-IS!H$6))*(1+Assumptions!$C$83)/(Assumptions!$C$82-Assumptions!$C$83)/(1+Assumptions!$C$82)^4.5+DCF!$D$23)/Equity_Roll!$C$21</f>
        <v/>
      </c>
      <c r="D28" s="16">
        <f>C28/DCF!$D$25-1</f>
        <v/>
      </c>
    </row>
    <row r="29">
      <c r="B29" s="51" t="n">
        <v>40</v>
      </c>
      <c r="C29" s="14">
        <f>((DCF!E$10+$B29/365*(IS!E$6-IS!D$6))/(1+Assumptions!$C$82)^0.5+(DCF!F$10+$B29/365*(IS!F$6-IS!E$6))/(1+Assumptions!$C$82)^1.5+(DCF!G$10+$B29/365*(IS!G$6-IS!F$6))/(1+Assumptions!$C$82)^2.5+(DCF!H$10+$B29/365*(IS!H$6-IS!G$6))/(1+Assumptions!$C$82)^3.5+(DCF!I$10+$B29/365*(IS!I$6-IS!H$6))/(1+Assumptions!$C$82)^4.5+(DCF!$I$10+$B29/365*(IS!I$6-IS!H$6))*(1+Assumptions!$C$83)/(Assumptions!$C$82-Assumptions!$C$83)/(1+Assumptions!$C$82)^4.5+DCF!$D$23)/Equity_Roll!$C$21</f>
        <v/>
      </c>
      <c r="D29" s="16">
        <f>C29/DCF!$D$25-1</f>
        <v/>
      </c>
    </row>
    <row r="30">
      <c r="A30" s="11" t="inlineStr">
        <is>
          <t>DPO每±20天≈FCFF±(Δ营业成本×20/365); 基准DPO路径见Assumptions(147→147天)</t>
        </is>
      </c>
    </row>
  </sheetData>
  <mergeCells count="5">
    <mergeCell ref="A1:J1"/>
    <mergeCell ref="A13:I13"/>
    <mergeCell ref="A23:I23"/>
    <mergeCell ref="A2:J2"/>
    <mergeCell ref="A4:I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56" customWidth="1" min="10" max="10"/>
  </cols>
  <sheetData>
    <row r="1" ht="24" customHeight="1">
      <c r="A1" s="10" t="inlineStr">
        <is>
          <t>中芯国际 — Scenarios 熊/基/牛三情景估值</t>
        </is>
      </c>
    </row>
    <row r="2" ht="14" customHeight="1">
      <c r="A2" s="11" t="inlineStr">
        <is>
          <t>单位: 美元百万元(财报口径) | 基准估值=主模型输出(DCF页/IS页直接引用); 熊/牛保留简化净利率法并附桥接说明; 折现为年中口径与DCF一致</t>
        </is>
      </c>
    </row>
    <row r="3">
      <c r="A3" s="3" t="inlineStr">
        <is>
          <t>情景开关当前值</t>
        </is>
      </c>
      <c r="B3" s="52">
        <f>Assumptions!$C$5</f>
        <v/>
      </c>
      <c r="C3" s="53">
        <f>CHOOSE(B3,"熊市","基准","牛市")</f>
        <v/>
      </c>
      <c r="J3" s="11" t="inlineStr">
        <is>
          <t>主模型(IS/BS/CF/FIN/DCF)随开关切换; 本页基准=主模型当前输出, 熊/牛为独立简化演算</t>
        </is>
      </c>
    </row>
    <row r="4">
      <c r="A4" s="4" t="inlineStr">
        <is>
          <t>基准NWC/收入密度ρ</t>
        </is>
      </c>
      <c r="B4" s="16">
        <f>Schedules!E17/IS!E4</f>
        <v/>
      </c>
      <c r="J4" s="11" t="inlineStr">
        <is>
          <t>情景页ΔNWC=收入增量×ρ(负密度=现金流来源); 仅熊/牛简化法使用</t>
        </is>
      </c>
    </row>
    <row r="6" ht="16" customHeight="1">
      <c r="A6" s="19" t="inlineStr">
        <is>
          <t>熊市 Bear — 收入增速调整/净利率调整引用Assumptions第87行</t>
        </is>
      </c>
    </row>
    <row r="7">
      <c r="A7" s="3" t="inlineStr">
        <is>
          <t>项目</t>
        </is>
      </c>
      <c r="E7" s="12" t="inlineStr">
        <is>
          <t>2026E</t>
        </is>
      </c>
      <c r="F7" s="12" t="inlineStr">
        <is>
          <t>2027E</t>
        </is>
      </c>
      <c r="G7" s="12" t="inlineStr">
        <is>
          <t>2028E</t>
        </is>
      </c>
      <c r="H7" s="12" t="inlineStr">
        <is>
          <t>2029E</t>
        </is>
      </c>
      <c r="I7" s="12" t="inlineStr">
        <is>
          <t>2030E</t>
        </is>
      </c>
    </row>
    <row r="8">
      <c r="A8" s="4" t="inlineStr">
        <is>
          <t>营业收入</t>
        </is>
      </c>
      <c r="E8" s="26">
        <f>IS!D4*(1+Revenue_Segments!E21+Assumptions!$C$87)</f>
        <v/>
      </c>
      <c r="F8" s="26">
        <f>E8*(1+Revenue_Segments!F21+Assumptions!$C$87)</f>
        <v/>
      </c>
      <c r="G8" s="26">
        <f>F8*(1+Revenue_Segments!G21+Assumptions!$C$87)</f>
        <v/>
      </c>
      <c r="H8" s="26">
        <f>G8*(1+Revenue_Segments!H21+Assumptions!$C$87)</f>
        <v/>
      </c>
      <c r="I8" s="26">
        <f>H8*(1+Revenue_Segments!I21+Assumptions!$C$87)</f>
        <v/>
      </c>
    </row>
    <row r="9">
      <c r="A9" s="4" t="inlineStr">
        <is>
          <t>归母净利率</t>
        </is>
      </c>
      <c r="E9" s="16">
        <f>(Revenue_Segments!E22+Assumptions!$D$87-Assumptions!C$27-Assumptions!C$28-Assumptions!C$29-Assumptions!C$30-Assumptions!$C$34)*(1-Assumptions!C$33)</f>
        <v/>
      </c>
      <c r="F9" s="16">
        <f>(Revenue_Segments!F22+Assumptions!$D$87-Assumptions!D$27-Assumptions!D$28-Assumptions!D$29-Assumptions!D$30-Assumptions!$C$34)*(1-Assumptions!D$33)</f>
        <v/>
      </c>
      <c r="G9" s="16">
        <f>(Revenue_Segments!G22+Assumptions!$D$87-Assumptions!E$27-Assumptions!E$28-Assumptions!E$29-Assumptions!E$30-Assumptions!$C$34)*(1-Assumptions!E$33)</f>
        <v/>
      </c>
      <c r="H9" s="16">
        <f>(Revenue_Segments!H22+Assumptions!$D$87-Assumptions!F$27-Assumptions!F$28-Assumptions!F$29-Assumptions!F$30-Assumptions!$C$34)*(1-Assumptions!F$33)</f>
        <v/>
      </c>
      <c r="I9" s="16">
        <f>(Revenue_Segments!I22+Assumptions!$D$87-Assumptions!G$27-Assumptions!G$28-Assumptions!G$29-Assumptions!G$30-Assumptions!$C$34)*(1-Assumptions!G$33)</f>
        <v/>
      </c>
    </row>
    <row r="10">
      <c r="A10" s="4" t="inlineStr">
        <is>
          <t>归母净利润</t>
        </is>
      </c>
      <c r="E10" s="36">
        <f>E8*E9</f>
        <v/>
      </c>
      <c r="F10" s="36">
        <f>F8*F9</f>
        <v/>
      </c>
      <c r="G10" s="36">
        <f>G8*G9</f>
        <v/>
      </c>
      <c r="H10" s="36">
        <f>H8*H9</f>
        <v/>
      </c>
      <c r="I10" s="36">
        <f>I8*I9</f>
        <v/>
      </c>
    </row>
    <row r="11">
      <c r="A11" s="4" t="inlineStr">
        <is>
          <t>FCFF (简化)</t>
        </is>
      </c>
      <c r="E11" s="26">
        <f>E10+PPE!E19-(E8-IS!D4)*$B$4-PPE!E14</f>
        <v/>
      </c>
      <c r="F11" s="26">
        <f>F10+PPE!F19-(F8-E8)*$B$4-PPE!F14</f>
        <v/>
      </c>
      <c r="G11" s="26">
        <f>G10+PPE!G19-(G8-F8)*$B$4-PPE!G14</f>
        <v/>
      </c>
      <c r="H11" s="26">
        <f>H10+PPE!H19-(H8-G8)*$B$4-PPE!H14</f>
        <v/>
      </c>
      <c r="I11" s="26">
        <f>I10+PPE!I19-(I8-H8)*$B$4-PPE!I14</f>
        <v/>
      </c>
    </row>
    <row r="12">
      <c r="A12" s="3" t="inlineStr">
        <is>
          <t>DCF每股价值(元, 简化法)</t>
        </is>
      </c>
      <c r="B12" s="17">
        <f>(E11/(1+Assumptions!$C$82)^0.5+F11/(1+Assumptions!$C$82)^1.5+G11/(1+Assumptions!$C$82)^2.5+H11/(1+Assumptions!$C$82)^3.5+I11/(1+Assumptions!$C$82)^4.5+I11*(1+Assumptions!$C$83)/(Assumptions!$C$82-Assumptions!$C$83)/(1+Assumptions!$C$82)^4.5+DCF!$D$23)/Equity_Roll!$C$21</f>
        <v/>
      </c>
      <c r="J12" s="11" t="inlineStr">
        <is>
          <t>简化净利率法+年中折现; WACC/g/净现金调整与DCF页一致; 与主模型差异见基准块桥接说明</t>
        </is>
      </c>
    </row>
    <row r="13">
      <c r="A13" s="3" t="inlineStr">
        <is>
          <t>相对估值股价(元)</t>
        </is>
      </c>
      <c r="B13" s="17">
        <f>E10*Relative_Val!$C$9/Equity_Roll!$C$21</f>
        <v/>
      </c>
      <c r="J13" s="11" t="inlineStr">
        <is>
          <t>＝情景2026E归母×可比中位2026E PE/稀释股数</t>
        </is>
      </c>
    </row>
    <row r="15" ht="16" customHeight="1">
      <c r="A15" s="19" t="inlineStr">
        <is>
          <t>基准 Base — 收入增速调整/净利率调整引用Assumptions第88行</t>
        </is>
      </c>
    </row>
    <row r="16">
      <c r="A16" s="3" t="inlineStr">
        <is>
          <t>项目</t>
        </is>
      </c>
      <c r="E16" s="12" t="inlineStr">
        <is>
          <t>2026E</t>
        </is>
      </c>
      <c r="F16" s="12" t="inlineStr">
        <is>
          <t>2027E</t>
        </is>
      </c>
      <c r="G16" s="12" t="inlineStr">
        <is>
          <t>2028E</t>
        </is>
      </c>
      <c r="H16" s="12" t="inlineStr">
        <is>
          <t>2029E</t>
        </is>
      </c>
      <c r="I16" s="12" t="inlineStr">
        <is>
          <t>2030E</t>
        </is>
      </c>
    </row>
    <row r="17">
      <c r="A17" s="4" t="inlineStr">
        <is>
          <t>营业收入</t>
        </is>
      </c>
      <c r="E17" s="26">
        <f>IS!D4*(1+Revenue_Segments!E21+Assumptions!$C$88)</f>
        <v/>
      </c>
      <c r="F17" s="26">
        <f>E17*(1+Revenue_Segments!F21+Assumptions!$C$88)</f>
        <v/>
      </c>
      <c r="G17" s="26">
        <f>F17*(1+Revenue_Segments!G21+Assumptions!$C$88)</f>
        <v/>
      </c>
      <c r="H17" s="26">
        <f>G17*(1+Revenue_Segments!H21+Assumptions!$C$88)</f>
        <v/>
      </c>
      <c r="I17" s="26">
        <f>H17*(1+Revenue_Segments!I21+Assumptions!$C$88)</f>
        <v/>
      </c>
    </row>
    <row r="18">
      <c r="A18" s="4" t="inlineStr">
        <is>
          <t>归母净利率</t>
        </is>
      </c>
      <c r="E18" s="16">
        <f>(Revenue_Segments!E22+Assumptions!$D$88-Assumptions!C$27-Assumptions!C$28-Assumptions!C$29-Assumptions!C$30-Assumptions!$C$34)*(1-Assumptions!C$33)</f>
        <v/>
      </c>
      <c r="F18" s="16">
        <f>(Revenue_Segments!F22+Assumptions!$D$88-Assumptions!D$27-Assumptions!D$28-Assumptions!D$29-Assumptions!D$30-Assumptions!$C$34)*(1-Assumptions!D$33)</f>
        <v/>
      </c>
      <c r="G18" s="16">
        <f>(Revenue_Segments!G22+Assumptions!$D$88-Assumptions!E$27-Assumptions!E$28-Assumptions!E$29-Assumptions!E$30-Assumptions!$C$34)*(1-Assumptions!E$33)</f>
        <v/>
      </c>
      <c r="H18" s="16">
        <f>(Revenue_Segments!H22+Assumptions!$D$88-Assumptions!F$27-Assumptions!F$28-Assumptions!F$29-Assumptions!F$30-Assumptions!$C$34)*(1-Assumptions!F$33)</f>
        <v/>
      </c>
      <c r="I18" s="16">
        <f>(Revenue_Segments!I22+Assumptions!$D$88-Assumptions!G$27-Assumptions!G$28-Assumptions!G$29-Assumptions!G$30-Assumptions!$C$34)*(1-Assumptions!G$33)</f>
        <v/>
      </c>
    </row>
    <row r="19">
      <c r="A19" s="4" t="inlineStr">
        <is>
          <t>归母净利润</t>
        </is>
      </c>
      <c r="E19" s="36">
        <f>E17*E18</f>
        <v/>
      </c>
      <c r="F19" s="36">
        <f>F17*F18</f>
        <v/>
      </c>
      <c r="G19" s="36">
        <f>G17*G18</f>
        <v/>
      </c>
      <c r="H19" s="36">
        <f>H17*H18</f>
        <v/>
      </c>
      <c r="I19" s="36">
        <f>I17*I18</f>
        <v/>
      </c>
    </row>
    <row r="20">
      <c r="A20" s="4" t="inlineStr">
        <is>
          <t>FCFF (简化)</t>
        </is>
      </c>
      <c r="E20" s="26">
        <f>E19+PPE!E19-(E17-IS!D4)*$B$4-PPE!E14</f>
        <v/>
      </c>
      <c r="F20" s="26">
        <f>F19+PPE!F19-(F17-E17)*$B$4-PPE!F14</f>
        <v/>
      </c>
      <c r="G20" s="26">
        <f>G19+PPE!G19-(G17-F17)*$B$4-PPE!G14</f>
        <v/>
      </c>
      <c r="H20" s="26">
        <f>H19+PPE!H19-(H17-G17)*$B$4-PPE!H14</f>
        <v/>
      </c>
      <c r="I20" s="26">
        <f>I19+PPE!I19-(I17-H17)*$B$4-PPE!I14</f>
        <v/>
      </c>
    </row>
    <row r="21">
      <c r="A21" s="3" t="inlineStr">
        <is>
          <t>DCF每股价值(元) =主模型</t>
        </is>
      </c>
      <c r="B21" s="17">
        <f>DCF!D25</f>
        <v/>
      </c>
      <c r="J21" s="11" t="inlineStr">
        <is>
          <t>基准直接引用主模型DCF输出(情景开关=2时即基准口径), 不再独立演算</t>
        </is>
      </c>
    </row>
    <row r="22">
      <c r="A22" s="3" t="inlineStr">
        <is>
          <t>相对估值股价(元) =主模型归母</t>
        </is>
      </c>
      <c r="B22" s="17">
        <f>IS!E20*Relative_Val!$C$9/Equity_Roll!$C$21</f>
        <v/>
      </c>
      <c r="J22" s="11" t="inlineStr">
        <is>
          <t>＝主模型2026E归母(IS)×可比中位2026E PE/稀释股数</t>
        </is>
      </c>
    </row>
    <row r="23" ht="30" customHeight="1">
      <c r="A23" s="9" t="inlineStr">
        <is>
          <t xml:space="preserve">  桥接说明: 上方基准收入/净利率/FCFF行为简化法演算(供与熊/牛同口径对比), 其估值行已被主模型输出替代; 简化法与主模型的差异主要来自: ①财务费用(主模型=FIN平均余额计息, 简化法=固定费用率) ②ΔNWC(主模型=逐项天数驱动, 简化法=密度ρ近似) ③折旧/资本开支口径一致</t>
        </is>
      </c>
    </row>
    <row r="25" ht="16" customHeight="1">
      <c r="A25" s="19" t="inlineStr">
        <is>
          <t>牛市 Bull — 收入增速调整/净利率调整引用Assumptions第89行</t>
        </is>
      </c>
    </row>
    <row r="26">
      <c r="A26" s="3" t="inlineStr">
        <is>
          <t>项目</t>
        </is>
      </c>
      <c r="E26" s="12" t="inlineStr">
        <is>
          <t>2026E</t>
        </is>
      </c>
      <c r="F26" s="12" t="inlineStr">
        <is>
          <t>2027E</t>
        </is>
      </c>
      <c r="G26" s="12" t="inlineStr">
        <is>
          <t>2028E</t>
        </is>
      </c>
      <c r="H26" s="12" t="inlineStr">
        <is>
          <t>2029E</t>
        </is>
      </c>
      <c r="I26" s="12" t="inlineStr">
        <is>
          <t>2030E</t>
        </is>
      </c>
    </row>
    <row r="27">
      <c r="A27" s="4" t="inlineStr">
        <is>
          <t>营业收入</t>
        </is>
      </c>
      <c r="E27" s="26">
        <f>IS!D4*(1+Revenue_Segments!E21+Assumptions!$C$89)</f>
        <v/>
      </c>
      <c r="F27" s="26">
        <f>E27*(1+Revenue_Segments!F21+Assumptions!$C$89)</f>
        <v/>
      </c>
      <c r="G27" s="26">
        <f>F27*(1+Revenue_Segments!G21+Assumptions!$C$89)</f>
        <v/>
      </c>
      <c r="H27" s="26">
        <f>G27*(1+Revenue_Segments!H21+Assumptions!$C$89)</f>
        <v/>
      </c>
      <c r="I27" s="26">
        <f>H27*(1+Revenue_Segments!I21+Assumptions!$C$89)</f>
        <v/>
      </c>
    </row>
    <row r="28">
      <c r="A28" s="4" t="inlineStr">
        <is>
          <t>归母净利率</t>
        </is>
      </c>
      <c r="E28" s="16">
        <f>(Revenue_Segments!E22+Assumptions!$D$89-Assumptions!C$27-Assumptions!C$28-Assumptions!C$29-Assumptions!C$30-Assumptions!$C$34)*(1-Assumptions!C$33)</f>
        <v/>
      </c>
      <c r="F28" s="16">
        <f>(Revenue_Segments!F22+Assumptions!$D$89-Assumptions!D$27-Assumptions!D$28-Assumptions!D$29-Assumptions!D$30-Assumptions!$C$34)*(1-Assumptions!D$33)</f>
        <v/>
      </c>
      <c r="G28" s="16">
        <f>(Revenue_Segments!G22+Assumptions!$D$89-Assumptions!E$27-Assumptions!E$28-Assumptions!E$29-Assumptions!E$30-Assumptions!$C$34)*(1-Assumptions!E$33)</f>
        <v/>
      </c>
      <c r="H28" s="16">
        <f>(Revenue_Segments!H22+Assumptions!$D$89-Assumptions!F$27-Assumptions!F$28-Assumptions!F$29-Assumptions!F$30-Assumptions!$C$34)*(1-Assumptions!F$33)</f>
        <v/>
      </c>
      <c r="I28" s="16">
        <f>(Revenue_Segments!I22+Assumptions!$D$89-Assumptions!G$27-Assumptions!G$28-Assumptions!G$29-Assumptions!G$30-Assumptions!$C$34)*(1-Assumptions!G$33)</f>
        <v/>
      </c>
    </row>
    <row r="29">
      <c r="A29" s="4" t="inlineStr">
        <is>
          <t>归母净利润</t>
        </is>
      </c>
      <c r="E29" s="36">
        <f>E27*E28</f>
        <v/>
      </c>
      <c r="F29" s="36">
        <f>F27*F28</f>
        <v/>
      </c>
      <c r="G29" s="36">
        <f>G27*G28</f>
        <v/>
      </c>
      <c r="H29" s="36">
        <f>H27*H28</f>
        <v/>
      </c>
      <c r="I29" s="36">
        <f>I27*I28</f>
        <v/>
      </c>
    </row>
    <row r="30">
      <c r="A30" s="4" t="inlineStr">
        <is>
          <t>FCFF (简化)</t>
        </is>
      </c>
      <c r="E30" s="26">
        <f>E29+PPE!E19-(E27-IS!D4)*$B$4-PPE!E14</f>
        <v/>
      </c>
      <c r="F30" s="26">
        <f>F29+PPE!F19-(F27-E27)*$B$4-PPE!F14</f>
        <v/>
      </c>
      <c r="G30" s="26">
        <f>G29+PPE!G19-(G27-F27)*$B$4-PPE!G14</f>
        <v/>
      </c>
      <c r="H30" s="26">
        <f>H29+PPE!H19-(H27-G27)*$B$4-PPE!H14</f>
        <v/>
      </c>
      <c r="I30" s="26">
        <f>I29+PPE!I19-(I27-H27)*$B$4-PPE!I14</f>
        <v/>
      </c>
    </row>
    <row r="31">
      <c r="A31" s="3" t="inlineStr">
        <is>
          <t>DCF每股价值(元, 简化法)</t>
        </is>
      </c>
      <c r="B31" s="17">
        <f>(E30/(1+Assumptions!$C$82)^0.5+F30/(1+Assumptions!$C$82)^1.5+G30/(1+Assumptions!$C$82)^2.5+H30/(1+Assumptions!$C$82)^3.5+I30/(1+Assumptions!$C$82)^4.5+I30*(1+Assumptions!$C$83)/(Assumptions!$C$82-Assumptions!$C$83)/(1+Assumptions!$C$82)^4.5+DCF!$D$23)/Equity_Roll!$C$21</f>
        <v/>
      </c>
      <c r="J31" s="11" t="inlineStr">
        <is>
          <t>简化净利率法+年中折现; WACC/g/净现金调整与DCF页一致; 与主模型差异见基准块桥接说明</t>
        </is>
      </c>
    </row>
    <row r="32">
      <c r="A32" s="3" t="inlineStr">
        <is>
          <t>相对估值股价(元)</t>
        </is>
      </c>
      <c r="B32" s="17">
        <f>E29*Relative_Val!$C$9/Equity_Roll!$C$21</f>
        <v/>
      </c>
      <c r="J32" s="11" t="inlineStr">
        <is>
          <t>＝情景2026E归母×可比中位2026E PE/稀释股数</t>
        </is>
      </c>
    </row>
    <row r="34" ht="16" customHeight="1">
      <c r="A34" s="19" t="inlineStr">
        <is>
          <t>三情景汇总</t>
        </is>
      </c>
    </row>
    <row r="35">
      <c r="A35" s="3" t="inlineStr">
        <is>
          <t>指标</t>
        </is>
      </c>
      <c r="B35" s="27" t="inlineStr">
        <is>
          <t>熊市</t>
        </is>
      </c>
      <c r="C35" s="27" t="inlineStr">
        <is>
          <t>基准</t>
        </is>
      </c>
      <c r="D35" s="27" t="inlineStr">
        <is>
          <t>牛市</t>
        </is>
      </c>
      <c r="E35" s="27" t="inlineStr">
        <is>
          <t>现价</t>
        </is>
      </c>
      <c r="F35" s="27" t="inlineStr">
        <is>
          <t>熊vs现价</t>
        </is>
      </c>
      <c r="G35" s="27" t="inlineStr">
        <is>
          <t>基vs现价</t>
        </is>
      </c>
      <c r="H35" s="27" t="inlineStr">
        <is>
          <t>牛vs现价</t>
        </is>
      </c>
    </row>
    <row r="36">
      <c r="A36" s="4" t="inlineStr">
        <is>
          <t>DCF每股价值(元)</t>
        </is>
      </c>
      <c r="B36" s="15">
        <f>B12</f>
        <v/>
      </c>
      <c r="C36" s="15">
        <f>B21</f>
        <v/>
      </c>
      <c r="D36" s="15">
        <f>B31</f>
        <v/>
      </c>
      <c r="E36" s="14">
        <f>Assumptions!$C$7</f>
        <v/>
      </c>
      <c r="F36" s="16">
        <f>B12/Assumptions!$C$7-1</f>
        <v/>
      </c>
      <c r="G36" s="16">
        <f>B21/Assumptions!$C$7-1</f>
        <v/>
      </c>
      <c r="H36" s="16">
        <f>B31/Assumptions!$C$7-1</f>
        <v/>
      </c>
    </row>
    <row r="37">
      <c r="A37" s="4" t="inlineStr">
        <is>
          <t>相对估值股价(元)</t>
        </is>
      </c>
      <c r="B37" s="14">
        <f>B13</f>
        <v/>
      </c>
      <c r="C37" s="14">
        <f>B22</f>
        <v/>
      </c>
      <c r="D37" s="14">
        <f>B32</f>
        <v/>
      </c>
    </row>
    <row r="38">
      <c r="A38" s="4" t="inlineStr">
        <is>
          <t>2026E归母(百万)</t>
        </is>
      </c>
      <c r="B38" s="26">
        <f>E10</f>
        <v/>
      </c>
      <c r="C38" s="26">
        <f>E19</f>
        <v/>
      </c>
      <c r="D38" s="26">
        <f>E29</f>
        <v/>
      </c>
    </row>
  </sheetData>
  <mergeCells count="7">
    <mergeCell ref="A1:J1"/>
    <mergeCell ref="A23:J23"/>
    <mergeCell ref="A6:J6"/>
    <mergeCell ref="A34:J34"/>
    <mergeCell ref="A15:J15"/>
    <mergeCell ref="A2:J2"/>
    <mergeCell ref="A25:J2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50" customWidth="1" min="10" max="10"/>
  </cols>
  <sheetData>
    <row r="1" ht="24" customHeight="1">
      <c r="A1" s="10" t="inlineStr">
        <is>
          <t>中芯国际 — Checks 自动校验</t>
        </is>
      </c>
    </row>
    <row r="2" ht="14" customHeight="1">
      <c r="A2" s="11" t="inlineStr">
        <is>
          <t>所有校验为公式, 应全部显示TRUE; 任一FALSE请检查模型; 容差0.01</t>
        </is>
      </c>
    </row>
    <row r="3">
      <c r="A3" s="3" t="inlineStr">
        <is>
          <t>校验项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说明</t>
        </is>
      </c>
    </row>
    <row r="4">
      <c r="A4" s="4" t="inlineStr">
        <is>
          <t>1. BS配平: 资产=负债+权益 (差额&lt;0.01)</t>
        </is>
      </c>
      <c r="B4" s="53">
        <f>ABS(BS!B47)&lt;0.01</f>
        <v/>
      </c>
      <c r="C4" s="53">
        <f>ABS(BS!C47)&lt;0.01</f>
        <v/>
      </c>
      <c r="D4" s="53">
        <f>ABS(BS!D47)&lt;0.01</f>
        <v/>
      </c>
      <c r="E4" s="53">
        <f>ABS(BS!E47)&lt;0.01</f>
        <v/>
      </c>
      <c r="F4" s="53">
        <f>ABS(BS!F47)&lt;0.01</f>
        <v/>
      </c>
      <c r="G4" s="53">
        <f>ABS(BS!G47)&lt;0.01</f>
        <v/>
      </c>
      <c r="H4" s="53">
        <f>ABS(BS!H47)&lt;0.01</f>
        <v/>
      </c>
      <c r="I4" s="53">
        <f>ABS(BS!I47)&lt;0.01</f>
        <v/>
      </c>
      <c r="J4" s="11" t="inlineStr">
        <is>
          <t>差额检查行见BS底部; 历史尾差已清零</t>
        </is>
      </c>
    </row>
    <row r="5">
      <c r="A5" s="4" t="inlineStr">
        <is>
          <t>2. CF期末现金=BS货币资金 (&lt;0.01)</t>
        </is>
      </c>
      <c r="E5" s="53">
        <f>ABS(CF!E19-BS!E4)&lt;0.01</f>
        <v/>
      </c>
      <c r="F5" s="53">
        <f>ABS(CF!F19-BS!F4)&lt;0.01</f>
        <v/>
      </c>
      <c r="G5" s="53">
        <f>ABS(CF!G19-BS!G4)&lt;0.01</f>
        <v/>
      </c>
      <c r="H5" s="53">
        <f>ABS(CF!H19-BS!H4)&lt;0.01</f>
        <v/>
      </c>
      <c r="I5" s="53">
        <f>ABS(CF!I19-BS!I4)&lt;0.01</f>
        <v/>
      </c>
      <c r="J5" s="11" t="inlineStr">
        <is>
          <t>预测期逐年勾稽; BS现金=FIN期末现金=最低现金</t>
        </is>
      </c>
    </row>
    <row r="6">
      <c r="A6" s="4" t="inlineStr">
        <is>
          <t>3. 未分配利润: 期末=期初+归母-分红-盈余公积计提</t>
        </is>
      </c>
      <c r="E6" s="53">
        <f>ABS(BS!E41-BS!D41-IS!E20+Schedules!E26+Equity_Roll!E9)&lt;0.01</f>
        <v/>
      </c>
      <c r="F6" s="53">
        <f>ABS(BS!F41-BS!E41-IS!F20+Schedules!F26+Equity_Roll!F9)&lt;0.01</f>
        <v/>
      </c>
      <c r="G6" s="53">
        <f>ABS(BS!G41-BS!F41-IS!G20+Schedules!G26+Equity_Roll!G9)&lt;0.01</f>
        <v/>
      </c>
      <c r="H6" s="53">
        <f>ABS(BS!H41-BS!G41-IS!H20+Schedules!H26+Equity_Roll!H9)&lt;0.01</f>
        <v/>
      </c>
      <c r="I6" s="53">
        <f>ABS(BS!I41-BS!H41-IS!I20+Schedules!I26+Equity_Roll!I9)&lt;0.01</f>
        <v/>
      </c>
      <c r="J6" s="11" t="inlineStr">
        <is>
          <t>Equity_Roll滚动勾稽</t>
        </is>
      </c>
    </row>
    <row r="7">
      <c r="A7" s="4" t="inlineStr">
        <is>
          <t>4. IS收入=Revenue_Segments合计</t>
        </is>
      </c>
      <c r="B7" s="53">
        <f>ABS(IS!B4-Revenue_Segments!B13)&lt;0.01</f>
        <v/>
      </c>
      <c r="C7" s="53">
        <f>ABS(IS!C4-Revenue_Segments!C13)&lt;0.01</f>
        <v/>
      </c>
      <c r="D7" s="53">
        <f>ABS(IS!D4-Revenue_Segments!D13)&lt;0.01</f>
        <v/>
      </c>
      <c r="E7" s="53">
        <f>ABS(IS!E4-Revenue_Segments!E13)&lt;0.01</f>
        <v/>
      </c>
      <c r="F7" s="53">
        <f>ABS(IS!F4-Revenue_Segments!F13)&lt;0.01</f>
        <v/>
      </c>
      <c r="G7" s="53">
        <f>ABS(IS!G4-Revenue_Segments!G13)&lt;0.01</f>
        <v/>
      </c>
      <c r="H7" s="53">
        <f>ABS(IS!H4-Revenue_Segments!H13)&lt;0.01</f>
        <v/>
      </c>
      <c r="I7" s="53">
        <f>ABS(IS!I4-Revenue_Segments!I13)&lt;0.01</f>
        <v/>
      </c>
      <c r="J7" s="11" t="inlineStr">
        <is>
          <t>分部合计自动汇总进IS</t>
        </is>
      </c>
    </row>
    <row r="8">
      <c r="A8" s="4" t="inlineStr">
        <is>
          <t>5. 毛利率处于(0,60%)合理区间</t>
        </is>
      </c>
      <c r="B8" s="53">
        <f>AND(IS!B8&gt;0,IS!B8&lt;0.6)</f>
        <v/>
      </c>
      <c r="C8" s="53">
        <f>AND(IS!C8&gt;0,IS!C8&lt;0.6)</f>
        <v/>
      </c>
      <c r="D8" s="53">
        <f>AND(IS!D8&gt;0,IS!D8&lt;0.6)</f>
        <v/>
      </c>
      <c r="E8" s="53">
        <f>AND(IS!E8&gt;0,IS!E8&lt;0.6)</f>
        <v/>
      </c>
      <c r="F8" s="53">
        <f>AND(IS!F8&gt;0,IS!F8&lt;0.6)</f>
        <v/>
      </c>
      <c r="G8" s="53">
        <f>AND(IS!G8&gt;0,IS!G8&lt;0.6)</f>
        <v/>
      </c>
      <c r="H8" s="53">
        <f>AND(IS!H8&gt;0,IS!H8&lt;0.6)</f>
        <v/>
      </c>
      <c r="I8" s="53">
        <f>AND(IS!I8&gt;0,IS!I8&lt;0.6)</f>
        <v/>
      </c>
      <c r="J8" s="11" t="inlineStr">
        <is>
          <t>防止假设越界</t>
        </is>
      </c>
    </row>
    <row r="9">
      <c r="A9" s="4" t="inlineStr">
        <is>
          <t>6. DCF每股价值&gt;0</t>
        </is>
      </c>
      <c r="B9" s="53">
        <f>DCF!D25&gt;0</f>
        <v/>
      </c>
      <c r="J9" s="11" t="inlineStr">
        <is>
          <t>DCF页引用校验</t>
        </is>
      </c>
    </row>
    <row r="10">
      <c r="A10" s="4" t="inlineStr">
        <is>
          <t>7. Sensitivity矩阵一中心格=DCF每股价值</t>
        </is>
      </c>
      <c r="B10" s="53">
        <f>ABS(Sensitivity!E8-DCF!D25)&lt;0.01</f>
        <v/>
      </c>
      <c r="J10" s="11" t="inlineStr">
        <is>
          <t>矩阵轴自动对中WACC采用值/g, 中心格恒等于DCF输出</t>
        </is>
      </c>
    </row>
    <row r="11">
      <c r="A11" s="4" t="inlineStr">
        <is>
          <t>8. WACC采用值=计算值 或 override非空</t>
        </is>
      </c>
      <c r="B11" s="53">
        <f>OR(ABS(Assumptions!C82-Assumptions!C80)&lt;0.000001,Assumptions!C81&lt;&gt;"")</f>
        <v/>
      </c>
      <c r="J11" s="11" t="inlineStr">
        <is>
          <t>采用值=IF(override="",计算值,override)的逻辑校验</t>
        </is>
      </c>
    </row>
    <row r="12">
      <c r="A12" s="4" t="inlineStr">
        <is>
          <t>9. 货币资金&gt;0</t>
        </is>
      </c>
      <c r="E12" s="53">
        <f>BS!E4&gt;0.01</f>
        <v/>
      </c>
      <c r="F12" s="53">
        <f>BS!F4&gt;0.01</f>
        <v/>
      </c>
      <c r="G12" s="53">
        <f>BS!G4&gt;0.01</f>
        <v/>
      </c>
      <c r="H12" s="53">
        <f>BS!H4&gt;0.01</f>
        <v/>
      </c>
      <c r="I12" s="53">
        <f>BS!I4&gt;0.01</f>
        <v/>
      </c>
      <c r="J12" s="11" t="inlineStr">
        <is>
          <t>FIN调度下现金=最低现金(收入×最低现金占比), 恒正</t>
        </is>
      </c>
    </row>
    <row r="13">
      <c r="A13" s="4" t="inlineStr">
        <is>
          <t>10. 四档债务余额≥0</t>
        </is>
      </c>
      <c r="E13" s="53">
        <f>MIN(FIN!E24,FIN!E32,FIN!E42,FIN!E50)&gt;=-0.01</f>
        <v/>
      </c>
      <c r="F13" s="53">
        <f>MIN(FIN!F24,FIN!F32,FIN!F42,FIN!F50)&gt;=-0.01</f>
        <v/>
      </c>
      <c r="G13" s="53">
        <f>MIN(FIN!G24,FIN!G32,FIN!G42,FIN!G50)&gt;=-0.01</f>
        <v/>
      </c>
      <c r="H13" s="53">
        <f>MIN(FIN!H24,FIN!H32,FIN!H42,FIN!H50)&gt;=-0.01</f>
        <v/>
      </c>
      <c r="I13" s="53">
        <f>MIN(FIN!I24,FIN!I32,FIN!I42,FIN!I50)&gt;=-0.01</f>
        <v/>
      </c>
      <c r="J13" s="11" t="inlineStr">
        <is>
          <t>sweep/还款均以MAX(0,·)兜底</t>
        </is>
      </c>
    </row>
    <row r="14">
      <c r="A14" s="4" t="inlineStr">
        <is>
          <t>11. FIN迭代残差&lt;0.01 (迭代展开收敛)</t>
        </is>
      </c>
      <c r="E14" s="53">
        <f>FIN!E139&lt;0.01</f>
        <v/>
      </c>
      <c r="F14" s="53">
        <f>FIN!F139&lt;0.01</f>
        <v/>
      </c>
      <c r="G14" s="53">
        <f>FIN!G139&lt;0.01</f>
        <v/>
      </c>
      <c r="H14" s="53">
        <f>FIN!H139&lt;0.01</f>
        <v/>
      </c>
      <c r="I14" s="53">
        <f>FIN!I139&lt;0.01</f>
        <v/>
      </c>
      <c r="J14" s="11" t="inlineStr">
        <is>
          <t>第4轮采用值 vs 按期末余额重算隐含值; 全簿无循环引用, 无需开启迭代计算</t>
        </is>
      </c>
    </row>
    <row r="15">
      <c r="A15" s="4" t="inlineStr">
        <is>
          <t>12. Named ranges存在性 (审计轨迹, 15个)</t>
        </is>
      </c>
      <c r="B15" s="53">
        <f>AND(ISNUMBER(INDIRECT("SCEN_SWITCH")),ISNUMBER(INDIRECT("WACC_USED")),ISNUMBER(INDIRECT("WACC_CALC")),ISNUMBER(INDIRECT("TERM_G")),ISNUMBER(INDIRECT("KE")),ISNUMBER(INDIRECT("KD")),ISNUMBER(INDIRECT("RF_RATE")),ISNUMBER(INDIRECT("ERP")),ISNUMBER(INDIRECT("BETA_U")),ISNUMBER(INDIRECT("TAX_RATE_Y1")),ISNUMBER(INDIRECT("PAYOUT_Y1")),ISNUMBER(INDIRECT("MIN_CASH_PCT")),ISNUMBER(INDIRECT("SHARES_DIL")),ISNUMBER(INDIRECT("DCF_PS")),ISNUMBER(INDIRECT("FCFE_PS")))</f>
        <v/>
      </c>
      <c r="J15" s="11" t="inlineStr">
        <is>
          <t>WACC采用值/永续g/Ke/Kd/rf/ERP/βu/税率/股利/最低现金/情景开关/稀释股数/DCF&amp;FCFE每股; 任一named range被删则FALSE</t>
        </is>
      </c>
    </row>
    <row r="17">
      <c r="A17" s="4" t="inlineStr">
        <is>
          <t>信息项: 隐含折旧率(折旧/期初固资净值)</t>
        </is>
      </c>
      <c r="E17" s="54">
        <f>PPE!E20</f>
        <v/>
      </c>
      <c r="F17" s="54">
        <f>PPE!F20</f>
        <v/>
      </c>
      <c r="G17" s="54">
        <f>PPE!G20</f>
        <v/>
      </c>
      <c r="H17" s="54">
        <f>PPE!H20</f>
        <v/>
      </c>
      <c r="I17" s="54">
        <f>PPE!I20</f>
        <v/>
      </c>
      <c r="J17" s="11" t="inlineStr">
        <is>
          <t>信息行: 合理带宽8%-18%</t>
        </is>
      </c>
    </row>
    <row r="18">
      <c r="A18" s="4" t="inlineStr">
        <is>
          <t>信息项: 2026E模型收入/一致预期</t>
        </is>
      </c>
      <c r="B18" s="16">
        <f>IS!E4/Assumptions!$C$12</f>
        <v/>
      </c>
      <c r="J18" s="11" t="inlineStr">
        <is>
          <t>接近100%即基准贴合一致预期</t>
        </is>
      </c>
    </row>
    <row r="19">
      <c r="A19" s="4" t="inlineStr">
        <is>
          <t>信息项: 2026E模型归母/一致预期</t>
        </is>
      </c>
      <c r="B19" s="16">
        <f>IS!E20/Assumptions!$C$13</f>
        <v/>
      </c>
    </row>
    <row r="20">
      <c r="A20" s="4" t="inlineStr">
        <is>
          <t>信息项: WACC计算值/采用值</t>
        </is>
      </c>
      <c r="B20" s="16">
        <f>Assumptions!C80</f>
        <v/>
      </c>
      <c r="C20" s="16">
        <f>Assumptions!C82</f>
        <v/>
      </c>
      <c r="J20" s="11" t="inlineStr">
        <is>
          <t>左=计算值, 右=采用值(override为空时两者相等)</t>
        </is>
      </c>
    </row>
    <row r="21">
      <c r="A21" s="4" t="inlineStr">
        <is>
          <t>信息项: FCFE/FCFF每股价值比</t>
        </is>
      </c>
      <c r="B21" s="16">
        <f>FCFE!D18/DCF!D25</f>
        <v/>
      </c>
      <c r="C21" s="14">
        <f>FCFE!D18</f>
        <v/>
      </c>
      <c r="J21" s="11" t="inlineStr">
        <is>
          <t>左=FCFE/FCFF比值, 右=FCFE每股(元); 两法差异原因见FCFE页底部注记</t>
        </is>
      </c>
    </row>
    <row r="22">
      <c r="A22" s="4" t="inlineStr">
        <is>
          <t>信息项: 2030E现金 vs 最低现金</t>
        </is>
      </c>
      <c r="B22" s="26">
        <f>BS!I4</f>
        <v/>
      </c>
      <c r="C22" s="26">
        <f>FIN!I13</f>
        <v/>
      </c>
      <c r="J22" s="11" t="inlineStr">
        <is>
          <t>两者应相等(sweep后现金=最低现金, 溢出去理财)</t>
        </is>
      </c>
    </row>
    <row r="24" ht="30" customHeight="1">
      <c r="A24" s="55" t="inlineStr">
        <is>
          <t xml:space="preserve">汇总: 全部通过 = </t>
        </is>
      </c>
      <c r="F24" s="56">
        <f>IF(AND(B4:I4,E5:I5,E6:I6,B7:I7,B8:I8,B9,B10,B11,E12:I12,E13:I13,E14:I14,B15),"全部通过=TRUE","存在未通过=FALSE")</f>
        <v/>
      </c>
    </row>
    <row r="25">
      <c r="A25" s="4" t="inlineStr">
        <is>
          <t>布尔汇总</t>
        </is>
      </c>
      <c r="F25" s="27">
        <f>AND(B4:I4,E5:I5,E6:I6,B7:I7,B8:I8,B9,B10,B11,E12:I12,E13:I13,E14:I14,B15)</f>
        <v/>
      </c>
    </row>
  </sheetData>
  <mergeCells count="4">
    <mergeCell ref="A1:J1"/>
    <mergeCell ref="A24:E24"/>
    <mergeCell ref="F24:H2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2026-08-17T06:43:02Z</dcterms:created>
  <dcterms:modified xsi:type="dcterms:W3CDTF">2026-08-17T06:43:02Z</dcterms:modified>
</cp:coreProperties>
</file>