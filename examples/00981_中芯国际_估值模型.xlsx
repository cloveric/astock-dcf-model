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Summary" sheetId="2" state="visible" r:id="rId4"/>
    <sheet name="Assumptions" sheetId="3" state="visible" r:id="rId5"/>
    <sheet name="Revenue_Segments" sheetId="4" state="visible" r:id="rId6"/>
    <sheet name="IS" sheetId="5" state="visible" r:id="rId7"/>
    <sheet name="BS" sheetId="6" state="visible" r:id="rId8"/>
    <sheet name="CF" sheetId="7" state="visible" r:id="rId9"/>
    <sheet name="Schedules" sheetId="8" state="visible" r:id="rId10"/>
    <sheet name="PPE" sheetId="9" state="visible" r:id="rId11"/>
    <sheet name="FIN" sheetId="10" state="visible" r:id="rId12"/>
    <sheet name="Equity_Roll" sheetId="11" state="visible" r:id="rId13"/>
    <sheet name="DCF" sheetId="12" state="visible" r:id="rId14"/>
    <sheet name="FCFE" sheetId="13" state="visible" r:id="rId15"/>
    <sheet name="Relative_Val" sheetId="14" state="visible" r:id="rId16"/>
    <sheet name="Sensitivity" sheetId="15" state="visible" r:id="rId17"/>
    <sheet name="Scenarios" sheetId="16" state="visible" r:id="rId18"/>
    <sheet name="Checks" sheetId="17" state="visible" r:id="rId19"/>
  </sheets>
  <definedNames>
    <definedName function="false" hidden="false" name="BETA_U" vbProcedure="false">Assumptions!$C$74</definedName>
    <definedName function="false" hidden="false" name="DCF_PS" vbProcedure="false">DCF!$D$26</definedName>
    <definedName function="false" hidden="false" name="ERP" vbProcedure="false">Assumptions!$C$73</definedName>
    <definedName function="false" hidden="false" name="FCFE_PS" vbProcedure="false">FCFE!$D$20</definedName>
    <definedName function="false" hidden="false" name="KD" vbProcedure="false">Assumptions!$C$80</definedName>
    <definedName function="false" hidden="false" name="KE" vbProcedure="false">Assumptions!$C$79</definedName>
    <definedName function="false" hidden="false" name="MIN_CASH_PCT" vbProcedure="false">Assumptions!$C$58</definedName>
    <definedName function="false" hidden="false" name="PAYOUT_Y1" vbProcedure="false">Assumptions!$C$54</definedName>
    <definedName function="false" hidden="false" name="RF_RATE" vbProcedure="false">Assumptions!$C$72</definedName>
    <definedName function="false" hidden="false" name="SCEN_SWITCH" vbProcedure="false">Assumptions!$C$5</definedName>
    <definedName function="false" hidden="false" name="SHARES_DIL" vbProcedure="false">Equity_Roll!$C$21</definedName>
    <definedName function="false" hidden="false" name="TAX_RATE_Y1" vbProcedure="false">Assumptions!$C$33</definedName>
    <definedName function="false" hidden="false" name="TERM_G" vbProcedure="false">Assumptions!$C$84</definedName>
    <definedName function="false" hidden="false" name="WACC_CALC" vbProcedure="false">Assumptions!$C$81</definedName>
    <definedName function="false" hidden="false" name="WACC_USED" vbProcedure="false">Assumptions!$C$83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<sst xmlns="http://schemas.openxmlformats.org/spreadsheetml/2006/main" count="1122" uniqueCount="837">
  <si>
    <r>
      <rPr>
        <b val="true"/>
        <sz val="20"/>
        <color rgb="FF1F3864"/>
        <rFont val="Arial Unicode MS"/>
        <family val="2"/>
      </rPr>
      <t xml:space="preserve">中芯国际 </t>
    </r>
    <r>
      <rPr>
        <b val="true"/>
        <sz val="20"/>
        <color rgb="FF1F3864"/>
        <rFont val="Microsoft YaHei"/>
        <family val="0"/>
        <charset val="1"/>
      </rPr>
      <t xml:space="preserve">(00981.HK) — </t>
    </r>
    <r>
      <rPr>
        <b val="true"/>
        <sz val="20"/>
        <color rgb="FF1F3864"/>
        <rFont val="Arial Unicode MS"/>
        <family val="2"/>
      </rPr>
      <t xml:space="preserve">机构级估值模型</t>
    </r>
  </si>
  <si>
    <r>
      <rPr>
        <sz val="11"/>
        <color rgb="FF7F7F7F"/>
        <rFont val="Arial Unicode MS"/>
        <family val="2"/>
      </rPr>
      <t xml:space="preserve">中芯国际 </t>
    </r>
    <r>
      <rPr>
        <sz val="11"/>
        <color rgb="FF7F7F7F"/>
        <rFont val="Microsoft YaHei"/>
        <family val="0"/>
        <charset val="1"/>
      </rPr>
      <t xml:space="preserve">| </t>
    </r>
    <r>
      <rPr>
        <sz val="11"/>
        <color rgb="FF7F7F7F"/>
        <rFont val="Arial Unicode MS"/>
        <family val="2"/>
      </rPr>
      <t xml:space="preserve">港股自动兜底建模</t>
    </r>
    <r>
      <rPr>
        <sz val="11"/>
        <color rgb="FF7F7F7F"/>
        <rFont val="Microsoft YaHei"/>
        <family val="0"/>
        <charset val="1"/>
      </rPr>
      <t xml:space="preserve">(</t>
    </r>
    <r>
      <rPr>
        <sz val="11"/>
        <color rgb="FF7F7F7F"/>
        <rFont val="Arial Unicode MS"/>
        <family val="2"/>
      </rPr>
      <t xml:space="preserve">东财</t>
    </r>
    <r>
      <rPr>
        <sz val="11"/>
        <color rgb="FF7F7F7F"/>
        <rFont val="Microsoft YaHei"/>
        <family val="0"/>
        <charset val="1"/>
      </rPr>
      <t xml:space="preserve">HKF10+</t>
    </r>
    <r>
      <rPr>
        <sz val="11"/>
        <color rgb="FF7F7F7F"/>
        <rFont val="Arial Unicode MS"/>
        <family val="2"/>
      </rPr>
      <t xml:space="preserve">腾讯行情</t>
    </r>
    <r>
      <rPr>
        <sz val="11"/>
        <color rgb="FF7F7F7F"/>
        <rFont val="Microsoft YaHei"/>
        <family val="0"/>
        <charset val="1"/>
      </rPr>
      <t xml:space="preserve">; </t>
    </r>
    <r>
      <rPr>
        <sz val="11"/>
        <color rgb="FF7F7F7F"/>
        <rFont val="Arial Unicode MS"/>
        <family val="2"/>
      </rPr>
      <t xml:space="preserve">财报币种美元</t>
    </r>
    <r>
      <rPr>
        <sz val="11"/>
        <color rgb="FF7F7F7F"/>
        <rFont val="Microsoft YaHei"/>
        <family val="0"/>
        <charset val="1"/>
      </rPr>
      <t xml:space="preserve">)</t>
    </r>
  </si>
  <si>
    <t xml:space="preserve">模型构建日期</t>
  </si>
  <si>
    <r>
      <rPr>
        <sz val="10"/>
        <color rgb="FF000000"/>
        <rFont val="Microsoft YaHei"/>
        <family val="0"/>
        <charset val="1"/>
      </rPr>
      <t xml:space="preserve">2026-08-17 (</t>
    </r>
    <r>
      <rPr>
        <sz val="10"/>
        <color rgb="FF000000"/>
        <rFont val="Arial Unicode MS"/>
        <family val="2"/>
      </rPr>
      <t xml:space="preserve">行情基准日</t>
    </r>
    <r>
      <rPr>
        <sz val="10"/>
        <color rgb="FF000000"/>
        <rFont val="Microsoft YaHei"/>
        <family val="0"/>
        <charset val="1"/>
      </rPr>
      <t xml:space="preserve">: 2026-08-17</t>
    </r>
    <r>
      <rPr>
        <sz val="10"/>
        <color rgb="FF000000"/>
        <rFont val="Arial Unicode MS"/>
        <family val="2"/>
      </rPr>
      <t xml:space="preserve">收盘</t>
    </r>
    <r>
      <rPr>
        <sz val="10"/>
        <color rgb="FF000000"/>
        <rFont val="Microsoft YaHei"/>
        <family val="0"/>
        <charset val="1"/>
      </rPr>
      <t xml:space="preserve">; FIN</t>
    </r>
    <r>
      <rPr>
        <sz val="10"/>
        <color rgb="FF000000"/>
        <rFont val="Arial Unicode MS"/>
        <family val="2"/>
      </rPr>
      <t xml:space="preserve">调度</t>
    </r>
    <r>
      <rPr>
        <sz val="10"/>
        <color rgb="FF000000"/>
        <rFont val="Microsoft YaHei"/>
        <family val="0"/>
        <charset val="1"/>
      </rPr>
      <t xml:space="preserve">/WACC</t>
    </r>
    <r>
      <rPr>
        <sz val="10"/>
        <color rgb="FF000000"/>
        <rFont val="Arial Unicode MS"/>
        <family val="2"/>
      </rPr>
      <t xml:space="preserve">做实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年中折现</t>
    </r>
    <r>
      <rPr>
        <sz val="10"/>
        <color rgb="FF000000"/>
        <rFont val="Microsoft YaHei"/>
        <family val="0"/>
        <charset val="1"/>
      </rPr>
      <t xml:space="preserve">; FIN</t>
    </r>
    <r>
      <rPr>
        <sz val="10"/>
        <color rgb="FF000000"/>
        <rFont val="Arial Unicode MS"/>
        <family val="2"/>
      </rPr>
      <t xml:space="preserve">迭代展开消除循环引用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</si>
  <si>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经营货币 </t>
    </r>
    <r>
      <rPr>
        <b val="true"/>
        <sz val="10"/>
        <color rgb="FF000000"/>
        <rFont val="Microsoft YaHei"/>
        <family val="0"/>
        <charset val="1"/>
      </rPr>
      <t xml:space="preserve">/ </t>
    </r>
    <r>
      <rPr>
        <b val="true"/>
        <sz val="10"/>
        <color rgb="FF000000"/>
        <rFont val="Arial Unicode MS"/>
        <family val="2"/>
      </rPr>
      <t xml:space="preserve">单位</t>
    </r>
  </si>
  <si>
    <r>
      <rPr>
        <sz val="10"/>
        <color rgb="FF000000"/>
        <rFont val="Arial Unicode MS"/>
        <family val="2"/>
      </rPr>
      <t xml:space="preserve">美元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财报口径</t>
    </r>
    <r>
      <rPr>
        <sz val="10"/>
        <color rgb="FF000000"/>
        <rFont val="Microsoft YaHei"/>
        <family val="0"/>
        <charset val="1"/>
      </rPr>
      <t xml:space="preserve">) / </t>
    </r>
    <r>
      <rPr>
        <sz val="10"/>
        <color rgb="FF000000"/>
        <rFont val="Arial Unicode MS"/>
        <family val="2"/>
      </rPr>
      <t xml:space="preserve">百万元 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每股数据为美元</t>
    </r>
    <r>
      <rPr>
        <sz val="10"/>
        <color rgb="FF000000"/>
        <rFont val="Microsoft YaHei"/>
        <family val="0"/>
        <charset val="1"/>
      </rPr>
      <t xml:space="preserve">; </t>
    </r>
    <r>
      <rPr>
        <sz val="10"/>
        <color rgb="FF000000"/>
        <rFont val="Arial Unicode MS"/>
        <family val="2"/>
      </rPr>
      <t xml:space="preserve">港元现价按</t>
    </r>
    <r>
      <rPr>
        <sz val="10"/>
        <color rgb="FF000000"/>
        <rFont val="Microsoft YaHei"/>
        <family val="0"/>
        <charset val="1"/>
      </rPr>
      <t xml:space="preserve">fx</t>
    </r>
    <r>
      <rPr>
        <sz val="10"/>
        <color rgb="FF000000"/>
        <rFont val="Arial Unicode MS"/>
        <family val="2"/>
      </rPr>
      <t xml:space="preserve">折算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</si>
  <si>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市场口径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港股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</si>
  <si>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无单日涨跌停限制</t>
    </r>
    <r>
      <rPr>
        <sz val="10"/>
        <color rgb="FF000000"/>
        <rFont val="Microsoft YaHei"/>
        <family val="0"/>
        <charset val="1"/>
      </rPr>
      <t xml:space="preserve">(A</t>
    </r>
    <r>
      <rPr>
        <sz val="10"/>
        <color rgb="FF000000"/>
        <rFont val="Arial Unicode MS"/>
        <family val="2"/>
      </rPr>
      <t xml:space="preserve">股为</t>
    </r>
    <r>
      <rPr>
        <sz val="10"/>
        <color rgb="FF000000"/>
        <rFont val="Microsoft YaHei"/>
        <family val="0"/>
        <charset val="1"/>
      </rPr>
      <t xml:space="preserve">±10%/20%, </t>
    </r>
    <r>
      <rPr>
        <sz val="10"/>
        <color rgb="FF000000"/>
        <rFont val="Arial Unicode MS"/>
        <family val="2"/>
      </rPr>
      <t xml:space="preserve">口径差异不影响模型公式</t>
    </r>
    <r>
      <rPr>
        <sz val="10"/>
        <color rgb="FF000000"/>
        <rFont val="Microsoft YaHei"/>
        <family val="0"/>
        <charset val="1"/>
      </rPr>
      <t xml:space="preserve">); </t>
    </r>
    <r>
      <rPr>
        <sz val="10"/>
        <color rgb="FF000000"/>
        <rFont val="Arial Unicode MS"/>
        <family val="2"/>
      </rPr>
      <t xml:space="preserve">财务与估值为财报币种口径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见上行</t>
    </r>
    <r>
      <rPr>
        <sz val="10"/>
        <color rgb="FF000000"/>
        <rFont val="Microsoft YaHei"/>
        <family val="0"/>
        <charset val="1"/>
      </rPr>
      <t xml:space="preserve">), </t>
    </r>
    <r>
      <rPr>
        <sz val="10"/>
        <color rgb="FF000000"/>
        <rFont val="Arial Unicode MS"/>
        <family val="2"/>
      </rPr>
      <t xml:space="preserve">港元现价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总市值按配置</t>
    </r>
    <r>
      <rPr>
        <sz val="10"/>
        <color rgb="FF000000"/>
        <rFont val="Microsoft YaHei"/>
        <family val="0"/>
        <charset val="1"/>
      </rPr>
      <t xml:space="preserve">fx</t>
    </r>
    <r>
      <rPr>
        <sz val="10"/>
        <color rgb="FF000000"/>
        <rFont val="Arial Unicode MS"/>
        <family val="2"/>
      </rPr>
      <t xml:space="preserve">折算</t>
    </r>
    <r>
      <rPr>
        <sz val="10"/>
        <color rgb="FF000000"/>
        <rFont val="Microsoft YaHei"/>
        <family val="0"/>
        <charset val="1"/>
      </rPr>
      <t xml:space="preserve">, PE-TTM</t>
    </r>
    <r>
      <rPr>
        <sz val="10"/>
        <color rgb="FF000000"/>
        <rFont val="Arial Unicode MS"/>
        <family val="2"/>
      </rPr>
      <t xml:space="preserve">为港元行情口径仅供对照</t>
    </r>
    <r>
      <rPr>
        <sz val="10"/>
        <color rgb="FF000000"/>
        <rFont val="Microsoft YaHei"/>
        <family val="0"/>
        <charset val="1"/>
      </rPr>
      <t xml:space="preserve">; </t>
    </r>
    <r>
      <rPr>
        <sz val="10"/>
        <color rgb="FF000000"/>
        <rFont val="Arial Unicode MS"/>
        <family val="2"/>
      </rPr>
      <t xml:space="preserve">历史三表</t>
    </r>
    <r>
      <rPr>
        <sz val="10"/>
        <color rgb="FF000000"/>
        <rFont val="Microsoft YaHei"/>
        <family val="0"/>
        <charset val="1"/>
      </rPr>
      <t xml:space="preserve">=</t>
    </r>
    <r>
      <rPr>
        <sz val="10"/>
        <color rgb="FF000000"/>
        <rFont val="Arial Unicode MS"/>
        <family val="2"/>
      </rPr>
      <t xml:space="preserve">东财</t>
    </r>
    <r>
      <rPr>
        <sz val="10"/>
        <color rgb="FF000000"/>
        <rFont val="Microsoft YaHei"/>
        <family val="0"/>
        <charset val="1"/>
      </rPr>
      <t xml:space="preserve">HKF10(IFRS</t>
    </r>
    <r>
      <rPr>
        <sz val="10"/>
        <color rgb="FF000000"/>
        <rFont val="Arial Unicode MS"/>
        <family val="2"/>
      </rPr>
      <t xml:space="preserve">科目映射</t>
    </r>
    <r>
      <rPr>
        <sz val="10"/>
        <color rgb="FF000000"/>
        <rFont val="Microsoft YaHei"/>
        <family val="0"/>
        <charset val="1"/>
      </rPr>
      <t xml:space="preserve">, </t>
    </r>
    <r>
      <rPr>
        <sz val="10"/>
        <color rgb="FF000000"/>
        <rFont val="Arial Unicode MS"/>
        <family val="2"/>
      </rPr>
      <t xml:space="preserve">现金流量表按隐含汇率折算回财报币种</t>
    </r>
    <r>
      <rPr>
        <sz val="10"/>
        <color rgb="FF000000"/>
        <rFont val="Microsoft YaHei"/>
        <family val="0"/>
        <charset val="1"/>
      </rPr>
      <t xml:space="preserve">)</t>
    </r>
  </si>
  <si>
    <t xml:space="preserve">颜色规范</t>
  </si>
  <si>
    <r>
      <rPr>
        <sz val="10"/>
        <color rgb="FF000000"/>
        <rFont val="Arial Unicode MS"/>
        <family val="2"/>
      </rPr>
      <t xml:space="preserve">蓝色</t>
    </r>
    <r>
      <rPr>
        <sz val="10"/>
        <color rgb="FF000000"/>
        <rFont val="Microsoft YaHei"/>
        <family val="0"/>
        <charset val="1"/>
      </rPr>
      <t xml:space="preserve">=</t>
    </r>
    <r>
      <rPr>
        <sz val="10"/>
        <color rgb="FF000000"/>
        <rFont val="Arial Unicode MS"/>
        <family val="2"/>
      </rPr>
      <t xml:space="preserve">输入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假设 </t>
    </r>
    <r>
      <rPr>
        <sz val="10"/>
        <color rgb="FF000000"/>
        <rFont val="Microsoft YaHei"/>
        <family val="0"/>
        <charset val="1"/>
      </rPr>
      <t xml:space="preserve">| </t>
    </r>
    <r>
      <rPr>
        <sz val="10"/>
        <color rgb="FF000000"/>
        <rFont val="Arial Unicode MS"/>
        <family val="2"/>
      </rPr>
      <t xml:space="preserve">黑色</t>
    </r>
    <r>
      <rPr>
        <sz val="10"/>
        <color rgb="FF000000"/>
        <rFont val="Microsoft YaHei"/>
        <family val="0"/>
        <charset val="1"/>
      </rPr>
      <t xml:space="preserve">=</t>
    </r>
    <r>
      <rPr>
        <sz val="10"/>
        <color rgb="FF000000"/>
        <rFont val="Arial Unicode MS"/>
        <family val="2"/>
      </rPr>
      <t xml:space="preserve">公式 </t>
    </r>
    <r>
      <rPr>
        <sz val="10"/>
        <color rgb="FF000000"/>
        <rFont val="Microsoft YaHei"/>
        <family val="0"/>
        <charset val="1"/>
      </rPr>
      <t xml:space="preserve">| </t>
    </r>
    <r>
      <rPr>
        <sz val="10"/>
        <color rgb="FF000000"/>
        <rFont val="Arial Unicode MS"/>
        <family val="2"/>
      </rPr>
      <t xml:space="preserve">绿色</t>
    </r>
    <r>
      <rPr>
        <sz val="10"/>
        <color rgb="FF000000"/>
        <rFont val="Microsoft YaHei"/>
        <family val="0"/>
        <charset val="1"/>
      </rPr>
      <t xml:space="preserve">=</t>
    </r>
    <r>
      <rPr>
        <sz val="10"/>
        <color rgb="FF000000"/>
        <rFont val="Arial Unicode MS"/>
        <family val="2"/>
      </rPr>
      <t xml:space="preserve">外部数据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链接 </t>
    </r>
    <r>
      <rPr>
        <sz val="10"/>
        <color rgb="FF000000"/>
        <rFont val="Microsoft YaHei"/>
        <family val="0"/>
        <charset val="1"/>
      </rPr>
      <t xml:space="preserve">| </t>
    </r>
    <r>
      <rPr>
        <sz val="10"/>
        <color rgb="FF000000"/>
        <rFont val="Arial Unicode MS"/>
        <family val="2"/>
      </rPr>
      <t xml:space="preserve">红色</t>
    </r>
    <r>
      <rPr>
        <sz val="10"/>
        <color rgb="FF000000"/>
        <rFont val="Microsoft YaHei"/>
        <family val="0"/>
        <charset val="1"/>
      </rPr>
      <t xml:space="preserve">=</t>
    </r>
    <r>
      <rPr>
        <sz val="10"/>
        <color rgb="FF000000"/>
        <rFont val="Arial Unicode MS"/>
        <family val="2"/>
      </rPr>
      <t xml:space="preserve">警告</t>
    </r>
  </si>
  <si>
    <r>
      <rPr>
        <b val="true"/>
        <sz val="10"/>
        <color rgb="FF000000"/>
        <rFont val="Arial Unicode MS"/>
        <family val="2"/>
      </rPr>
      <t xml:space="preserve">✓ 迭代展开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无循环引用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</si>
  <si>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CC0000"/>
        <rFont val="Arial Unicode MS"/>
        <family val="2"/>
      </rPr>
      <t xml:space="preserve">原循环链</t>
    </r>
    <r>
      <rPr>
        <sz val="9"/>
        <color rgb="FFCC0000"/>
        <rFont val="Microsoft YaHei"/>
        <family val="0"/>
        <charset val="1"/>
      </rPr>
      <t xml:space="preserve">(</t>
    </r>
    <r>
      <rPr>
        <sz val="9"/>
        <color rgb="FFCC0000"/>
        <rFont val="Arial Unicode MS"/>
        <family val="2"/>
      </rPr>
      <t xml:space="preserve">利息</t>
    </r>
    <r>
      <rPr>
        <sz val="9"/>
        <color rgb="FFCC0000"/>
        <rFont val="Microsoft YaHei"/>
        <family val="0"/>
        <charset val="1"/>
      </rPr>
      <t xml:space="preserve">=</t>
    </r>
    <r>
      <rPr>
        <sz val="9"/>
        <color rgb="FFCC0000"/>
        <rFont val="Arial Unicode MS"/>
        <family val="2"/>
      </rPr>
      <t xml:space="preserve">平均债务余额</t>
    </r>
    <r>
      <rPr>
        <sz val="9"/>
        <color rgb="FFCC0000"/>
        <rFont val="Microsoft YaHei"/>
        <family val="0"/>
        <charset val="1"/>
      </rPr>
      <t xml:space="preserve">×</t>
    </r>
    <r>
      <rPr>
        <sz val="9"/>
        <color rgb="FFCC0000"/>
        <rFont val="Arial Unicode MS"/>
        <family val="2"/>
      </rPr>
      <t xml:space="preserve">利率→净利→现金流→</t>
    </r>
    <r>
      <rPr>
        <sz val="9"/>
        <color rgb="FFCC0000"/>
        <rFont val="Microsoft YaHei"/>
        <family val="0"/>
        <charset val="1"/>
      </rPr>
      <t xml:space="preserve">sweep→</t>
    </r>
    <r>
      <rPr>
        <sz val="9"/>
        <color rgb="FFCC0000"/>
        <rFont val="Arial Unicode MS"/>
        <family val="2"/>
      </rPr>
      <t xml:space="preserve">债务余额→利息</t>
    </r>
    <r>
      <rPr>
        <sz val="9"/>
        <color rgb="FFCC0000"/>
        <rFont val="Microsoft YaHei"/>
        <family val="0"/>
        <charset val="1"/>
      </rPr>
      <t xml:space="preserve">)</t>
    </r>
    <r>
      <rPr>
        <sz val="9"/>
        <color rgb="FFCC0000"/>
        <rFont val="Arial Unicode MS"/>
        <family val="2"/>
      </rPr>
      <t xml:space="preserve">已在</t>
    </r>
    <r>
      <rPr>
        <sz val="9"/>
        <color rgb="FFCC0000"/>
        <rFont val="Microsoft YaHei"/>
        <family val="0"/>
        <charset val="1"/>
      </rPr>
      <t xml:space="preserve">FIN</t>
    </r>
    <r>
      <rPr>
        <sz val="9"/>
        <color rgb="FFCC0000"/>
        <rFont val="Arial Unicode MS"/>
        <family val="2"/>
      </rPr>
      <t xml:space="preserve">页表内显式展开</t>
    </r>
    <r>
      <rPr>
        <sz val="9"/>
        <color rgb="FFCC0000"/>
        <rFont val="Microsoft YaHei"/>
        <family val="0"/>
        <charset val="1"/>
      </rPr>
      <t xml:space="preserve">4</t>
    </r>
    <r>
      <rPr>
        <sz val="9"/>
        <color rgb="FFCC0000"/>
        <rFont val="Arial Unicode MS"/>
        <family val="2"/>
      </rPr>
      <t xml:space="preserve">轮</t>
    </r>
    <r>
      <rPr>
        <sz val="9"/>
        <color rgb="FFCC0000"/>
        <rFont val="Microsoft YaHei"/>
        <family val="0"/>
        <charset val="1"/>
      </rPr>
      <t xml:space="preserve">(</t>
    </r>
    <r>
      <rPr>
        <sz val="9"/>
        <color rgb="FFCC0000"/>
        <rFont val="Arial Unicode MS"/>
        <family val="2"/>
      </rPr>
      <t xml:space="preserve">第</t>
    </r>
    <r>
      <rPr>
        <sz val="9"/>
        <color rgb="FFCC0000"/>
        <rFont val="Microsoft YaHei"/>
        <family val="0"/>
        <charset val="1"/>
      </rPr>
      <t xml:space="preserve">1</t>
    </r>
    <r>
      <rPr>
        <sz val="9"/>
        <color rgb="FFCC0000"/>
        <rFont val="Arial Unicode MS"/>
        <family val="2"/>
      </rPr>
      <t xml:space="preserve">轮期初余额计息</t>
    </r>
    <r>
      <rPr>
        <sz val="9"/>
        <color rgb="FFCC0000"/>
        <rFont val="Microsoft YaHei"/>
        <family val="0"/>
        <charset val="1"/>
      </rPr>
      <t xml:space="preserve">, </t>
    </r>
    <r>
      <rPr>
        <sz val="9"/>
        <color rgb="FFCC0000"/>
        <rFont val="Arial Unicode MS"/>
        <family val="2"/>
      </rPr>
      <t xml:space="preserve">第</t>
    </r>
    <r>
      <rPr>
        <sz val="9"/>
        <color rgb="FFCC0000"/>
        <rFont val="Microsoft YaHei"/>
        <family val="0"/>
        <charset val="1"/>
      </rPr>
      <t xml:space="preserve">k</t>
    </r>
    <r>
      <rPr>
        <sz val="9"/>
        <color rgb="FFCC0000"/>
        <rFont val="Arial Unicode MS"/>
        <family val="2"/>
      </rPr>
      <t xml:space="preserve">轮按</t>
    </r>
    <r>
      <rPr>
        <sz val="9"/>
        <color rgb="FFCC0000"/>
        <rFont val="Microsoft YaHei"/>
        <family val="0"/>
        <charset val="1"/>
      </rPr>
      <t xml:space="preserve">(</t>
    </r>
    <r>
      <rPr>
        <sz val="9"/>
        <color rgb="FFCC0000"/>
        <rFont val="Arial Unicode MS"/>
        <family val="2"/>
      </rPr>
      <t xml:space="preserve">期初</t>
    </r>
    <r>
      <rPr>
        <sz val="9"/>
        <color rgb="FFCC0000"/>
        <rFont val="Microsoft YaHei"/>
        <family val="0"/>
        <charset val="1"/>
      </rPr>
      <t xml:space="preserve">+</t>
    </r>
    <r>
      <rPr>
        <sz val="9"/>
        <color rgb="FFCC0000"/>
        <rFont val="Arial Unicode MS"/>
        <family val="2"/>
      </rPr>
      <t xml:space="preserve">上轮期末</t>
    </r>
    <r>
      <rPr>
        <sz val="9"/>
        <color rgb="FFCC0000"/>
        <rFont val="Microsoft YaHei"/>
        <family val="0"/>
        <charset val="1"/>
      </rPr>
      <t xml:space="preserve">)/2×</t>
    </r>
    <r>
      <rPr>
        <sz val="9"/>
        <color rgb="FFCC0000"/>
        <rFont val="Arial Unicode MS"/>
        <family val="2"/>
      </rPr>
      <t xml:space="preserve">利率重算</t>
    </r>
    <r>
      <rPr>
        <sz val="9"/>
        <color rgb="FFCC0000"/>
        <rFont val="Microsoft YaHei"/>
        <family val="0"/>
        <charset val="1"/>
      </rPr>
      <t xml:space="preserve">), </t>
    </r>
    <r>
      <rPr>
        <sz val="9"/>
        <color rgb="FFCC0000"/>
        <rFont val="Arial Unicode MS"/>
        <family val="2"/>
      </rPr>
      <t xml:space="preserve">末轮输出供</t>
    </r>
    <r>
      <rPr>
        <sz val="9"/>
        <color rgb="FFCC0000"/>
        <rFont val="Microsoft YaHei"/>
        <family val="0"/>
        <charset val="1"/>
      </rPr>
      <t xml:space="preserve">IS/CF/BS</t>
    </r>
    <r>
      <rPr>
        <sz val="9"/>
        <color rgb="FFCC0000"/>
        <rFont val="Arial Unicode MS"/>
        <family val="2"/>
      </rPr>
      <t xml:space="preserve">引用。全簿无任何循环引用</t>
    </r>
    <r>
      <rPr>
        <sz val="9"/>
        <color rgb="FFCC0000"/>
        <rFont val="Microsoft YaHei"/>
        <family val="0"/>
        <charset val="1"/>
      </rPr>
      <t xml:space="preserve">, </t>
    </r>
    <r>
      <rPr>
        <sz val="9"/>
        <color rgb="FFCC0000"/>
        <rFont val="Arial Unicode MS"/>
        <family val="2"/>
      </rPr>
      <t xml:space="preserve">无需开启迭代计算</t>
    </r>
    <r>
      <rPr>
        <sz val="9"/>
        <color rgb="FFCC0000"/>
        <rFont val="Microsoft YaHei"/>
        <family val="0"/>
        <charset val="1"/>
      </rPr>
      <t xml:space="preserve">; </t>
    </r>
    <r>
      <rPr>
        <sz val="9"/>
        <color rgb="FFCC0000"/>
        <rFont val="Arial Unicode MS"/>
        <family val="2"/>
      </rPr>
      <t xml:space="preserve">收敛残差</t>
    </r>
    <r>
      <rPr>
        <sz val="9"/>
        <color rgb="FFCC0000"/>
        <rFont val="Microsoft YaHei"/>
        <family val="0"/>
        <charset val="1"/>
      </rPr>
      <t xml:space="preserve">&lt;0.01(</t>
    </r>
    <r>
      <rPr>
        <sz val="9"/>
        <color rgb="FFCC0000"/>
        <rFont val="Arial Unicode MS"/>
        <family val="2"/>
      </rPr>
      <t xml:space="preserve">见</t>
    </r>
    <r>
      <rPr>
        <sz val="9"/>
        <color rgb="FFCC0000"/>
        <rFont val="Microsoft YaHei"/>
        <family val="0"/>
        <charset val="1"/>
      </rPr>
      <t xml:space="preserve">FIN</t>
    </r>
    <r>
      <rPr>
        <sz val="9"/>
        <color rgb="FFCC0000"/>
        <rFont val="Arial Unicode MS"/>
        <family val="2"/>
      </rPr>
      <t xml:space="preserve">页残差行</t>
    </r>
    <r>
      <rPr>
        <sz val="9"/>
        <color rgb="FFCC0000"/>
        <rFont val="Microsoft YaHei"/>
        <family val="0"/>
        <charset val="1"/>
      </rPr>
      <t xml:space="preserve">/Checks</t>
    </r>
    <r>
      <rPr>
        <sz val="9"/>
        <color rgb="FFCC0000"/>
        <rFont val="Arial Unicode MS"/>
        <family val="2"/>
      </rPr>
      <t xml:space="preserve">第</t>
    </r>
    <r>
      <rPr>
        <sz val="9"/>
        <color rgb="FFCC0000"/>
        <rFont val="Microsoft YaHei"/>
        <family val="0"/>
        <charset val="1"/>
      </rPr>
      <t xml:space="preserve">11</t>
    </r>
    <r>
      <rPr>
        <sz val="9"/>
        <color rgb="FFCC0000"/>
        <rFont val="Arial Unicode MS"/>
        <family val="2"/>
      </rPr>
      <t xml:space="preserve">项</t>
    </r>
    <r>
      <rPr>
        <sz val="9"/>
        <color rgb="FFCC0000"/>
        <rFont val="Microsoft YaHei"/>
        <family val="0"/>
        <charset val="1"/>
      </rPr>
      <t xml:space="preserve">), Excel/WPS/LibreOffice</t>
    </r>
    <r>
      <rPr>
        <sz val="9"/>
        <color rgb="FFCC0000"/>
        <rFont val="Arial Unicode MS"/>
        <family val="2"/>
      </rPr>
      <t xml:space="preserve">重算结果一致</t>
    </r>
  </si>
  <si>
    <t xml:space="preserve">—— 关键市场数据 ——</t>
  </si>
  <si>
    <r>
      <rPr>
        <b val="true"/>
        <sz val="10"/>
        <color rgb="FF000000"/>
        <rFont val="Arial Unicode MS"/>
        <family val="2"/>
      </rPr>
      <t xml:space="preserve">现价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美元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</si>
  <si>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总股本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百万股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</si>
  <si>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总市值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百万元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</si>
  <si>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模型自动外推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模型自动外推 </t>
    </r>
    <r>
      <rPr>
        <b val="true"/>
        <sz val="10"/>
        <color rgb="FF000000"/>
        <rFont val="Microsoft YaHei"/>
        <family val="0"/>
        <charset val="1"/>
      </rPr>
      <t xml:space="preserve">2026E </t>
    </r>
    <r>
      <rPr>
        <b val="true"/>
        <sz val="10"/>
        <color rgb="FF000000"/>
        <rFont val="Arial Unicode MS"/>
        <family val="2"/>
      </rPr>
      <t xml:space="preserve">营收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归母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百万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</si>
  <si>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2"/>
        <color rgb="FF000000"/>
        <rFont val="Arial Unicode MS"/>
        <family val="2"/>
      </rPr>
      <t xml:space="preserve">—— 模型输出 </t>
    </r>
    <r>
      <rPr>
        <b val="true"/>
        <sz val="12"/>
        <color rgb="FF000000"/>
        <rFont val="Microsoft YaHei"/>
        <family val="0"/>
        <charset val="1"/>
      </rPr>
      <t xml:space="preserve">(</t>
    </r>
    <r>
      <rPr>
        <b val="true"/>
        <sz val="12"/>
        <color rgb="FF000000"/>
        <rFont val="Arial Unicode MS"/>
        <family val="2"/>
      </rPr>
      <t xml:space="preserve">随情景开关联动</t>
    </r>
    <r>
      <rPr>
        <b val="true"/>
        <sz val="12"/>
        <color rgb="FF000000"/>
        <rFont val="Microsoft YaHei"/>
        <family val="0"/>
        <charset val="1"/>
      </rPr>
      <t xml:space="preserve">) ——</t>
    </r>
  </si>
  <si>
    <t xml:space="preserve">当前情景</t>
  </si>
  <si>
    <r>
      <rPr>
        <b val="true"/>
        <sz val="10"/>
        <color rgb="FF000000"/>
        <rFont val="Arial Unicode MS"/>
        <family val="2"/>
      </rPr>
      <t xml:space="preserve">模型</t>
    </r>
    <r>
      <rPr>
        <b val="true"/>
        <sz val="10"/>
        <color rgb="FF000000"/>
        <rFont val="Microsoft YaHei"/>
        <family val="0"/>
        <charset val="1"/>
      </rPr>
      <t xml:space="preserve">2026E</t>
    </r>
    <r>
      <rPr>
        <b val="true"/>
        <sz val="10"/>
        <color rgb="FF000000"/>
        <rFont val="Arial Unicode MS"/>
        <family val="2"/>
      </rPr>
      <t xml:space="preserve">营收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百万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</si>
  <si>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模型</t>
    </r>
    <r>
      <rPr>
        <b val="true"/>
        <sz val="10"/>
        <color rgb="FF000000"/>
        <rFont val="Microsoft YaHei"/>
        <family val="0"/>
        <charset val="1"/>
      </rPr>
      <t xml:space="preserve">2026E</t>
    </r>
    <r>
      <rPr>
        <b val="true"/>
        <sz val="10"/>
        <color rgb="FF000000"/>
        <rFont val="Arial Unicode MS"/>
        <family val="2"/>
      </rPr>
      <t xml:space="preserve">归母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百万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</si>
  <si>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WACC </t>
    </r>
    <r>
      <rPr>
        <b val="true"/>
        <sz val="10"/>
        <color rgb="FF000000"/>
        <rFont val="Arial Unicode MS"/>
        <family val="2"/>
      </rPr>
      <t xml:space="preserve">计算值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采用值</t>
    </r>
  </si>
  <si>
    <r>
      <rPr>
        <b val="true"/>
        <sz val="10"/>
        <color rgb="FF000000"/>
        <rFont val="Microsoft YaHei"/>
        <family val="0"/>
        <charset val="1"/>
      </rPr>
      <t xml:space="preserve">DCF</t>
    </r>
    <r>
      <rPr>
        <b val="true"/>
        <sz val="10"/>
        <color rgb="FF000000"/>
        <rFont val="Arial Unicode MS"/>
        <family val="2"/>
      </rPr>
      <t xml:space="preserve">每股价值</t>
    </r>
    <r>
      <rPr>
        <b val="true"/>
        <sz val="10"/>
        <color rgb="FF000000"/>
        <rFont val="Microsoft YaHei"/>
        <family val="0"/>
        <charset val="1"/>
      </rPr>
      <t xml:space="preserve">-</t>
    </r>
    <r>
      <rPr>
        <b val="true"/>
        <sz val="10"/>
        <color rgb="FF000000"/>
        <rFont val="Arial Unicode MS"/>
        <family val="2"/>
      </rPr>
      <t xml:space="preserve">完整主模型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美元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</si>
  <si>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DCF</t>
    </r>
    <r>
      <rPr>
        <b val="true"/>
        <sz val="10"/>
        <color rgb="FF000000"/>
        <rFont val="Arial Unicode MS"/>
        <family val="2"/>
      </rPr>
      <t xml:space="preserve">每股</t>
    </r>
    <r>
      <rPr>
        <b val="true"/>
        <sz val="10"/>
        <color rgb="FF000000"/>
        <rFont val="Microsoft YaHei"/>
        <family val="0"/>
        <charset val="1"/>
      </rPr>
      <t xml:space="preserve">-</t>
    </r>
    <r>
      <rPr>
        <b val="true"/>
        <sz val="10"/>
        <color rgb="FF000000"/>
        <rFont val="Arial Unicode MS"/>
        <family val="2"/>
      </rPr>
      <t xml:space="preserve">熊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基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牛同引擎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美元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</si>
  <si>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相对估值区间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美元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</si>
  <si>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综合参考区间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美元</t>
    </r>
    <r>
      <rPr>
        <b val="true"/>
        <sz val="10"/>
        <color rgb="FF000000"/>
        <rFont val="Microsoft YaHei"/>
        <family val="0"/>
        <charset val="1"/>
      </rPr>
      <t xml:space="preserve">, Summary</t>
    </r>
    <r>
      <rPr>
        <b val="true"/>
        <sz val="10"/>
        <color rgb="FF000000"/>
        <rFont val="Arial Unicode MS"/>
        <family val="2"/>
      </rPr>
      <t xml:space="preserve">页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</si>
  <si>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Checks</t>
    </r>
    <r>
      <rPr>
        <b val="true"/>
        <sz val="10"/>
        <color rgb="FF000000"/>
        <rFont val="Arial Unicode MS"/>
        <family val="2"/>
      </rPr>
      <t xml:space="preserve">校验</t>
    </r>
  </si>
  <si>
    <r>
      <rPr>
        <b val="true"/>
        <sz val="12"/>
        <color rgb="FF000000"/>
        <rFont val="Arial Unicode MS"/>
        <family val="2"/>
      </rPr>
      <t xml:space="preserve">—— 关键建模处理 </t>
    </r>
    <r>
      <rPr>
        <b val="true"/>
        <sz val="12"/>
        <color rgb="FF000000"/>
        <rFont val="Microsoft YaHei"/>
        <family val="0"/>
        <charset val="1"/>
      </rPr>
      <t xml:space="preserve">(</t>
    </r>
    <r>
      <rPr>
        <b val="true"/>
        <sz val="12"/>
        <color rgb="FF000000"/>
        <rFont val="Arial Unicode MS"/>
        <family val="2"/>
      </rPr>
      <t xml:space="preserve">分析师注记</t>
    </r>
    <r>
      <rPr>
        <b val="true"/>
        <sz val="12"/>
        <color rgb="FF000000"/>
        <rFont val="Microsoft YaHei"/>
        <family val="0"/>
        <charset val="1"/>
      </rPr>
      <t xml:space="preserve">) ——</t>
    </r>
  </si>
  <si>
    <r>
      <rPr>
        <sz val="10"/>
        <color rgb="FF7F7F7F"/>
        <rFont val="Microsoft YaHei"/>
        <family val="0"/>
        <charset val="1"/>
      </rPr>
      <t xml:space="preserve">1. FIN</t>
    </r>
    <r>
      <rPr>
        <sz val="10"/>
        <color rgb="FF7F7F7F"/>
        <rFont val="Arial Unicode MS"/>
        <family val="2"/>
      </rPr>
      <t xml:space="preserve">页债务调度</t>
    </r>
    <r>
      <rPr>
        <sz val="10"/>
        <color rgb="FF7F7F7F"/>
        <rFont val="Microsoft YaHei"/>
        <family val="0"/>
        <charset val="1"/>
      </rPr>
      <t xml:space="preserve">: </t>
    </r>
    <r>
      <rPr>
        <sz val="10"/>
        <color rgb="FF7F7F7F"/>
        <rFont val="Arial Unicode MS"/>
        <family val="2"/>
      </rPr>
      <t xml:space="preserve">资金缺口</t>
    </r>
    <r>
      <rPr>
        <sz val="10"/>
        <color rgb="FF7F7F7F"/>
        <rFont val="Microsoft YaHei"/>
        <family val="0"/>
        <charset val="1"/>
      </rPr>
      <t xml:space="preserve">=MAX(0,</t>
    </r>
    <r>
      <rPr>
        <sz val="10"/>
        <color rgb="FF7F7F7F"/>
        <rFont val="Arial Unicode MS"/>
        <family val="2"/>
      </rPr>
      <t xml:space="preserve">期初现金</t>
    </r>
    <r>
      <rPr>
        <sz val="10"/>
        <color rgb="FF7F7F7F"/>
        <rFont val="Microsoft YaHei"/>
        <family val="0"/>
        <charset val="1"/>
      </rPr>
      <t xml:space="preserve">+</t>
    </r>
    <r>
      <rPr>
        <sz val="10"/>
        <color rgb="FF7F7F7F"/>
        <rFont val="Arial Unicode MS"/>
        <family val="2"/>
      </rPr>
      <t xml:space="preserve">经营</t>
    </r>
    <r>
      <rPr>
        <sz val="10"/>
        <color rgb="FF7F7F7F"/>
        <rFont val="Microsoft YaHei"/>
        <family val="0"/>
        <charset val="1"/>
      </rPr>
      <t xml:space="preserve">CF+</t>
    </r>
    <r>
      <rPr>
        <sz val="10"/>
        <color rgb="FF7F7F7F"/>
        <rFont val="Arial Unicode MS"/>
        <family val="2"/>
      </rPr>
      <t xml:space="preserve">投资</t>
    </r>
    <r>
      <rPr>
        <sz val="10"/>
        <color rgb="FF7F7F7F"/>
        <rFont val="Microsoft YaHei"/>
        <family val="0"/>
        <charset val="1"/>
      </rPr>
      <t xml:space="preserve">CF+</t>
    </r>
    <r>
      <rPr>
        <sz val="10"/>
        <color rgb="FF7F7F7F"/>
        <rFont val="Arial Unicode MS"/>
        <family val="2"/>
      </rPr>
      <t xml:space="preserve">计划分红</t>
    </r>
    <r>
      <rPr>
        <sz val="10"/>
        <color rgb="FF7F7F7F"/>
        <rFont val="Microsoft YaHei"/>
        <family val="0"/>
        <charset val="1"/>
      </rPr>
      <t xml:space="preserve">+</t>
    </r>
    <r>
      <rPr>
        <sz val="10"/>
        <color rgb="FF7F7F7F"/>
        <rFont val="Arial Unicode MS"/>
        <family val="2"/>
      </rPr>
      <t xml:space="preserve">计划还款</t>
    </r>
    <r>
      <rPr>
        <sz val="10"/>
        <color rgb="FF7F7F7F"/>
        <rFont val="Microsoft YaHei"/>
        <family val="0"/>
        <charset val="1"/>
      </rPr>
      <t xml:space="preserve">+</t>
    </r>
    <r>
      <rPr>
        <sz val="10"/>
        <color rgb="FF7F7F7F"/>
        <rFont val="Arial Unicode MS"/>
        <family val="2"/>
      </rPr>
      <t xml:space="preserve">利息</t>
    </r>
    <r>
      <rPr>
        <sz val="10"/>
        <color rgb="FF7F7F7F"/>
        <rFont val="Microsoft YaHei"/>
        <family val="0"/>
        <charset val="1"/>
      </rPr>
      <t xml:space="preserve">-</t>
    </r>
    <r>
      <rPr>
        <sz val="10"/>
        <color rgb="FF7F7F7F"/>
        <rFont val="Arial Unicode MS"/>
        <family val="2"/>
      </rPr>
      <t xml:space="preserve">最低现金</t>
    </r>
    <r>
      <rPr>
        <sz val="10"/>
        <color rgb="FF7F7F7F"/>
        <rFont val="Microsoft YaHei"/>
        <family val="0"/>
        <charset val="1"/>
      </rPr>
      <t xml:space="preserve">)→revolver</t>
    </r>
    <r>
      <rPr>
        <sz val="10"/>
        <color rgb="FF7F7F7F"/>
        <rFont val="Arial Unicode MS"/>
        <family val="2"/>
      </rPr>
      <t xml:space="preserve">新增借款</t>
    </r>
    <r>
      <rPr>
        <sz val="10"/>
        <color rgb="FF7F7F7F"/>
        <rFont val="Microsoft YaHei"/>
        <family val="0"/>
        <charset val="1"/>
      </rPr>
      <t xml:space="preserve">; </t>
    </r>
    <r>
      <rPr>
        <sz val="10"/>
        <color rgb="FF7F7F7F"/>
        <rFont val="Arial Unicode MS"/>
        <family val="2"/>
      </rPr>
      <t xml:space="preserve">超额现金先</t>
    </r>
    <r>
      <rPr>
        <sz val="10"/>
        <color rgb="FF7F7F7F"/>
        <rFont val="Microsoft YaHei"/>
        <family val="0"/>
        <charset val="1"/>
      </rPr>
      <t xml:space="preserve">sweep</t>
    </r>
    <r>
      <rPr>
        <sz val="10"/>
        <color rgb="FF7F7F7F"/>
        <rFont val="Arial Unicode MS"/>
        <family val="2"/>
      </rPr>
      <t xml:space="preserve">偿还短借</t>
    </r>
    <r>
      <rPr>
        <sz val="10"/>
        <color rgb="FF7F7F7F"/>
        <rFont val="Microsoft YaHei"/>
        <family val="0"/>
        <charset val="1"/>
      </rPr>
      <t xml:space="preserve">/</t>
    </r>
    <r>
      <rPr>
        <sz val="10"/>
        <color rgb="FF7F7F7F"/>
        <rFont val="Arial Unicode MS"/>
        <family val="2"/>
      </rPr>
      <t xml:space="preserve">长借</t>
    </r>
    <r>
      <rPr>
        <sz val="10"/>
        <color rgb="FF7F7F7F"/>
        <rFont val="Microsoft YaHei"/>
        <family val="0"/>
        <charset val="1"/>
      </rPr>
      <t xml:space="preserve">, </t>
    </r>
    <r>
      <rPr>
        <sz val="10"/>
        <color rgb="FF7F7F7F"/>
        <rFont val="Arial Unicode MS"/>
        <family val="2"/>
      </rPr>
      <t xml:space="preserve">债务清零后溢出购买理财</t>
    </r>
    <r>
      <rPr>
        <sz val="10"/>
        <color rgb="FF7F7F7F"/>
        <rFont val="Microsoft YaHei"/>
        <family val="0"/>
        <charset val="1"/>
      </rPr>
      <t xml:space="preserve">(</t>
    </r>
    <r>
      <rPr>
        <sz val="10"/>
        <color rgb="FF7F7F7F"/>
        <rFont val="Arial Unicode MS"/>
        <family val="2"/>
      </rPr>
      <t xml:space="preserve">交易性金融资产</t>
    </r>
    <r>
      <rPr>
        <sz val="10"/>
        <color rgb="FF7F7F7F"/>
        <rFont val="Microsoft YaHei"/>
        <family val="0"/>
        <charset val="1"/>
      </rPr>
      <t xml:space="preserve">); </t>
    </r>
    <r>
      <rPr>
        <sz val="10"/>
        <color rgb="FF7F7F7F"/>
        <rFont val="Arial Unicode MS"/>
        <family val="2"/>
      </rPr>
      <t xml:space="preserve">货币资金</t>
    </r>
    <r>
      <rPr>
        <sz val="10"/>
        <color rgb="FF7F7F7F"/>
        <rFont val="Microsoft YaHei"/>
        <family val="0"/>
        <charset val="1"/>
      </rPr>
      <t xml:space="preserve">=</t>
    </r>
    <r>
      <rPr>
        <sz val="10"/>
        <color rgb="FF7F7F7F"/>
        <rFont val="Arial Unicode MS"/>
        <family val="2"/>
      </rPr>
      <t xml:space="preserve">最低现金</t>
    </r>
    <r>
      <rPr>
        <sz val="10"/>
        <color rgb="FF7F7F7F"/>
        <rFont val="Microsoft YaHei"/>
        <family val="0"/>
        <charset val="1"/>
      </rPr>
      <t xml:space="preserve">(</t>
    </r>
    <r>
      <rPr>
        <sz val="10"/>
        <color rgb="FF7F7F7F"/>
        <rFont val="Arial Unicode MS"/>
        <family val="2"/>
      </rPr>
      <t xml:space="preserve">收入</t>
    </r>
    <r>
      <rPr>
        <sz val="10"/>
        <color rgb="FF7F7F7F"/>
        <rFont val="Microsoft YaHei"/>
        <family val="0"/>
        <charset val="1"/>
      </rPr>
      <t xml:space="preserve">×60%), </t>
    </r>
    <r>
      <rPr>
        <sz val="10"/>
        <color rgb="FF7F7F7F"/>
        <rFont val="Arial Unicode MS"/>
        <family val="2"/>
      </rPr>
      <t xml:space="preserve">杜绝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高现金</t>
    </r>
    <r>
      <rPr>
        <sz val="10"/>
        <color rgb="FF7F7F7F"/>
        <rFont val="Microsoft YaHei"/>
        <family val="0"/>
        <charset val="1"/>
      </rPr>
      <t xml:space="preserve">+</t>
    </r>
    <r>
      <rPr>
        <sz val="10"/>
        <color rgb="FF7F7F7F"/>
        <rFont val="Arial Unicode MS"/>
        <family val="2"/>
      </rPr>
      <t xml:space="preserve">高借款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并存</t>
    </r>
    <r>
      <rPr>
        <sz val="10"/>
        <color rgb="FF7F7F7F"/>
        <rFont val="Microsoft YaHei"/>
        <family val="0"/>
        <charset val="1"/>
      </rPr>
      <t xml:space="preserve">;</t>
    </r>
  </si>
  <si>
    <r>
      <rPr>
        <sz val="10"/>
        <color rgb="FF7F7F7F"/>
        <rFont val="Microsoft YaHei"/>
        <family val="0"/>
        <charset val="1"/>
      </rPr>
      <t xml:space="preserve">2. </t>
    </r>
    <r>
      <rPr>
        <sz val="10"/>
        <color rgb="FF7F7F7F"/>
        <rFont val="Arial Unicode MS"/>
        <family val="2"/>
      </rPr>
      <t xml:space="preserve">利息</t>
    </r>
    <r>
      <rPr>
        <sz val="10"/>
        <color rgb="FF7F7F7F"/>
        <rFont val="Microsoft YaHei"/>
        <family val="0"/>
        <charset val="1"/>
      </rPr>
      <t xml:space="preserve">=</t>
    </r>
    <r>
      <rPr>
        <sz val="10"/>
        <color rgb="FF7F7F7F"/>
        <rFont val="Arial Unicode MS"/>
        <family val="2"/>
      </rPr>
      <t xml:space="preserve">四档债务各自</t>
    </r>
    <r>
      <rPr>
        <sz val="10"/>
        <color rgb="FF7F7F7F"/>
        <rFont val="Microsoft YaHei"/>
        <family val="0"/>
        <charset val="1"/>
      </rPr>
      <t xml:space="preserve">(</t>
    </r>
    <r>
      <rPr>
        <sz val="10"/>
        <color rgb="FF7F7F7F"/>
        <rFont val="Arial Unicode MS"/>
        <family val="2"/>
      </rPr>
      <t xml:space="preserve">期初</t>
    </r>
    <r>
      <rPr>
        <sz val="10"/>
        <color rgb="FF7F7F7F"/>
        <rFont val="Microsoft YaHei"/>
        <family val="0"/>
        <charset val="1"/>
      </rPr>
      <t xml:space="preserve">+</t>
    </r>
    <r>
      <rPr>
        <sz val="10"/>
        <color rgb="FF7F7F7F"/>
        <rFont val="Arial Unicode MS"/>
        <family val="2"/>
      </rPr>
      <t xml:space="preserve">期末</t>
    </r>
    <r>
      <rPr>
        <sz val="10"/>
        <color rgb="FF7F7F7F"/>
        <rFont val="Microsoft YaHei"/>
        <family val="0"/>
        <charset val="1"/>
      </rPr>
      <t xml:space="preserve">)/2</t>
    </r>
    <r>
      <rPr>
        <sz val="10"/>
        <color rgb="FF7F7F7F"/>
        <rFont val="Arial Unicode MS"/>
        <family val="2"/>
      </rPr>
      <t xml:space="preserve">平均余额</t>
    </r>
    <r>
      <rPr>
        <sz val="10"/>
        <color rgb="FF7F7F7F"/>
        <rFont val="Microsoft YaHei"/>
        <family val="0"/>
        <charset val="1"/>
      </rPr>
      <t xml:space="preserve">×</t>
    </r>
    <r>
      <rPr>
        <sz val="10"/>
        <color rgb="FF7F7F7F"/>
        <rFont val="Arial Unicode MS"/>
        <family val="2"/>
      </rPr>
      <t xml:space="preserve">分档利率</t>
    </r>
    <r>
      <rPr>
        <sz val="10"/>
        <color rgb="FF7F7F7F"/>
        <rFont val="Microsoft YaHei"/>
        <family val="0"/>
        <charset val="1"/>
      </rPr>
      <t xml:space="preserve">; </t>
    </r>
    <r>
      <rPr>
        <sz val="10"/>
        <color rgb="FF7F7F7F"/>
        <rFont val="Arial Unicode MS"/>
        <family val="2"/>
      </rPr>
      <t xml:space="preserve">该循环依赖已在</t>
    </r>
    <r>
      <rPr>
        <sz val="10"/>
        <color rgb="FF7F7F7F"/>
        <rFont val="Microsoft YaHei"/>
        <family val="0"/>
        <charset val="1"/>
      </rPr>
      <t xml:space="preserve">FIN</t>
    </r>
    <r>
      <rPr>
        <sz val="10"/>
        <color rgb="FF7F7F7F"/>
        <rFont val="Arial Unicode MS"/>
        <family val="2"/>
      </rPr>
      <t xml:space="preserve">页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迭代展开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区表内展开</t>
    </r>
    <r>
      <rPr>
        <sz val="10"/>
        <color rgb="FF7F7F7F"/>
        <rFont val="Microsoft YaHei"/>
        <family val="0"/>
        <charset val="1"/>
      </rPr>
      <t xml:space="preserve">4</t>
    </r>
    <r>
      <rPr>
        <sz val="10"/>
        <color rgb="FF7F7F7F"/>
        <rFont val="Arial Unicode MS"/>
        <family val="2"/>
      </rPr>
      <t xml:space="preserve">轮</t>
    </r>
    <r>
      <rPr>
        <sz val="10"/>
        <color rgb="FF7F7F7F"/>
        <rFont val="Microsoft YaHei"/>
        <family val="0"/>
        <charset val="1"/>
      </rPr>
      <t xml:space="preserve">(</t>
    </r>
    <r>
      <rPr>
        <sz val="10"/>
        <color rgb="FF7F7F7F"/>
        <rFont val="Arial Unicode MS"/>
        <family val="2"/>
      </rPr>
      <t xml:space="preserve">与外部不动点法同构且实测</t>
    </r>
    <r>
      <rPr>
        <sz val="10"/>
        <color rgb="FF7F7F7F"/>
        <rFont val="Microsoft YaHei"/>
        <family val="0"/>
        <charset val="1"/>
      </rPr>
      <t xml:space="preserve">6</t>
    </r>
    <r>
      <rPr>
        <sz val="10"/>
        <color rgb="FF7F7F7F"/>
        <rFont val="Arial Unicode MS"/>
        <family val="2"/>
      </rPr>
      <t xml:space="preserve">轮内收敛至</t>
    </r>
    <r>
      <rPr>
        <sz val="10"/>
        <color rgb="FF7F7F7F"/>
        <rFont val="Microsoft YaHei"/>
        <family val="0"/>
        <charset val="1"/>
      </rPr>
      <t xml:space="preserve">1e-8, 4</t>
    </r>
    <r>
      <rPr>
        <sz val="10"/>
        <color rgb="FF7F7F7F"/>
        <rFont val="Arial Unicode MS"/>
        <family val="2"/>
      </rPr>
      <t xml:space="preserve">轮充足</t>
    </r>
    <r>
      <rPr>
        <sz val="10"/>
        <color rgb="FF7F7F7F"/>
        <rFont val="Microsoft YaHei"/>
        <family val="0"/>
        <charset val="1"/>
      </rPr>
      <t xml:space="preserve">), </t>
    </r>
    <r>
      <rPr>
        <sz val="10"/>
        <color rgb="FF7F7F7F"/>
        <rFont val="Arial Unicode MS"/>
        <family val="2"/>
      </rPr>
      <t xml:space="preserve">末轮输出供</t>
    </r>
    <r>
      <rPr>
        <sz val="10"/>
        <color rgb="FF7F7F7F"/>
        <rFont val="Microsoft YaHei"/>
        <family val="0"/>
        <charset val="1"/>
      </rPr>
      <t xml:space="preserve">IS/CF/BS</t>
    </r>
    <r>
      <rPr>
        <sz val="10"/>
        <color rgb="FF7F7F7F"/>
        <rFont val="Arial Unicode MS"/>
        <family val="2"/>
      </rPr>
      <t xml:space="preserve">引用</t>
    </r>
    <r>
      <rPr>
        <sz val="10"/>
        <color rgb="FF7F7F7F"/>
        <rFont val="Microsoft YaHei"/>
        <family val="0"/>
        <charset val="1"/>
      </rPr>
      <t xml:space="preserve">; </t>
    </r>
    <r>
      <rPr>
        <sz val="10"/>
        <color rgb="FF7F7F7F"/>
        <rFont val="Arial Unicode MS"/>
        <family val="2"/>
      </rPr>
      <t xml:space="preserve">全簿无循环引用</t>
    </r>
    <r>
      <rPr>
        <sz val="10"/>
        <color rgb="FF7F7F7F"/>
        <rFont val="Microsoft YaHei"/>
        <family val="0"/>
        <charset val="1"/>
      </rPr>
      <t xml:space="preserve">, </t>
    </r>
    <r>
      <rPr>
        <sz val="10"/>
        <color rgb="FF7F7F7F"/>
        <rFont val="Arial Unicode MS"/>
        <family val="2"/>
      </rPr>
      <t xml:space="preserve">无需开启迭代计算</t>
    </r>
    <r>
      <rPr>
        <sz val="10"/>
        <color rgb="FF7F7F7F"/>
        <rFont val="Microsoft YaHei"/>
        <family val="0"/>
        <charset val="1"/>
      </rPr>
      <t xml:space="preserve">, LibreOffice headless</t>
    </r>
    <r>
      <rPr>
        <sz val="10"/>
        <color rgb="FF7F7F7F"/>
        <rFont val="Arial Unicode MS"/>
        <family val="2"/>
      </rPr>
      <t xml:space="preserve">可直接重算验收</t>
    </r>
    <r>
      <rPr>
        <sz val="10"/>
        <color rgb="FF7F7F7F"/>
        <rFont val="Microsoft YaHei"/>
        <family val="0"/>
        <charset val="1"/>
      </rPr>
      <t xml:space="preserve">;</t>
    </r>
  </si>
  <si>
    <r>
      <rPr>
        <sz val="10"/>
        <color rgb="FF7F7F7F"/>
        <rFont val="Microsoft YaHei"/>
        <family val="0"/>
        <charset val="1"/>
      </rPr>
      <t xml:space="preserve">3. BS</t>
    </r>
    <r>
      <rPr>
        <sz val="10"/>
        <color rgb="FF7F7F7F"/>
        <rFont val="Arial Unicode MS"/>
        <family val="2"/>
      </rPr>
      <t xml:space="preserve">配平项由货币资金改为</t>
    </r>
    <r>
      <rPr>
        <sz val="10"/>
        <color rgb="FF7F7F7F"/>
        <rFont val="Microsoft YaHei"/>
        <family val="0"/>
        <charset val="1"/>
      </rPr>
      <t xml:space="preserve">FIN</t>
    </r>
    <r>
      <rPr>
        <sz val="10"/>
        <color rgb="FF7F7F7F"/>
        <rFont val="Arial Unicode MS"/>
        <family val="2"/>
      </rPr>
      <t xml:space="preserve">页</t>
    </r>
    <r>
      <rPr>
        <sz val="10"/>
        <color rgb="FF7F7F7F"/>
        <rFont val="Microsoft YaHei"/>
        <family val="0"/>
        <charset val="1"/>
      </rPr>
      <t xml:space="preserve">revolver</t>
    </r>
    <r>
      <rPr>
        <sz val="10"/>
        <color rgb="FF7F7F7F"/>
        <rFont val="Arial Unicode MS"/>
        <family val="2"/>
      </rPr>
      <t xml:space="preserve">新增借款</t>
    </r>
    <r>
      <rPr>
        <sz val="10"/>
        <color rgb="FF7F7F7F"/>
        <rFont val="Microsoft YaHei"/>
        <family val="0"/>
        <charset val="1"/>
      </rPr>
      <t xml:space="preserve">/</t>
    </r>
    <r>
      <rPr>
        <sz val="10"/>
        <color rgb="FF7F7F7F"/>
        <rFont val="Arial Unicode MS"/>
        <family val="2"/>
      </rPr>
      <t xml:space="preserve">现金</t>
    </r>
    <r>
      <rPr>
        <sz val="10"/>
        <color rgb="FF7F7F7F"/>
        <rFont val="Microsoft YaHei"/>
        <family val="0"/>
        <charset val="1"/>
      </rPr>
      <t xml:space="preserve">sweep; </t>
    </r>
    <r>
      <rPr>
        <sz val="10"/>
        <color rgb="FF7F7F7F"/>
        <rFont val="Arial Unicode MS"/>
        <family val="2"/>
      </rPr>
      <t xml:space="preserve">历史尾差已并入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其他权益项目</t>
    </r>
    <r>
      <rPr>
        <sz val="10"/>
        <color rgb="FF7F7F7F"/>
        <rFont val="Microsoft YaHei"/>
        <family val="0"/>
        <charset val="1"/>
      </rPr>
      <t xml:space="preserve">(</t>
    </r>
    <r>
      <rPr>
        <sz val="10"/>
        <color rgb="FF7F7F7F"/>
        <rFont val="Arial Unicode MS"/>
        <family val="2"/>
      </rPr>
      <t xml:space="preserve">轧差</t>
    </r>
    <r>
      <rPr>
        <sz val="10"/>
        <color rgb="FF7F7F7F"/>
        <rFont val="Microsoft YaHei"/>
        <family val="0"/>
        <charset val="1"/>
      </rPr>
      <t xml:space="preserve">)"</t>
    </r>
    <r>
      <rPr>
        <sz val="10"/>
        <color rgb="FF7F7F7F"/>
        <rFont val="Arial Unicode MS"/>
        <family val="2"/>
      </rPr>
      <t xml:space="preserve">清零</t>
    </r>
    <r>
      <rPr>
        <sz val="10"/>
        <color rgb="FF7F7F7F"/>
        <rFont val="Microsoft YaHei"/>
        <family val="0"/>
        <charset val="1"/>
      </rPr>
      <t xml:space="preserve">, </t>
    </r>
    <r>
      <rPr>
        <sz val="10"/>
        <color rgb="FF7F7F7F"/>
        <rFont val="Arial Unicode MS"/>
        <family val="2"/>
      </rPr>
      <t xml:space="preserve">配平差额全期恒</t>
    </r>
    <r>
      <rPr>
        <sz val="10"/>
        <color rgb="FF7F7F7F"/>
        <rFont val="Microsoft YaHei"/>
        <family val="0"/>
        <charset val="1"/>
      </rPr>
      <t xml:space="preserve">=0(</t>
    </r>
    <r>
      <rPr>
        <sz val="10"/>
        <color rgb="FF7F7F7F"/>
        <rFont val="Arial Unicode MS"/>
        <family val="2"/>
      </rPr>
      <t xml:space="preserve">容差</t>
    </r>
    <r>
      <rPr>
        <sz val="10"/>
        <color rgb="FF7F7F7F"/>
        <rFont val="Microsoft YaHei"/>
        <family val="0"/>
        <charset val="1"/>
      </rPr>
      <t xml:space="preserve">0.01);</t>
    </r>
  </si>
  <si>
    <r>
      <rPr>
        <sz val="10"/>
        <color rgb="FF7F7F7F"/>
        <rFont val="Microsoft YaHei"/>
        <family val="0"/>
        <charset val="1"/>
      </rPr>
      <t xml:space="preserve">4. WACC</t>
    </r>
    <r>
      <rPr>
        <sz val="10"/>
        <color rgb="FF7F7F7F"/>
        <rFont val="Arial Unicode MS"/>
        <family val="2"/>
      </rPr>
      <t xml:space="preserve">做实</t>
    </r>
    <r>
      <rPr>
        <sz val="10"/>
        <color rgb="FF7F7F7F"/>
        <rFont val="Microsoft YaHei"/>
        <family val="0"/>
        <charset val="1"/>
      </rPr>
      <t xml:space="preserve">: </t>
    </r>
    <r>
      <rPr>
        <sz val="10"/>
        <color rgb="FF7F7F7F"/>
        <rFont val="Arial Unicode MS"/>
        <family val="2"/>
      </rPr>
      <t xml:space="preserve">可比公司</t>
    </r>
    <r>
      <rPr>
        <sz val="10"/>
        <color rgb="FF7F7F7F"/>
        <rFont val="Microsoft YaHei"/>
        <family val="0"/>
        <charset val="1"/>
      </rPr>
      <t xml:space="preserve">βl</t>
    </r>
    <r>
      <rPr>
        <sz val="10"/>
        <color rgb="FF7F7F7F"/>
        <rFont val="Arial Unicode MS"/>
        <family val="2"/>
      </rPr>
      <t xml:space="preserve">按各自</t>
    </r>
    <r>
      <rPr>
        <sz val="10"/>
        <color rgb="FF7F7F7F"/>
        <rFont val="Microsoft YaHei"/>
        <family val="0"/>
        <charset val="1"/>
      </rPr>
      <t xml:space="preserve">D/E</t>
    </r>
    <r>
      <rPr>
        <sz val="10"/>
        <color rgb="FF7F7F7F"/>
        <rFont val="Arial Unicode MS"/>
        <family val="2"/>
      </rPr>
      <t xml:space="preserve">与税率</t>
    </r>
    <r>
      <rPr>
        <sz val="10"/>
        <color rgb="FF7F7F7F"/>
        <rFont val="Microsoft YaHei"/>
        <family val="0"/>
        <charset val="1"/>
      </rPr>
      <t xml:space="preserve">unlever</t>
    </r>
    <r>
      <rPr>
        <sz val="10"/>
        <color rgb="FF7F7F7F"/>
        <rFont val="Arial Unicode MS"/>
        <family val="2"/>
      </rPr>
      <t xml:space="preserve">取中位数</t>
    </r>
    <r>
      <rPr>
        <sz val="10"/>
        <color rgb="FF7F7F7F"/>
        <rFont val="Microsoft YaHei"/>
        <family val="0"/>
        <charset val="1"/>
      </rPr>
      <t xml:space="preserve">(Relative_Val</t>
    </r>
    <r>
      <rPr>
        <sz val="10"/>
        <color rgb="FF7F7F7F"/>
        <rFont val="Arial Unicode MS"/>
        <family val="2"/>
      </rPr>
      <t xml:space="preserve">页</t>
    </r>
    <r>
      <rPr>
        <sz val="10"/>
        <color rgb="FF7F7F7F"/>
        <rFont val="Microsoft YaHei"/>
        <family val="0"/>
        <charset val="1"/>
      </rPr>
      <t xml:space="preserve">L-O</t>
    </r>
    <r>
      <rPr>
        <sz val="10"/>
        <color rgb="FF7F7F7F"/>
        <rFont val="Arial Unicode MS"/>
        <family val="2"/>
      </rPr>
      <t xml:space="preserve">列</t>
    </r>
    <r>
      <rPr>
        <sz val="10"/>
        <color rgb="FF7F7F7F"/>
        <rFont val="Microsoft YaHei"/>
        <family val="0"/>
        <charset val="1"/>
      </rPr>
      <t xml:space="preserve">), </t>
    </r>
    <r>
      <rPr>
        <sz val="10"/>
        <color rgb="FF7F7F7F"/>
        <rFont val="Arial Unicode MS"/>
        <family val="2"/>
      </rPr>
      <t xml:space="preserve">按公司市值口径目标结构</t>
    </r>
    <r>
      <rPr>
        <sz val="10"/>
        <color rgb="FF7F7F7F"/>
        <rFont val="Microsoft YaHei"/>
        <family val="0"/>
        <charset val="1"/>
      </rPr>
      <t xml:space="preserve">relever; Wd=</t>
    </r>
    <r>
      <rPr>
        <sz val="10"/>
        <color rgb="FF7F7F7F"/>
        <rFont val="Arial Unicode MS"/>
        <family val="2"/>
      </rPr>
      <t xml:space="preserve">最近年报末有息负债</t>
    </r>
    <r>
      <rPr>
        <sz val="10"/>
        <color rgb="FF7F7F7F"/>
        <rFont val="Microsoft YaHei"/>
        <family val="0"/>
        <charset val="1"/>
      </rPr>
      <t xml:space="preserve">/(</t>
    </r>
    <r>
      <rPr>
        <sz val="10"/>
        <color rgb="FF7F7F7F"/>
        <rFont val="Arial Unicode MS"/>
        <family val="2"/>
      </rPr>
      <t xml:space="preserve">有息负债</t>
    </r>
    <r>
      <rPr>
        <sz val="10"/>
        <color rgb="FF7F7F7F"/>
        <rFont val="Microsoft YaHei"/>
        <family val="0"/>
        <charset val="1"/>
      </rPr>
      <t xml:space="preserve">+</t>
    </r>
    <r>
      <rPr>
        <sz val="10"/>
        <color rgb="FF7F7F7F"/>
        <rFont val="Arial Unicode MS"/>
        <family val="2"/>
      </rPr>
      <t xml:space="preserve">总市值</t>
    </r>
    <r>
      <rPr>
        <sz val="10"/>
        <color rgb="FF7F7F7F"/>
        <rFont val="Microsoft YaHei"/>
        <family val="0"/>
        <charset val="1"/>
      </rPr>
      <t xml:space="preserve">); </t>
    </r>
    <r>
      <rPr>
        <sz val="10"/>
        <color rgb="FF7F7F7F"/>
        <rFont val="Arial Unicode MS"/>
        <family val="2"/>
      </rPr>
      <t xml:space="preserve">采用值</t>
    </r>
    <r>
      <rPr>
        <sz val="10"/>
        <color rgb="FF7F7F7F"/>
        <rFont val="Microsoft YaHei"/>
        <family val="0"/>
        <charset val="1"/>
      </rPr>
      <t xml:space="preserve">=IF(override="",</t>
    </r>
    <r>
      <rPr>
        <sz val="10"/>
        <color rgb="FF7F7F7F"/>
        <rFont val="Arial Unicode MS"/>
        <family val="2"/>
      </rPr>
      <t xml:space="preserve">计算值</t>
    </r>
    <r>
      <rPr>
        <sz val="10"/>
        <color rgb="FF7F7F7F"/>
        <rFont val="Microsoft YaHei"/>
        <family val="0"/>
        <charset val="1"/>
      </rPr>
      <t xml:space="preserve">,override), </t>
    </r>
    <r>
      <rPr>
        <sz val="10"/>
        <color rgb="FF7F7F7F"/>
        <rFont val="Arial Unicode MS"/>
        <family val="2"/>
      </rPr>
      <t xml:space="preserve">下游全部引用采用值</t>
    </r>
    <r>
      <rPr>
        <sz val="10"/>
        <color rgb="FF7F7F7F"/>
        <rFont val="Microsoft YaHei"/>
        <family val="0"/>
        <charset val="1"/>
      </rPr>
      <t xml:space="preserve">;</t>
    </r>
  </si>
  <si>
    <r>
      <rPr>
        <sz val="10"/>
        <color rgb="FF7F7F7F"/>
        <rFont val="Microsoft YaHei"/>
        <family val="0"/>
        <charset val="1"/>
      </rPr>
      <t xml:space="preserve">5. DCF</t>
    </r>
    <r>
      <rPr>
        <sz val="10"/>
        <color rgb="FF7F7F7F"/>
        <rFont val="Arial Unicode MS"/>
        <family val="2"/>
      </rPr>
      <t xml:space="preserve">年中折现</t>
    </r>
    <r>
      <rPr>
        <sz val="10"/>
        <color rgb="FF7F7F7F"/>
        <rFont val="Microsoft YaHei"/>
        <family val="0"/>
        <charset val="1"/>
      </rPr>
      <t xml:space="preserve">: </t>
    </r>
    <r>
      <rPr>
        <sz val="10"/>
        <color rgb="FF7F7F7F"/>
        <rFont val="Arial Unicode MS"/>
        <family val="2"/>
      </rPr>
      <t xml:space="preserve">估值基准日</t>
    </r>
    <r>
      <rPr>
        <sz val="10"/>
        <color rgb="FF7F7F7F"/>
        <rFont val="Microsoft YaHei"/>
        <family val="0"/>
        <charset val="1"/>
      </rPr>
      <t xml:space="preserve">2026-08-17, t=0.5/1.5/.../4.5; EV→Equity</t>
    </r>
    <r>
      <rPr>
        <sz val="10"/>
        <color rgb="FF7F7F7F"/>
        <rFont val="Arial Unicode MS"/>
        <family val="2"/>
      </rPr>
      <t xml:space="preserve">桥含货币资金</t>
    </r>
    <r>
      <rPr>
        <sz val="10"/>
        <color rgb="FF7F7F7F"/>
        <rFont val="Microsoft YaHei"/>
        <family val="0"/>
        <charset val="1"/>
      </rPr>
      <t xml:space="preserve">/</t>
    </r>
    <r>
      <rPr>
        <sz val="10"/>
        <color rgb="FF7F7F7F"/>
        <rFont val="Arial Unicode MS"/>
        <family val="2"/>
      </rPr>
      <t xml:space="preserve">交易性金融资产</t>
    </r>
    <r>
      <rPr>
        <sz val="10"/>
        <color rgb="FF7F7F7F"/>
        <rFont val="Microsoft YaHei"/>
        <family val="0"/>
        <charset val="1"/>
      </rPr>
      <t xml:space="preserve">/</t>
    </r>
    <r>
      <rPr>
        <sz val="10"/>
        <color rgb="FF7F7F7F"/>
        <rFont val="Arial Unicode MS"/>
        <family val="2"/>
      </rPr>
      <t xml:space="preserve">其他权益工具投资</t>
    </r>
    <r>
      <rPr>
        <sz val="10"/>
        <color rgb="FF7F7F7F"/>
        <rFont val="Microsoft YaHei"/>
        <family val="0"/>
        <charset val="1"/>
      </rPr>
      <t xml:space="preserve">/</t>
    </r>
    <r>
      <rPr>
        <sz val="10"/>
        <color rgb="FF7F7F7F"/>
        <rFont val="Arial Unicode MS"/>
        <family val="2"/>
      </rPr>
      <t xml:space="preserve">有息负债</t>
    </r>
    <r>
      <rPr>
        <sz val="10"/>
        <color rgb="FF7F7F7F"/>
        <rFont val="Microsoft YaHei"/>
        <family val="0"/>
        <charset val="1"/>
      </rPr>
      <t xml:space="preserve">/</t>
    </r>
    <r>
      <rPr>
        <sz val="10"/>
        <color rgb="FF7F7F7F"/>
        <rFont val="Arial Unicode MS"/>
        <family val="2"/>
      </rPr>
      <t xml:space="preserve">少数股东权益</t>
    </r>
    <r>
      <rPr>
        <sz val="10"/>
        <color rgb="FF7F7F7F"/>
        <rFont val="Microsoft YaHei"/>
        <family val="0"/>
        <charset val="1"/>
      </rPr>
      <t xml:space="preserve">;</t>
    </r>
  </si>
  <si>
    <r>
      <rPr>
        <sz val="10"/>
        <color rgb="FF7F7F7F"/>
        <rFont val="Microsoft YaHei"/>
        <family val="0"/>
        <charset val="1"/>
      </rPr>
      <t xml:space="preserve">6. CF</t>
    </r>
    <r>
      <rPr>
        <sz val="10"/>
        <color rgb="FF7F7F7F"/>
        <rFont val="Arial Unicode MS"/>
        <family val="2"/>
      </rPr>
      <t xml:space="preserve">口径</t>
    </r>
    <r>
      <rPr>
        <sz val="10"/>
        <color rgb="FF7F7F7F"/>
        <rFont val="Microsoft YaHei"/>
        <family val="0"/>
        <charset val="1"/>
      </rPr>
      <t xml:space="preserve">: </t>
    </r>
    <r>
      <rPr>
        <sz val="10"/>
        <color rgb="FF7F7F7F"/>
        <rFont val="Arial Unicode MS"/>
        <family val="2"/>
      </rPr>
      <t xml:space="preserve">利息支出经营活动加回、筹资活动列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偿付利息</t>
    </r>
    <r>
      <rPr>
        <sz val="10"/>
        <color rgb="FF7F7F7F"/>
        <rFont val="Microsoft YaHei"/>
        <family val="0"/>
        <charset val="1"/>
      </rPr>
      <t xml:space="preserve">"; </t>
    </r>
    <r>
      <rPr>
        <sz val="10"/>
        <color rgb="FF7F7F7F"/>
        <rFont val="Arial Unicode MS"/>
        <family val="2"/>
      </rPr>
      <t xml:space="preserve">投资活动含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理财净变动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行</t>
    </r>
    <r>
      <rPr>
        <sz val="10"/>
        <color rgb="FF7F7F7F"/>
        <rFont val="Microsoft YaHei"/>
        <family val="0"/>
        <charset val="1"/>
      </rPr>
      <t xml:space="preserve">;</t>
    </r>
  </si>
  <si>
    <r>
      <rPr>
        <sz val="10"/>
        <color rgb="FF7F7F7F"/>
        <rFont val="Microsoft YaHei"/>
        <family val="0"/>
        <charset val="1"/>
      </rPr>
      <t xml:space="preserve">7. </t>
    </r>
    <r>
      <rPr>
        <sz val="10"/>
        <color rgb="FF7F7F7F"/>
        <rFont val="Arial Unicode MS"/>
        <family val="2"/>
      </rPr>
      <t xml:space="preserve">权益滚动</t>
    </r>
    <r>
      <rPr>
        <sz val="10"/>
        <color rgb="FF7F7F7F"/>
        <rFont val="Microsoft YaHei"/>
        <family val="0"/>
        <charset val="1"/>
      </rPr>
      <t xml:space="preserve">: Equity_Roll</t>
    </r>
    <r>
      <rPr>
        <sz val="10"/>
        <color rgb="FF7F7F7F"/>
        <rFont val="Arial Unicode MS"/>
        <family val="2"/>
      </rPr>
      <t xml:space="preserve">页逐项滚动</t>
    </r>
    <r>
      <rPr>
        <sz val="10"/>
        <color rgb="FF7F7F7F"/>
        <rFont val="Microsoft YaHei"/>
        <family val="0"/>
        <charset val="1"/>
      </rPr>
      <t xml:space="preserve">, </t>
    </r>
    <r>
      <rPr>
        <sz val="10"/>
        <color rgb="FF7F7F7F"/>
        <rFont val="Arial Unicode MS"/>
        <family val="2"/>
      </rPr>
      <t xml:space="preserve">盈余公积按归母计提</t>
    </r>
    <r>
      <rPr>
        <sz val="10"/>
        <color rgb="FF7F7F7F"/>
        <rFont val="Microsoft YaHei"/>
        <family val="0"/>
        <charset val="1"/>
      </rPr>
      <t xml:space="preserve">; </t>
    </r>
    <r>
      <rPr>
        <sz val="10"/>
        <color rgb="FF7F7F7F"/>
        <rFont val="Arial Unicode MS"/>
        <family val="2"/>
      </rPr>
      <t xml:space="preserve">稀释股数</t>
    </r>
    <r>
      <rPr>
        <sz val="10"/>
        <color rgb="FF7F7F7F"/>
        <rFont val="Microsoft YaHei"/>
        <family val="0"/>
        <charset val="1"/>
      </rPr>
      <t xml:space="preserve">=</t>
    </r>
    <r>
      <rPr>
        <sz val="10"/>
        <color rgb="FF7F7F7F"/>
        <rFont val="Arial Unicode MS"/>
        <family val="2"/>
      </rPr>
      <t xml:space="preserve">总股本</t>
    </r>
    <r>
      <rPr>
        <sz val="10"/>
        <color rgb="FF7F7F7F"/>
        <rFont val="Microsoft YaHei"/>
        <family val="0"/>
        <charset val="1"/>
      </rPr>
      <t xml:space="preserve">+</t>
    </r>
    <r>
      <rPr>
        <sz val="10"/>
        <color rgb="FF7F7F7F"/>
        <rFont val="Arial Unicode MS"/>
        <family val="2"/>
      </rPr>
      <t xml:space="preserve">稀释工具占位</t>
    </r>
    <r>
      <rPr>
        <sz val="10"/>
        <color rgb="FF7F7F7F"/>
        <rFont val="Microsoft YaHei"/>
        <family val="0"/>
        <charset val="1"/>
      </rPr>
      <t xml:space="preserve">; Summary</t>
    </r>
    <r>
      <rPr>
        <sz val="10"/>
        <color rgb="FF7F7F7F"/>
        <rFont val="Arial Unicode MS"/>
        <family val="2"/>
      </rPr>
      <t xml:space="preserve">页为</t>
    </r>
    <r>
      <rPr>
        <sz val="10"/>
        <color rgb="FF7F7F7F"/>
        <rFont val="Microsoft YaHei"/>
        <family val="0"/>
        <charset val="1"/>
      </rPr>
      <t xml:space="preserve">football field</t>
    </r>
    <r>
      <rPr>
        <sz val="10"/>
        <color rgb="FF7F7F7F"/>
        <rFont val="Arial Unicode MS"/>
        <family val="2"/>
      </rPr>
      <t xml:space="preserve">区间汇总</t>
    </r>
    <r>
      <rPr>
        <sz val="10"/>
        <color rgb="FF7F7F7F"/>
        <rFont val="Microsoft YaHei"/>
        <family val="0"/>
        <charset val="1"/>
      </rPr>
      <t xml:space="preserve">;</t>
    </r>
  </si>
  <si>
    <r>
      <rPr>
        <sz val="10"/>
        <color rgb="FF7F7F7F"/>
        <rFont val="Microsoft YaHei"/>
        <family val="0"/>
        <charset val="1"/>
      </rPr>
      <t xml:space="preserve">8. </t>
    </r>
    <r>
      <rPr>
        <sz val="10"/>
        <color rgb="FF7F7F7F"/>
        <rFont val="Arial Unicode MS"/>
        <family val="2"/>
      </rPr>
      <t xml:space="preserve">预测期资产减值</t>
    </r>
    <r>
      <rPr>
        <sz val="10"/>
        <color rgb="FF7F7F7F"/>
        <rFont val="Microsoft YaHei"/>
        <family val="0"/>
        <charset val="1"/>
      </rPr>
      <t xml:space="preserve">/</t>
    </r>
    <r>
      <rPr>
        <sz val="10"/>
        <color rgb="FF7F7F7F"/>
        <rFont val="Arial Unicode MS"/>
        <family val="2"/>
      </rPr>
      <t xml:space="preserve">投资收益等非经常项简化为固定小额</t>
    </r>
    <r>
      <rPr>
        <sz val="10"/>
        <color rgb="FF7F7F7F"/>
        <rFont val="Microsoft YaHei"/>
        <family val="0"/>
        <charset val="1"/>
      </rPr>
      <t xml:space="preserve">(Assumptions"</t>
    </r>
    <r>
      <rPr>
        <sz val="10"/>
        <color rgb="FF7F7F7F"/>
        <rFont val="Arial Unicode MS"/>
        <family val="2"/>
      </rPr>
      <t xml:space="preserve">其他经营损益</t>
    </r>
    <r>
      <rPr>
        <sz val="10"/>
        <color rgb="FF7F7F7F"/>
        <rFont val="Microsoft YaHei"/>
        <family val="0"/>
        <charset val="1"/>
      </rPr>
      <t xml:space="preserve">"), </t>
    </r>
    <r>
      <rPr>
        <sz val="10"/>
        <color rgb="FF7F7F7F"/>
        <rFont val="Arial Unicode MS"/>
        <family val="2"/>
      </rPr>
      <t xml:space="preserve">以保证三表严格配平</t>
    </r>
    <r>
      <rPr>
        <sz val="10"/>
        <color rgb="FF7F7F7F"/>
        <rFont val="Microsoft YaHei"/>
        <family val="0"/>
        <charset val="1"/>
      </rPr>
      <t xml:space="preserve">;</t>
    </r>
  </si>
  <si>
    <r>
      <rPr>
        <sz val="10"/>
        <color rgb="FF7F7F7F"/>
        <rFont val="Microsoft YaHei"/>
        <family val="0"/>
        <charset val="1"/>
      </rPr>
      <t xml:space="preserve">9. </t>
    </r>
    <r>
      <rPr>
        <sz val="10"/>
        <color rgb="FF7F7F7F"/>
        <rFont val="Arial Unicode MS"/>
        <family val="2"/>
      </rPr>
      <t xml:space="preserve">分产品历史收入</t>
    </r>
    <r>
      <rPr>
        <sz val="10"/>
        <color rgb="FF7F7F7F"/>
        <rFont val="Microsoft YaHei"/>
        <family val="0"/>
        <charset val="1"/>
      </rPr>
      <t xml:space="preserve">=</t>
    </r>
    <r>
      <rPr>
        <sz val="10"/>
        <color rgb="FF7F7F7F"/>
        <rFont val="Arial Unicode MS"/>
        <family val="2"/>
      </rPr>
      <t xml:space="preserve">产品占比</t>
    </r>
    <r>
      <rPr>
        <sz val="10"/>
        <color rgb="FF7F7F7F"/>
        <rFont val="Microsoft YaHei"/>
        <family val="0"/>
        <charset val="1"/>
      </rPr>
      <t xml:space="preserve">×</t>
    </r>
    <r>
      <rPr>
        <sz val="10"/>
        <color rgb="FF7F7F7F"/>
        <rFont val="Arial Unicode MS"/>
        <family val="2"/>
      </rPr>
      <t xml:space="preserve">总收入</t>
    </r>
    <r>
      <rPr>
        <sz val="10"/>
        <color rgb="FF7F7F7F"/>
        <rFont val="Microsoft YaHei"/>
        <family val="0"/>
        <charset val="1"/>
      </rPr>
      <t xml:space="preserve">; </t>
    </r>
    <r>
      <rPr>
        <sz val="10"/>
        <color rgb="FF7F7F7F"/>
        <rFont val="Arial Unicode MS"/>
        <family val="2"/>
      </rPr>
      <t xml:space="preserve">预测按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量</t>
    </r>
    <r>
      <rPr>
        <sz val="10"/>
        <color rgb="FF7F7F7F"/>
        <rFont val="Microsoft YaHei"/>
        <family val="0"/>
        <charset val="1"/>
      </rPr>
      <t xml:space="preserve">×</t>
    </r>
    <r>
      <rPr>
        <sz val="10"/>
        <color rgb="FF7F7F7F"/>
        <rFont val="Arial Unicode MS"/>
        <family val="2"/>
      </rPr>
      <t xml:space="preserve">价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驱动并受情景开关调整</t>
    </r>
    <r>
      <rPr>
        <sz val="10"/>
        <color rgb="FF7F7F7F"/>
        <rFont val="Microsoft YaHei"/>
        <family val="0"/>
        <charset val="1"/>
      </rPr>
      <t xml:space="preserve">; </t>
    </r>
    <r>
      <rPr>
        <sz val="10"/>
        <color rgb="FF7F7F7F"/>
        <rFont val="Arial Unicode MS"/>
        <family val="2"/>
      </rPr>
      <t xml:space="preserve">预测期</t>
    </r>
    <r>
      <rPr>
        <sz val="10"/>
        <color rgb="FF7F7F7F"/>
        <rFont val="Microsoft YaHei"/>
        <family val="0"/>
        <charset val="1"/>
      </rPr>
      <t xml:space="preserve">(2026E-2030E)</t>
    </r>
    <r>
      <rPr>
        <sz val="10"/>
        <color rgb="FF7F7F7F"/>
        <rFont val="Arial Unicode MS"/>
        <family val="2"/>
      </rPr>
      <t xml:space="preserve">所有单元格均为公式</t>
    </r>
    <r>
      <rPr>
        <sz val="10"/>
        <color rgb="FF7F7F7F"/>
        <rFont val="Microsoft YaHei"/>
        <family val="0"/>
        <charset val="1"/>
      </rPr>
      <t xml:space="preserve">, </t>
    </r>
    <r>
      <rPr>
        <sz val="10"/>
        <color rgb="FF7F7F7F"/>
        <rFont val="Arial Unicode MS"/>
        <family val="2"/>
      </rPr>
      <t xml:space="preserve">硬编码仅限历史实际值</t>
    </r>
    <r>
      <rPr>
        <sz val="10"/>
        <color rgb="FF7F7F7F"/>
        <rFont val="Microsoft YaHei"/>
        <family val="0"/>
        <charset val="1"/>
      </rPr>
      <t xml:space="preserve">(</t>
    </r>
    <r>
      <rPr>
        <sz val="10"/>
        <color rgb="FF7F7F7F"/>
        <rFont val="Arial Unicode MS"/>
        <family val="2"/>
      </rPr>
      <t xml:space="preserve">绿色</t>
    </r>
    <r>
      <rPr>
        <sz val="10"/>
        <color rgb="FF7F7F7F"/>
        <rFont val="Microsoft YaHei"/>
        <family val="0"/>
        <charset val="1"/>
      </rPr>
      <t xml:space="preserve">)</t>
    </r>
    <r>
      <rPr>
        <sz val="10"/>
        <color rgb="FF7F7F7F"/>
        <rFont val="Arial Unicode MS"/>
        <family val="2"/>
      </rPr>
      <t xml:space="preserve">与蓝色假设输入</t>
    </r>
    <r>
      <rPr>
        <sz val="10"/>
        <color rgb="FF7F7F7F"/>
        <rFont val="Microsoft YaHei"/>
        <family val="0"/>
        <charset val="1"/>
      </rPr>
      <t xml:space="preserve">;</t>
    </r>
  </si>
  <si>
    <t xml:space="preserve">—— 数据来源 ——</t>
  </si>
  <si>
    <r>
      <rPr>
        <sz val="9"/>
        <color rgb="FF1E7A1E"/>
        <rFont val="Arial Unicode MS"/>
        <family val="2"/>
      </rPr>
      <t xml:space="preserve">历史三表</t>
    </r>
    <r>
      <rPr>
        <sz val="9"/>
        <color rgb="FF1E7A1E"/>
        <rFont val="Microsoft YaHei"/>
        <family val="0"/>
        <charset val="1"/>
      </rPr>
      <t xml:space="preserve">: </t>
    </r>
    <r>
      <rPr>
        <sz val="9"/>
        <color rgb="FF1E7A1E"/>
        <rFont val="Arial Unicode MS"/>
        <family val="2"/>
      </rPr>
      <t xml:space="preserve">东方财富</t>
    </r>
    <r>
      <rPr>
        <sz val="9"/>
        <color rgb="FF1E7A1E"/>
        <rFont val="Microsoft YaHei"/>
        <family val="0"/>
        <charset val="1"/>
      </rPr>
      <t xml:space="preserve">F10 (2024A-2025A</t>
    </r>
    <r>
      <rPr>
        <sz val="9"/>
        <color rgb="FF1E7A1E"/>
        <rFont val="Arial Unicode MS"/>
        <family val="2"/>
      </rPr>
      <t xml:space="preserve">年报</t>
    </r>
    <r>
      <rPr>
        <sz val="9"/>
        <color rgb="FF1E7A1E"/>
        <rFont val="Microsoft YaHei"/>
        <family val="0"/>
        <charset val="1"/>
      </rPr>
      <t xml:space="preserve">); </t>
    </r>
    <r>
      <rPr>
        <sz val="9"/>
        <color rgb="FF1E7A1E"/>
        <rFont val="Arial Unicode MS"/>
        <family val="2"/>
      </rPr>
      <t xml:space="preserve">分产品结构</t>
    </r>
    <r>
      <rPr>
        <sz val="9"/>
        <color rgb="FF1E7A1E"/>
        <rFont val="Microsoft YaHei"/>
        <family val="0"/>
        <charset val="1"/>
      </rPr>
      <t xml:space="preserve">: </t>
    </r>
    <r>
      <rPr>
        <sz val="9"/>
        <color rgb="FF1E7A1E"/>
        <rFont val="Arial Unicode MS"/>
        <family val="2"/>
      </rPr>
      <t xml:space="preserve">东财</t>
    </r>
    <r>
      <rPr>
        <sz val="9"/>
        <color rgb="FF1E7A1E"/>
        <rFont val="Microsoft YaHei"/>
        <family val="0"/>
        <charset val="1"/>
      </rPr>
      <t xml:space="preserve">F10</t>
    </r>
    <r>
      <rPr>
        <sz val="9"/>
        <color rgb="FF1E7A1E"/>
        <rFont val="Arial Unicode MS"/>
        <family val="2"/>
      </rPr>
      <t xml:space="preserve">主营构成</t>
    </r>
    <r>
      <rPr>
        <sz val="9"/>
        <color rgb="FF1E7A1E"/>
        <rFont val="Microsoft YaHei"/>
        <family val="0"/>
        <charset val="1"/>
      </rPr>
      <t xml:space="preserve">/</t>
    </r>
    <r>
      <rPr>
        <sz val="9"/>
        <color rgb="FF1E7A1E"/>
        <rFont val="Arial Unicode MS"/>
        <family val="2"/>
      </rPr>
      <t xml:space="preserve">招股书</t>
    </r>
    <r>
      <rPr>
        <sz val="9"/>
        <color rgb="FF1E7A1E"/>
        <rFont val="Microsoft YaHei"/>
        <family val="0"/>
        <charset val="1"/>
      </rPr>
      <t xml:space="preserve">/</t>
    </r>
    <r>
      <rPr>
        <sz val="9"/>
        <color rgb="FF1E7A1E"/>
        <rFont val="Arial Unicode MS"/>
        <family val="2"/>
      </rPr>
      <t xml:space="preserve">券商深度报告</t>
    </r>
    <r>
      <rPr>
        <sz val="9"/>
        <color rgb="FF1E7A1E"/>
        <rFont val="Microsoft YaHei"/>
        <family val="0"/>
        <charset val="1"/>
      </rPr>
      <t xml:space="preserve">(</t>
    </r>
    <r>
      <rPr>
        <sz val="9"/>
        <color rgb="FF1E7A1E"/>
        <rFont val="Arial Unicode MS"/>
        <family val="2"/>
      </rPr>
      <t xml:space="preserve">以配置</t>
    </r>
    <r>
      <rPr>
        <sz val="9"/>
        <color rgb="FF1E7A1E"/>
        <rFont val="Microsoft YaHei"/>
        <family val="0"/>
        <charset val="1"/>
      </rPr>
      <t xml:space="preserve">"</t>
    </r>
    <r>
      <rPr>
        <sz val="9"/>
        <color rgb="FF1E7A1E"/>
        <rFont val="Arial Unicode MS"/>
        <family val="2"/>
      </rPr>
      <t xml:space="preserve">依据</t>
    </r>
    <r>
      <rPr>
        <sz val="9"/>
        <color rgb="FF1E7A1E"/>
        <rFont val="Microsoft YaHei"/>
        <family val="0"/>
        <charset val="1"/>
      </rPr>
      <t xml:space="preserve">"</t>
    </r>
    <r>
      <rPr>
        <sz val="9"/>
        <color rgb="FF1E7A1E"/>
        <rFont val="Arial Unicode MS"/>
        <family val="2"/>
      </rPr>
      <t xml:space="preserve">字段为准</t>
    </r>
    <r>
      <rPr>
        <sz val="9"/>
        <color rgb="FF1E7A1E"/>
        <rFont val="Microsoft YaHei"/>
        <family val="0"/>
        <charset val="1"/>
      </rPr>
      <t xml:space="preserve">);</t>
    </r>
  </si>
  <si>
    <r>
      <rPr>
        <sz val="9"/>
        <color rgb="FF1E7A1E"/>
        <rFont val="Arial Unicode MS"/>
        <family val="2"/>
      </rPr>
      <t xml:space="preserve">模型自动外推</t>
    </r>
    <r>
      <rPr>
        <sz val="9"/>
        <color rgb="FF1E7A1E"/>
        <rFont val="Microsoft YaHei"/>
        <family val="0"/>
        <charset val="1"/>
      </rPr>
      <t xml:space="preserve">: </t>
    </r>
    <r>
      <rPr>
        <sz val="9"/>
        <color rgb="FF1E7A1E"/>
        <rFont val="Arial Unicode MS"/>
        <family val="2"/>
      </rPr>
      <t xml:space="preserve">自动推导</t>
    </r>
    <r>
      <rPr>
        <sz val="9"/>
        <color rgb="FF1E7A1E"/>
        <rFont val="Microsoft YaHei"/>
        <family val="0"/>
        <charset val="1"/>
      </rPr>
      <t xml:space="preserve">(</t>
    </r>
    <r>
      <rPr>
        <sz val="9"/>
        <color rgb="FF1E7A1E"/>
        <rFont val="Arial Unicode MS"/>
        <family val="2"/>
      </rPr>
      <t xml:space="preserve">无一致预期输入</t>
    </r>
    <r>
      <rPr>
        <sz val="9"/>
        <color rgb="FF1E7A1E"/>
        <rFont val="Microsoft YaHei"/>
        <family val="0"/>
        <charset val="1"/>
      </rPr>
      <t xml:space="preserve">): </t>
    </r>
    <r>
      <rPr>
        <sz val="9"/>
        <color rgb="FF1E7A1E"/>
        <rFont val="Arial Unicode MS"/>
        <family val="2"/>
      </rPr>
      <t xml:space="preserve">最近年报收入</t>
    </r>
    <r>
      <rPr>
        <sz val="9"/>
        <color rgb="FF1E7A1E"/>
        <rFont val="Microsoft YaHei"/>
        <family val="0"/>
        <charset val="1"/>
      </rPr>
      <t xml:space="preserve">×(1+YoY+16.2%)</t>
    </r>
    <r>
      <rPr>
        <sz val="9"/>
        <color rgb="FF1E7A1E"/>
        <rFont val="Arial Unicode MS"/>
        <family val="2"/>
      </rPr>
      <t xml:space="preserve">退坡</t>
    </r>
    <r>
      <rPr>
        <sz val="9"/>
        <color rgb="FF1E7A1E"/>
        <rFont val="Microsoft YaHei"/>
        <family val="0"/>
        <charset val="1"/>
      </rPr>
      <t xml:space="preserve">; </t>
    </r>
    <r>
      <rPr>
        <sz val="9"/>
        <color rgb="FF1E7A1E"/>
        <rFont val="Arial Unicode MS"/>
        <family val="2"/>
      </rPr>
      <t xml:space="preserve">建议手工填入</t>
    </r>
    <r>
      <rPr>
        <sz val="9"/>
        <color rgb="FF1E7A1E"/>
        <rFont val="Microsoft YaHei"/>
        <family val="0"/>
        <charset val="1"/>
      </rPr>
      <t xml:space="preserve">; </t>
    </r>
    <r>
      <rPr>
        <sz val="9"/>
        <color rgb="FF1E7A1E"/>
        <rFont val="Arial Unicode MS"/>
        <family val="2"/>
      </rPr>
      <t xml:space="preserve">行情与可比</t>
    </r>
    <r>
      <rPr>
        <sz val="9"/>
        <color rgb="FF1E7A1E"/>
        <rFont val="Microsoft YaHei"/>
        <family val="0"/>
        <charset val="1"/>
      </rPr>
      <t xml:space="preserve">: </t>
    </r>
    <r>
      <rPr>
        <sz val="9"/>
        <color rgb="FF1E7A1E"/>
        <rFont val="Arial Unicode MS"/>
        <family val="2"/>
      </rPr>
      <t xml:space="preserve">腾讯行情</t>
    </r>
    <r>
      <rPr>
        <sz val="9"/>
        <color rgb="FF1E7A1E"/>
        <rFont val="Microsoft YaHei"/>
        <family val="0"/>
        <charset val="1"/>
      </rPr>
      <t xml:space="preserve">(2026-08-17);</t>
    </r>
  </si>
  <si>
    <r>
      <rPr>
        <sz val="9"/>
        <color rgb="FF1E7A1E"/>
        <rFont val="Arial Unicode MS"/>
        <family val="2"/>
      </rPr>
      <t xml:space="preserve">可比公司</t>
    </r>
    <r>
      <rPr>
        <sz val="9"/>
        <color rgb="FF1E7A1E"/>
        <rFont val="Microsoft YaHei"/>
        <family val="0"/>
        <charset val="1"/>
      </rPr>
      <t xml:space="preserve">βl/D/E: </t>
    </r>
    <r>
      <rPr>
        <sz val="9"/>
        <color rgb="FF1E7A1E"/>
        <rFont val="Arial Unicode MS"/>
        <family val="2"/>
      </rPr>
      <t xml:space="preserve">分析师输入</t>
    </r>
    <r>
      <rPr>
        <sz val="9"/>
        <color rgb="FF1E7A1E"/>
        <rFont val="Microsoft YaHei"/>
        <family val="0"/>
        <charset val="1"/>
      </rPr>
      <t xml:space="preserve">(</t>
    </r>
    <r>
      <rPr>
        <sz val="9"/>
        <color rgb="FF1E7A1E"/>
        <rFont val="Arial Unicode MS"/>
        <family val="2"/>
      </rPr>
      <t xml:space="preserve">参考行情终端</t>
    </r>
    <r>
      <rPr>
        <sz val="9"/>
        <color rgb="FF1E7A1E"/>
        <rFont val="Microsoft YaHei"/>
        <family val="0"/>
        <charset val="1"/>
      </rPr>
      <t xml:space="preserve">β</t>
    </r>
    <r>
      <rPr>
        <sz val="9"/>
        <color rgb="FF1E7A1E"/>
        <rFont val="Arial Unicode MS"/>
        <family val="2"/>
      </rPr>
      <t xml:space="preserve">区间与各公司最新年报杠杆</t>
    </r>
    <r>
      <rPr>
        <sz val="9"/>
        <color rgb="FF1E7A1E"/>
        <rFont val="Microsoft YaHei"/>
        <family val="0"/>
        <charset val="1"/>
      </rPr>
      <t xml:space="preserve">), </t>
    </r>
    <r>
      <rPr>
        <sz val="9"/>
        <color rgb="FF1E7A1E"/>
        <rFont val="Arial Unicode MS"/>
        <family val="2"/>
      </rPr>
      <t xml:space="preserve">可按终端数据更新</t>
    </r>
    <r>
      <rPr>
        <sz val="9"/>
        <color rgb="FF1E7A1E"/>
        <rFont val="Microsoft YaHei"/>
        <family val="0"/>
        <charset val="1"/>
      </rPr>
      <t xml:space="preserve">.</t>
    </r>
  </si>
  <si>
    <r>
      <rPr>
        <sz val="9"/>
        <color rgb="FF7F7F7F"/>
        <rFont val="Arial Unicode MS"/>
        <family val="2"/>
      </rPr>
      <t xml:space="preserve">免责声明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本模型仅为研究学习用途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所有预测基于公开信息与主观假设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不构成任何投资建议或证券买卖要约。历史数据虽经核对来源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仍可能存在口径差异或错误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预测存在重大不确定性。使用者应自行判断并承担风险。</t>
    </r>
  </si>
  <si>
    <r>
      <rPr>
        <b val="true"/>
        <sz val="13"/>
        <color rgb="FFFFFFFF"/>
        <rFont val="Arial Unicode MS"/>
        <family val="2"/>
      </rPr>
      <t xml:space="preserve">中芯国际 — </t>
    </r>
    <r>
      <rPr>
        <b val="true"/>
        <sz val="13"/>
        <color rgb="FFFFFFFF"/>
        <rFont val="Microsoft YaHei"/>
        <family val="0"/>
        <charset val="1"/>
      </rPr>
      <t xml:space="preserve">Summary </t>
    </r>
    <r>
      <rPr>
        <b val="true"/>
        <sz val="13"/>
        <color rgb="FFFFFFFF"/>
        <rFont val="Arial Unicode MS"/>
        <family val="2"/>
      </rPr>
      <t xml:space="preserve">估值结论汇总 </t>
    </r>
    <r>
      <rPr>
        <b val="true"/>
        <sz val="13"/>
        <color rgb="FFFFFFFF"/>
        <rFont val="Microsoft YaHei"/>
        <family val="0"/>
        <charset val="1"/>
      </rPr>
      <t xml:space="preserve">(Football Field)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</si>
  <si>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美元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股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熊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基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牛均为同一简化情景引擎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完整主模型单列桥接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自动外推不纳入经验证包络</t>
    </r>
  </si>
  <si>
    <t xml:space="preserve">估值方法</t>
  </si>
  <si>
    <t xml:space="preserve">口径</t>
  </si>
  <si>
    <r>
      <rPr>
        <b val="true"/>
        <sz val="10"/>
        <color rgb="FF000000"/>
        <rFont val="Arial Unicode MS"/>
        <family val="2"/>
      </rPr>
      <t xml:space="preserve">低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美元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</si>
  <si>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高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美元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</si>
  <si>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中点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美元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</si>
  <si>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中点</t>
    </r>
    <r>
      <rPr>
        <b val="true"/>
        <sz val="10"/>
        <color rgb="FF000000"/>
        <rFont val="Microsoft YaHei"/>
        <family val="0"/>
        <charset val="1"/>
      </rPr>
      <t xml:space="preserve">vs</t>
    </r>
    <r>
      <rPr>
        <b val="true"/>
        <sz val="10"/>
        <color rgb="FF000000"/>
        <rFont val="Arial Unicode MS"/>
        <family val="2"/>
      </rPr>
      <t xml:space="preserve">现价</t>
    </r>
  </si>
  <si>
    <t xml:space="preserve">备注</t>
  </si>
  <si>
    <r>
      <rPr>
        <b val="true"/>
        <sz val="10"/>
        <color rgb="FF000000"/>
        <rFont val="Microsoft YaHei"/>
        <family val="0"/>
        <charset val="1"/>
      </rPr>
      <t xml:space="preserve">DCF</t>
    </r>
    <r>
      <rPr>
        <b val="true"/>
        <sz val="10"/>
        <color rgb="FF000000"/>
        <rFont val="Arial Unicode MS"/>
        <family val="2"/>
      </rPr>
      <t xml:space="preserve">完整主模型 — 当前开关</t>
    </r>
  </si>
  <si>
    <r>
      <rPr>
        <sz val="9"/>
        <color rgb="FF7F7F7F"/>
        <rFont val="Arial Unicode MS"/>
        <family val="2"/>
      </rPr>
      <t xml:space="preserve">完整三表</t>
    </r>
    <r>
      <rPr>
        <sz val="9"/>
        <color rgb="FF7F7F7F"/>
        <rFont val="Microsoft YaHei"/>
        <family val="0"/>
        <charset val="1"/>
      </rPr>
      <t xml:space="preserve">/FIN</t>
    </r>
  </si>
  <si>
    <r>
      <rPr>
        <sz val="9"/>
        <color rgb="FF7F7F7F"/>
        <rFont val="Arial Unicode MS"/>
        <family val="2"/>
      </rPr>
      <t xml:space="preserve">完整</t>
    </r>
    <r>
      <rPr>
        <sz val="9"/>
        <color rgb="FF7F7F7F"/>
        <rFont val="Microsoft YaHei"/>
        <family val="0"/>
        <charset val="1"/>
      </rPr>
      <t xml:space="preserve">FCFF+Gordon</t>
    </r>
    <r>
      <rPr>
        <sz val="9"/>
        <color rgb="FF7F7F7F"/>
        <rFont val="Arial Unicode MS"/>
        <family val="2"/>
      </rPr>
      <t xml:space="preserve">终值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与简化基准的桥接见</t>
    </r>
    <r>
      <rPr>
        <sz val="9"/>
        <color rgb="FF7F7F7F"/>
        <rFont val="Microsoft YaHei"/>
        <family val="0"/>
        <charset val="1"/>
      </rPr>
      <t xml:space="preserve">Scenarios/Checks</t>
    </r>
  </si>
  <si>
    <r>
      <rPr>
        <b val="true"/>
        <sz val="10"/>
        <color rgb="FF000000"/>
        <rFont val="Microsoft YaHei"/>
        <family val="0"/>
        <charset val="1"/>
      </rPr>
      <t xml:space="preserve">DCF</t>
    </r>
    <r>
      <rPr>
        <b val="true"/>
        <sz val="10"/>
        <color rgb="FF000000"/>
        <rFont val="Arial Unicode MS"/>
        <family val="2"/>
      </rPr>
      <t xml:space="preserve">情景 — 熊市</t>
    </r>
  </si>
  <si>
    <t xml:space="preserve">同引擎简化法</t>
  </si>
  <si>
    <r>
      <rPr>
        <sz val="9"/>
        <color rgb="FF7F7F7F"/>
        <rFont val="Arial Unicode MS"/>
        <family val="2"/>
      </rPr>
      <t xml:space="preserve">分部增速</t>
    </r>
    <r>
      <rPr>
        <sz val="9"/>
        <color rgb="FF7F7F7F"/>
        <rFont val="Microsoft YaHei"/>
        <family val="0"/>
        <charset val="1"/>
      </rPr>
      <t xml:space="preserve">-15pct/</t>
    </r>
    <r>
      <rPr>
        <sz val="9"/>
        <color rgb="FF7F7F7F"/>
        <rFont val="Arial Unicode MS"/>
        <family val="2"/>
      </rPr>
      <t xml:space="preserve">净利率</t>
    </r>
    <r>
      <rPr>
        <sz val="9"/>
        <color rgb="FF7F7F7F"/>
        <rFont val="Microsoft YaHei"/>
        <family val="0"/>
        <charset val="1"/>
      </rPr>
      <t xml:space="preserve">-3pct</t>
    </r>
  </si>
  <si>
    <r>
      <rPr>
        <b val="true"/>
        <sz val="10"/>
        <color rgb="FF000000"/>
        <rFont val="Microsoft YaHei"/>
        <family val="0"/>
        <charset val="1"/>
      </rPr>
      <t xml:space="preserve">DCF</t>
    </r>
    <r>
      <rPr>
        <b val="true"/>
        <sz val="10"/>
        <color rgb="FF000000"/>
        <rFont val="Arial Unicode MS"/>
        <family val="2"/>
      </rPr>
      <t xml:space="preserve">情景 — 基准</t>
    </r>
  </si>
  <si>
    <r>
      <rPr>
        <sz val="9"/>
        <color rgb="FF7F7F7F"/>
        <rFont val="Arial Unicode MS"/>
        <family val="2"/>
      </rPr>
      <t xml:space="preserve">与熊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牛完全相同的简化收入、净利率、</t>
    </r>
    <r>
      <rPr>
        <sz val="9"/>
        <color rgb="FF7F7F7F"/>
        <rFont val="Microsoft YaHei"/>
        <family val="0"/>
        <charset val="1"/>
      </rPr>
      <t xml:space="preserve">FCFF</t>
    </r>
    <r>
      <rPr>
        <sz val="9"/>
        <color rgb="FF7F7F7F"/>
        <rFont val="Arial Unicode MS"/>
        <family val="2"/>
      </rPr>
      <t xml:space="preserve">及折现引擎</t>
    </r>
  </si>
  <si>
    <r>
      <rPr>
        <b val="true"/>
        <sz val="10"/>
        <color rgb="FF000000"/>
        <rFont val="Microsoft YaHei"/>
        <family val="0"/>
        <charset val="1"/>
      </rPr>
      <t xml:space="preserve">DCF</t>
    </r>
    <r>
      <rPr>
        <b val="true"/>
        <sz val="10"/>
        <color rgb="FF000000"/>
        <rFont val="Arial Unicode MS"/>
        <family val="2"/>
      </rPr>
      <t xml:space="preserve">情景 — 牛市</t>
    </r>
  </si>
  <si>
    <r>
      <rPr>
        <sz val="9"/>
        <color rgb="FF7F7F7F"/>
        <rFont val="Arial Unicode MS"/>
        <family val="2"/>
      </rPr>
      <t xml:space="preserve">分部增速</t>
    </r>
    <r>
      <rPr>
        <sz val="9"/>
        <color rgb="FF7F7F7F"/>
        <rFont val="Microsoft YaHei"/>
        <family val="0"/>
        <charset val="1"/>
      </rPr>
      <t xml:space="preserve">+10pct/</t>
    </r>
    <r>
      <rPr>
        <sz val="9"/>
        <color rgb="FF7F7F7F"/>
        <rFont val="Arial Unicode MS"/>
        <family val="2"/>
      </rPr>
      <t xml:space="preserve">净利率</t>
    </r>
    <r>
      <rPr>
        <sz val="9"/>
        <color rgb="FF7F7F7F"/>
        <rFont val="Microsoft YaHei"/>
        <family val="0"/>
        <charset val="1"/>
      </rPr>
      <t xml:space="preserve">+1.5pct</t>
    </r>
  </si>
  <si>
    <r>
      <rPr>
        <b val="true"/>
        <sz val="10"/>
        <color rgb="FF000000"/>
        <rFont val="Arial Unicode MS"/>
        <family val="2"/>
      </rPr>
      <t xml:space="preserve">相对估值 — 模型</t>
    </r>
    <r>
      <rPr>
        <b val="true"/>
        <sz val="10"/>
        <color rgb="FF000000"/>
        <rFont val="Microsoft YaHei"/>
        <family val="0"/>
        <charset val="1"/>
      </rPr>
      <t xml:space="preserve">2026E</t>
    </r>
    <r>
      <rPr>
        <b val="true"/>
        <sz val="10"/>
        <color rgb="FF000000"/>
        <rFont val="Arial Unicode MS"/>
        <family val="2"/>
      </rPr>
      <t xml:space="preserve">归母</t>
    </r>
  </si>
  <si>
    <r>
      <rPr>
        <sz val="9"/>
        <color rgb="FF7F7F7F"/>
        <rFont val="Microsoft YaHei"/>
        <family val="0"/>
        <charset val="1"/>
      </rPr>
      <t xml:space="preserve">PE 25x ~ </t>
    </r>
    <r>
      <rPr>
        <sz val="9"/>
        <color rgb="FF7F7F7F"/>
        <rFont val="Arial Unicode MS"/>
        <family val="2"/>
      </rPr>
      <t xml:space="preserve">可比中位</t>
    </r>
  </si>
  <si>
    <r>
      <rPr>
        <sz val="9"/>
        <color rgb="FF7F7F7F"/>
        <rFont val="Arial Unicode MS"/>
        <family val="2"/>
      </rPr>
      <t xml:space="preserve">模型基准</t>
    </r>
    <r>
      <rPr>
        <sz val="9"/>
        <color rgb="FF7F7F7F"/>
        <rFont val="Microsoft YaHei"/>
        <family val="0"/>
        <charset val="1"/>
      </rPr>
      <t xml:space="preserve">2026E</t>
    </r>
    <r>
      <rPr>
        <sz val="9"/>
        <color rgb="FF7F7F7F"/>
        <rFont val="Arial Unicode MS"/>
        <family val="2"/>
      </rPr>
      <t xml:space="preserve">归母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目标</t>
    </r>
    <r>
      <rPr>
        <sz val="9"/>
        <color rgb="FF7F7F7F"/>
        <rFont val="Microsoft YaHei"/>
        <family val="0"/>
        <charset val="1"/>
      </rPr>
      <t xml:space="preserve">PE</t>
    </r>
    <r>
      <rPr>
        <sz val="9"/>
        <color rgb="FF7F7F7F"/>
        <rFont val="Arial Unicode MS"/>
        <family val="2"/>
      </rPr>
      <t xml:space="preserve">带</t>
    </r>
  </si>
  <si>
    <r>
      <rPr>
        <b val="true"/>
        <sz val="10"/>
        <color rgb="FF000000"/>
        <rFont val="Arial Unicode MS"/>
        <family val="2"/>
      </rPr>
      <t xml:space="preserve">相对估值 — 模型自动外推</t>
    </r>
    <r>
      <rPr>
        <b val="true"/>
        <sz val="10"/>
        <color rgb="FF000000"/>
        <rFont val="Microsoft YaHei"/>
        <family val="0"/>
        <charset val="1"/>
      </rPr>
      <t xml:space="preserve">2026E</t>
    </r>
    <r>
      <rPr>
        <b val="true"/>
        <sz val="10"/>
        <color rgb="FF000000"/>
        <rFont val="Arial Unicode MS"/>
        <family val="2"/>
      </rPr>
      <t xml:space="preserve">归母</t>
    </r>
  </si>
  <si>
    <r>
      <rPr>
        <sz val="9"/>
        <color rgb="FF7F7F7F"/>
        <rFont val="Arial Unicode MS"/>
        <family val="2"/>
      </rPr>
      <t xml:space="preserve">模型自动外推</t>
    </r>
    <r>
      <rPr>
        <sz val="9"/>
        <color rgb="FF7F7F7F"/>
        <rFont val="Microsoft YaHei"/>
        <family val="0"/>
        <charset val="1"/>
      </rPr>
      <t xml:space="preserve">8.0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目标</t>
    </r>
    <r>
      <rPr>
        <sz val="9"/>
        <color rgb="FF7F7F7F"/>
        <rFont val="Microsoft YaHei"/>
        <family val="0"/>
        <charset val="1"/>
      </rPr>
      <t xml:space="preserve">PE</t>
    </r>
    <r>
      <rPr>
        <sz val="9"/>
        <color rgb="FF7F7F7F"/>
        <rFont val="Arial Unicode MS"/>
        <family val="2"/>
      </rPr>
      <t xml:space="preserve">带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仅展示不纳入包络</t>
    </r>
  </si>
  <si>
    <r>
      <rPr>
        <b val="true"/>
        <sz val="10"/>
        <color rgb="FF000000"/>
        <rFont val="Microsoft YaHei"/>
        <family val="0"/>
        <charset val="1"/>
      </rPr>
      <t xml:space="preserve">FCFE</t>
    </r>
    <r>
      <rPr>
        <b val="true"/>
        <sz val="10"/>
        <color rgb="FF000000"/>
        <rFont val="Arial Unicode MS"/>
        <family val="2"/>
      </rPr>
      <t xml:space="preserve">股权现金流 — 基准</t>
    </r>
  </si>
  <si>
    <r>
      <rPr>
        <sz val="9"/>
        <color rgb="FF7F7F7F"/>
        <rFont val="Microsoft YaHei"/>
        <family val="0"/>
        <charset val="1"/>
      </rPr>
      <t xml:space="preserve">Ke</t>
    </r>
    <r>
      <rPr>
        <sz val="9"/>
        <color rgb="FF7F7F7F"/>
        <rFont val="Arial Unicode MS"/>
        <family val="2"/>
      </rPr>
      <t xml:space="preserve">折现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股权口径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</si>
  <si>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FCFE=</t>
    </r>
    <r>
      <rPr>
        <sz val="9"/>
        <color rgb="FF7F7F7F"/>
        <rFont val="Arial Unicode MS"/>
        <family val="2"/>
      </rPr>
      <t xml:space="preserve">归母</t>
    </r>
    <r>
      <rPr>
        <sz val="9"/>
        <color rgb="FF7F7F7F"/>
        <rFont val="Microsoft YaHei"/>
        <family val="0"/>
        <charset val="1"/>
      </rPr>
      <t xml:space="preserve">+D&amp;A-ΔNWC-Capex+</t>
    </r>
    <r>
      <rPr>
        <sz val="9"/>
        <color rgb="FF7F7F7F"/>
        <rFont val="Arial Unicode MS"/>
        <family val="2"/>
      </rPr>
      <t xml:space="preserve">净新增借款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差异≥</t>
    </r>
    <r>
      <rPr>
        <sz val="9"/>
        <color rgb="FF7F7F7F"/>
        <rFont val="Microsoft YaHei"/>
        <family val="0"/>
        <charset val="1"/>
      </rPr>
      <t xml:space="preserve">30%</t>
    </r>
    <r>
      <rPr>
        <sz val="9"/>
        <color rgb="FF7F7F7F"/>
        <rFont val="Arial Unicode MS"/>
        <family val="2"/>
      </rPr>
      <t xml:space="preserve">触发下方控制警报</t>
    </r>
  </si>
  <si>
    <r>
      <rPr>
        <b val="true"/>
        <sz val="10"/>
        <color rgb="FF000000"/>
        <rFont val="Arial Unicode MS"/>
        <family val="2"/>
      </rPr>
      <t xml:space="preserve">现价 </t>
    </r>
    <r>
      <rPr>
        <b val="true"/>
        <sz val="10"/>
        <color rgb="FF000000"/>
        <rFont val="Microsoft YaHei"/>
        <family val="0"/>
        <charset val="1"/>
      </rPr>
      <t xml:space="preserve">(2026-08-17)</t>
    </r>
  </si>
  <si>
    <r>
      <rPr>
        <b val="true"/>
        <sz val="10"/>
        <color rgb="FF000000"/>
        <rFont val="Arial Unicode MS"/>
        <family val="2"/>
      </rPr>
      <t xml:space="preserve">综合参考区间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经验证方法包络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</si>
  <si>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仅纳入完整主模型、同引擎情景、模型相对估值、</t>
    </r>
    <r>
      <rPr>
        <sz val="9"/>
        <color rgb="FF7F7F7F"/>
        <rFont val="Microsoft YaHei"/>
        <family val="0"/>
        <charset val="1"/>
      </rPr>
      <t xml:space="preserve">FCFE</t>
    </r>
    <r>
      <rPr>
        <sz val="9"/>
        <color rgb="FF7F7F7F"/>
        <rFont val="Arial Unicode MS"/>
        <family val="2"/>
      </rPr>
      <t xml:space="preserve">及已验证外部一致预期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自动外推排除</t>
    </r>
  </si>
  <si>
    <r>
      <rPr>
        <b val="true"/>
        <sz val="10"/>
        <color rgb="FF1F3864"/>
        <rFont val="Arial Unicode MS"/>
        <family val="2"/>
      </rPr>
      <t xml:space="preserve">区间可视化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每个▮≈</t>
    </r>
    <r>
      <rPr>
        <b val="true"/>
        <sz val="10"/>
        <color rgb="FF1F3864"/>
        <rFont val="Microsoft YaHei"/>
        <family val="0"/>
        <charset val="1"/>
      </rPr>
      <t xml:space="preserve">10</t>
    </r>
    <r>
      <rPr>
        <b val="true"/>
        <sz val="10"/>
        <color rgb="FF1F3864"/>
        <rFont val="Arial Unicode MS"/>
        <family val="2"/>
      </rPr>
      <t xml:space="preserve">元</t>
    </r>
    <r>
      <rPr>
        <b val="true"/>
        <sz val="10"/>
        <color rgb="FF1F3864"/>
        <rFont val="Microsoft YaHei"/>
        <family val="0"/>
        <charset val="1"/>
      </rPr>
      <t xml:space="preserve">, </t>
    </r>
    <r>
      <rPr>
        <b val="true"/>
        <sz val="10"/>
        <color rgb="FF1F3864"/>
        <rFont val="Arial Unicode MS"/>
        <family val="2"/>
      </rPr>
      <t xml:space="preserve">起点</t>
    </r>
    <r>
      <rPr>
        <b val="true"/>
        <sz val="10"/>
        <color rgb="FF1F3864"/>
        <rFont val="Microsoft YaHei"/>
        <family val="0"/>
        <charset val="1"/>
      </rPr>
      <t xml:space="preserve">=</t>
    </r>
    <r>
      <rPr>
        <b val="true"/>
        <sz val="10"/>
        <color rgb="FF1F3864"/>
        <rFont val="Arial Unicode MS"/>
        <family val="2"/>
      </rPr>
      <t xml:space="preserve">区间低值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</si>
  <si>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t xml:space="preserve">方法</t>
  </si>
  <si>
    <r>
      <rPr>
        <b val="true"/>
        <sz val="10"/>
        <color rgb="FF000000"/>
        <rFont val="Arial Unicode MS"/>
        <family val="2"/>
      </rPr>
      <t xml:space="preserve">区间条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低→高</t>
    </r>
    <r>
      <rPr>
        <b val="true"/>
        <sz val="10"/>
        <color rgb="FF000000"/>
        <rFont val="Microsoft YaHei"/>
        <family val="0"/>
        <charset val="1"/>
      </rPr>
      <t xml:space="preserve">, </t>
    </r>
    <r>
      <rPr>
        <b val="true"/>
        <sz val="10"/>
        <color rgb="FF000000"/>
        <rFont val="Arial Unicode MS"/>
        <family val="2"/>
      </rPr>
      <t xml:space="preserve">括号为现价相对位置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</si>
  <si>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完整主模型 — 当前开关</t>
    </r>
  </si>
  <si>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情景 — 熊市</t>
    </r>
  </si>
  <si>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情景 — 基准</t>
    </r>
  </si>
  <si>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情景 — 牛市</t>
    </r>
  </si>
  <si>
    <r>
      <rPr>
        <sz val="9"/>
        <color rgb="FF7F7F7F"/>
        <rFont val="Arial Unicode MS"/>
        <family val="2"/>
      </rPr>
      <t xml:space="preserve">相对估值 — 模型</t>
    </r>
    <r>
      <rPr>
        <sz val="9"/>
        <color rgb="FF7F7F7F"/>
        <rFont val="Microsoft YaHei"/>
        <family val="0"/>
        <charset val="1"/>
      </rPr>
      <t xml:space="preserve">2026E</t>
    </r>
    <r>
      <rPr>
        <sz val="9"/>
        <color rgb="FF7F7F7F"/>
        <rFont val="Arial Unicode MS"/>
        <family val="2"/>
      </rPr>
      <t xml:space="preserve">归母</t>
    </r>
  </si>
  <si>
    <r>
      <rPr>
        <sz val="9"/>
        <color rgb="FF7F7F7F"/>
        <rFont val="Arial Unicode MS"/>
        <family val="2"/>
      </rPr>
      <t xml:space="preserve">相对估值 — 模型自动外推</t>
    </r>
    <r>
      <rPr>
        <sz val="9"/>
        <color rgb="FF7F7F7F"/>
        <rFont val="Microsoft YaHei"/>
        <family val="0"/>
        <charset val="1"/>
      </rPr>
      <t xml:space="preserve">2026E</t>
    </r>
    <r>
      <rPr>
        <sz val="9"/>
        <color rgb="FF7F7F7F"/>
        <rFont val="Arial Unicode MS"/>
        <family val="2"/>
      </rPr>
      <t xml:space="preserve">归母</t>
    </r>
  </si>
  <si>
    <r>
      <rPr>
        <sz val="9"/>
        <color rgb="FF7F7F7F"/>
        <rFont val="Microsoft YaHei"/>
        <family val="0"/>
        <charset val="1"/>
      </rPr>
      <t xml:space="preserve">FCFE</t>
    </r>
    <r>
      <rPr>
        <sz val="9"/>
        <color rgb="FF7F7F7F"/>
        <rFont val="Arial Unicode MS"/>
        <family val="2"/>
      </rPr>
      <t xml:space="preserve">股权现金流 — 基准</t>
    </r>
  </si>
  <si>
    <t xml:space="preserve">关键假设提示</t>
  </si>
  <si>
    <r>
      <rPr>
        <sz val="9"/>
        <color rgb="FF7F7F7F"/>
        <rFont val="Microsoft YaHei"/>
        <family val="0"/>
        <charset val="1"/>
      </rPr>
      <t xml:space="preserve">WACC</t>
    </r>
    <r>
      <rPr>
        <sz val="9"/>
        <color rgb="FF7F7F7F"/>
        <rFont val="Arial Unicode MS"/>
        <family val="2"/>
      </rPr>
      <t xml:space="preserve">采用值与可比</t>
    </r>
    <r>
      <rPr>
        <sz val="9"/>
        <color rgb="FF7F7F7F"/>
        <rFont val="Microsoft YaHei"/>
        <family val="0"/>
        <charset val="1"/>
      </rPr>
      <t xml:space="preserve">beta</t>
    </r>
    <r>
      <rPr>
        <sz val="9"/>
        <color rgb="FF7F7F7F"/>
        <rFont val="Arial Unicode MS"/>
        <family val="2"/>
      </rPr>
      <t xml:space="preserve">联动</t>
    </r>
    <r>
      <rPr>
        <sz val="9"/>
        <color rgb="FF7F7F7F"/>
        <rFont val="Microsoft YaHei"/>
        <family val="0"/>
        <charset val="1"/>
      </rPr>
      <t xml:space="preserve">(Assumptions</t>
    </r>
    <r>
      <rPr>
        <sz val="9"/>
        <color rgb="FF7F7F7F"/>
        <rFont val="Arial Unicode MS"/>
        <family val="2"/>
      </rPr>
      <t xml:space="preserve">第十节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三情景主模型切换见</t>
    </r>
    <r>
      <rPr>
        <sz val="9"/>
        <color rgb="FF7F7F7F"/>
        <rFont val="Microsoft YaHei"/>
        <family val="0"/>
        <charset val="1"/>
      </rPr>
      <t xml:space="preserve">Assumptions</t>
    </r>
    <r>
      <rPr>
        <sz val="9"/>
        <color rgb="FF7F7F7F"/>
        <rFont val="Arial Unicode MS"/>
        <family val="2"/>
      </rPr>
      <t xml:space="preserve">情景开关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校验状态见</t>
    </r>
    <r>
      <rPr>
        <sz val="9"/>
        <color rgb="FF7F7F7F"/>
        <rFont val="Microsoft YaHei"/>
        <family val="0"/>
        <charset val="1"/>
      </rPr>
      <t xml:space="preserve">Checks</t>
    </r>
    <r>
      <rPr>
        <sz val="9"/>
        <color rgb="FF7F7F7F"/>
        <rFont val="Arial Unicode MS"/>
        <family val="2"/>
      </rPr>
      <t xml:space="preserve">页</t>
    </r>
  </si>
  <si>
    <r>
      <rPr>
        <b val="true"/>
        <sz val="10"/>
        <color rgb="FF000000"/>
        <rFont val="Microsoft YaHei"/>
        <family val="0"/>
        <charset val="1"/>
      </rPr>
      <t xml:space="preserve">FCFE/FCFF</t>
    </r>
    <r>
      <rPr>
        <b val="true"/>
        <sz val="10"/>
        <color rgb="FF000000"/>
        <rFont val="Arial Unicode MS"/>
        <family val="2"/>
      </rPr>
      <t xml:space="preserve">差异控制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阈值</t>
    </r>
    <r>
      <rPr>
        <b val="true"/>
        <sz val="10"/>
        <color rgb="FF000000"/>
        <rFont val="Microsoft YaHei"/>
        <family val="0"/>
        <charset val="1"/>
      </rPr>
      <t xml:space="preserve">30%)</t>
    </r>
  </si>
  <si>
    <r>
      <rPr>
        <b val="true"/>
        <sz val="10"/>
        <color rgb="FF000000"/>
        <rFont val="Arial Unicode MS"/>
        <family val="2"/>
      </rPr>
      <t xml:space="preserve">主模型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同引擎基准桥接控制</t>
    </r>
  </si>
  <si>
    <r>
      <rPr>
        <b val="true"/>
        <sz val="13"/>
        <color rgb="FFFFFFFF"/>
        <rFont val="Arial Unicode MS"/>
        <family val="2"/>
      </rPr>
      <t xml:space="preserve">中芯国际</t>
    </r>
    <r>
      <rPr>
        <b val="true"/>
        <sz val="13"/>
        <color rgb="FFFFFFFF"/>
        <rFont val="Microsoft YaHei"/>
        <family val="0"/>
        <charset val="1"/>
      </rPr>
      <t xml:space="preserve">(00981.HK) — Assumptions </t>
    </r>
    <r>
      <rPr>
        <b val="true"/>
        <sz val="13"/>
        <color rgb="FFFFFFFF"/>
        <rFont val="Arial Unicode MS"/>
        <family val="2"/>
      </rPr>
      <t xml:space="preserve">驱动总表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</si>
  <si>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美元百万元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财报口径</t>
    </r>
    <r>
      <rPr>
        <sz val="9"/>
        <color rgb="FF7F7F7F"/>
        <rFont val="Microsoft YaHei"/>
        <family val="0"/>
        <charset val="1"/>
      </rPr>
      <t xml:space="preserve">)(</t>
    </r>
    <r>
      <rPr>
        <sz val="9"/>
        <color rgb="FF7F7F7F"/>
        <rFont val="Arial Unicode MS"/>
        <family val="2"/>
      </rPr>
      <t xml:space="preserve">除标注外</t>
    </r>
    <r>
      <rPr>
        <sz val="9"/>
        <color rgb="FF7F7F7F"/>
        <rFont val="Microsoft YaHei"/>
        <family val="0"/>
        <charset val="1"/>
      </rPr>
      <t xml:space="preserve">) | </t>
    </r>
    <r>
      <rPr>
        <sz val="9"/>
        <color rgb="FF7F7F7F"/>
        <rFont val="Arial Unicode MS"/>
        <family val="2"/>
      </rPr>
      <t xml:space="preserve">蓝色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输入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假设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绿色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外部数据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黑色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公式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数据日期</t>
    </r>
    <r>
      <rPr>
        <sz val="9"/>
        <color rgb="FF7F7F7F"/>
        <rFont val="Microsoft YaHei"/>
        <family val="0"/>
        <charset val="1"/>
      </rPr>
      <t xml:space="preserve">: 2026-08-17</t>
    </r>
  </si>
  <si>
    <t xml:space="preserve">一、全局与市场数据</t>
  </si>
  <si>
    <r>
      <rPr>
        <sz val="10"/>
        <color rgb="FF000000"/>
        <rFont val="Arial Unicode MS"/>
        <family val="2"/>
      </rPr>
      <t xml:space="preserve">情景开关 </t>
    </r>
    <r>
      <rPr>
        <sz val="10"/>
        <color rgb="FF000000"/>
        <rFont val="Microsoft YaHei"/>
        <family val="0"/>
        <charset val="1"/>
      </rPr>
      <t xml:space="preserve">(1=</t>
    </r>
    <r>
      <rPr>
        <sz val="10"/>
        <color rgb="FF000000"/>
        <rFont val="Arial Unicode MS"/>
        <family val="2"/>
      </rPr>
      <t xml:space="preserve">熊</t>
    </r>
    <r>
      <rPr>
        <sz val="10"/>
        <color rgb="FF000000"/>
        <rFont val="Microsoft YaHei"/>
        <family val="0"/>
        <charset val="1"/>
      </rPr>
      <t xml:space="preserve">/2=</t>
    </r>
    <r>
      <rPr>
        <sz val="10"/>
        <color rgb="FF000000"/>
        <rFont val="Arial Unicode MS"/>
        <family val="2"/>
      </rPr>
      <t xml:space="preserve">基准</t>
    </r>
    <r>
      <rPr>
        <sz val="10"/>
        <color rgb="FF000000"/>
        <rFont val="Microsoft YaHei"/>
        <family val="0"/>
        <charset val="1"/>
      </rPr>
      <t xml:space="preserve">/3=</t>
    </r>
    <r>
      <rPr>
        <sz val="10"/>
        <color rgb="FF000000"/>
        <rFont val="Arial Unicode MS"/>
        <family val="2"/>
      </rPr>
      <t xml:space="preserve">牛</t>
    </r>
    <r>
      <rPr>
        <sz val="10"/>
        <color rgb="FF000000"/>
        <rFont val="Microsoft YaHei"/>
        <family val="0"/>
        <charset val="1"/>
      </rPr>
      <t xml:space="preserve">)</t>
    </r>
  </si>
  <si>
    <t xml:space="preserve">-</t>
  </si>
  <si>
    <r>
      <rPr>
        <sz val="9"/>
        <color rgb="FF7F7F7F"/>
        <rFont val="Arial Unicode MS"/>
        <family val="2"/>
      </rPr>
      <t xml:space="preserve">三情景总开关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驱动</t>
    </r>
    <r>
      <rPr>
        <sz val="9"/>
        <color rgb="FF7F7F7F"/>
        <rFont val="Microsoft YaHei"/>
        <family val="0"/>
        <charset val="1"/>
      </rPr>
      <t xml:space="preserve">Revenue_Segments</t>
    </r>
    <r>
      <rPr>
        <sz val="9"/>
        <color rgb="FF7F7F7F"/>
        <rFont val="Arial Unicode MS"/>
        <family val="2"/>
      </rPr>
      <t xml:space="preserve">分部增速与毛利率、进而贯穿</t>
    </r>
    <r>
      <rPr>
        <sz val="9"/>
        <color rgb="FF7F7F7F"/>
        <rFont val="Microsoft YaHei"/>
        <family val="0"/>
        <charset val="1"/>
      </rPr>
      <t xml:space="preserve">IS/BS/CF/DCF; </t>
    </r>
    <r>
      <rPr>
        <sz val="9"/>
        <color rgb="FF7F7F7F"/>
        <rFont val="Arial Unicode MS"/>
        <family val="2"/>
      </rPr>
      <t xml:space="preserve">默认</t>
    </r>
    <r>
      <rPr>
        <sz val="9"/>
        <color rgb="FF7F7F7F"/>
        <rFont val="Microsoft YaHei"/>
        <family val="0"/>
        <charset val="1"/>
      </rPr>
      <t xml:space="preserve">2=</t>
    </r>
    <r>
      <rPr>
        <sz val="9"/>
        <color rgb="FF7F7F7F"/>
        <rFont val="Arial Unicode MS"/>
        <family val="2"/>
      </rPr>
      <t xml:space="preserve">基准</t>
    </r>
  </si>
  <si>
    <r>
      <rPr>
        <sz val="10"/>
        <color rgb="FF000000"/>
        <rFont val="Arial Unicode MS"/>
        <family val="2"/>
      </rPr>
      <t xml:space="preserve">估值基准日 </t>
    </r>
    <r>
      <rPr>
        <sz val="10"/>
        <color rgb="FF000000"/>
        <rFont val="Microsoft YaHei"/>
        <family val="0"/>
        <charset val="1"/>
      </rPr>
      <t xml:space="preserve">/ </t>
    </r>
    <r>
      <rPr>
        <sz val="10"/>
        <color rgb="FF000000"/>
        <rFont val="Arial Unicode MS"/>
        <family val="2"/>
      </rPr>
      <t xml:space="preserve">行情数据日期</t>
    </r>
  </si>
  <si>
    <t xml:space="preserve">2026-08-17</t>
  </si>
  <si>
    <r>
      <rPr>
        <sz val="9"/>
        <color rgb="FF7F7F7F"/>
        <rFont val="Arial Unicode MS"/>
        <family val="2"/>
      </rPr>
      <t xml:space="preserve">现价与可比公司市值均为</t>
    </r>
    <r>
      <rPr>
        <sz val="9"/>
        <color rgb="FF7F7F7F"/>
        <rFont val="Microsoft YaHei"/>
        <family val="0"/>
        <charset val="1"/>
      </rPr>
      <t xml:space="preserve">2026-08-17</t>
    </r>
    <r>
      <rPr>
        <sz val="9"/>
        <color rgb="FF7F7F7F"/>
        <rFont val="Arial Unicode MS"/>
        <family val="2"/>
      </rPr>
      <t xml:space="preserve">收盘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腾讯行情</t>
    </r>
    <r>
      <rPr>
        <sz val="9"/>
        <color rgb="FF7F7F7F"/>
        <rFont val="Microsoft YaHei"/>
        <family val="0"/>
        <charset val="1"/>
      </rPr>
      <t xml:space="preserve">); DCF</t>
    </r>
    <r>
      <rPr>
        <sz val="9"/>
        <color rgb="FF7F7F7F"/>
        <rFont val="Arial Unicode MS"/>
        <family val="2"/>
      </rPr>
      <t xml:space="preserve">采用年中折现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见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</si>
  <si>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现价</t>
  </si>
  <si>
    <r>
      <rPr>
        <sz val="10"/>
        <color rgb="FF7F7F7F"/>
        <rFont val="Arial Unicode MS"/>
        <family val="2"/>
      </rPr>
      <t xml:space="preserve">美元</t>
    </r>
    <r>
      <rPr>
        <sz val="10"/>
        <color rgb="FF7F7F7F"/>
        <rFont val="Microsoft YaHei"/>
        <family val="0"/>
        <charset val="1"/>
      </rPr>
      <t xml:space="preserve">/</t>
    </r>
    <r>
      <rPr>
        <sz val="10"/>
        <color rgb="FF7F7F7F"/>
        <rFont val="Arial Unicode MS"/>
        <family val="2"/>
      </rPr>
      <t xml:space="preserve">股</t>
    </r>
  </si>
  <si>
    <r>
      <rPr>
        <sz val="9"/>
        <color rgb="FF7F7F7F"/>
        <rFont val="Arial Unicode MS"/>
        <family val="2"/>
      </rPr>
      <t xml:space="preserve">港元现价</t>
    </r>
    <r>
      <rPr>
        <sz val="9"/>
        <color rgb="FF7F7F7F"/>
        <rFont val="Microsoft YaHei"/>
        <family val="0"/>
        <charset val="1"/>
      </rPr>
      <t xml:space="preserve">(=price 9.6667×fx 7.8</t>
    </r>
    <r>
      <rPr>
        <sz val="9"/>
        <color rgb="FF7F7F7F"/>
        <rFont val="Arial Unicode MS"/>
        <family val="2"/>
      </rPr>
      <t xml:space="preserve">回推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保证</t>
    </r>
    <r>
      <rPr>
        <sz val="9"/>
        <color rgb="FF7F7F7F"/>
        <rFont val="Microsoft YaHei"/>
        <family val="0"/>
        <charset val="1"/>
      </rPr>
      <t xml:space="preserve">price_hkd/fx_hkd</t>
    </r>
    <r>
      <rPr>
        <sz val="9"/>
        <color rgb="FF7F7F7F"/>
        <rFont val="Arial Unicode MS"/>
        <family val="2"/>
      </rPr>
      <t xml:space="preserve">与</t>
    </r>
    <r>
      <rPr>
        <sz val="9"/>
        <color rgb="FF7F7F7F"/>
        <rFont val="Microsoft YaHei"/>
        <family val="0"/>
        <charset val="1"/>
      </rPr>
      <t xml:space="preserve">price</t>
    </r>
    <r>
      <rPr>
        <sz val="9"/>
        <color rgb="FF7F7F7F"/>
        <rFont val="Arial Unicode MS"/>
        <family val="2"/>
      </rPr>
      <t xml:space="preserve">完全一致</t>
    </r>
    <r>
      <rPr>
        <sz val="9"/>
        <color rgb="FF7F7F7F"/>
        <rFont val="Microsoft YaHei"/>
        <family val="0"/>
        <charset val="1"/>
      </rPr>
      <t xml:space="preserve">; 2026-08-17</t>
    </r>
    <r>
      <rPr>
        <sz val="9"/>
        <color rgb="FF7F7F7F"/>
        <rFont val="Arial Unicode MS"/>
        <family val="2"/>
      </rPr>
      <t xml:space="preserve">腾讯行情原始值</t>
    </r>
    <r>
      <rPr>
        <sz val="9"/>
        <color rgb="FF7F7F7F"/>
        <rFont val="Microsoft YaHei"/>
        <family val="0"/>
        <charset val="1"/>
      </rPr>
      <t xml:space="preserve">75.4); build_model</t>
    </r>
    <r>
      <rPr>
        <sz val="9"/>
        <color rgb="FF7F7F7F"/>
        <rFont val="Arial Unicode MS"/>
        <family val="2"/>
      </rPr>
      <t xml:space="preserve">按</t>
    </r>
    <r>
      <rPr>
        <sz val="9"/>
        <color rgb="FF7F7F7F"/>
        <rFont val="Microsoft YaHei"/>
        <family val="0"/>
        <charset val="1"/>
      </rPr>
      <t xml:space="preserve">price_hkd/fx_hkd</t>
    </r>
    <r>
      <rPr>
        <sz val="9"/>
        <color rgb="FF7F7F7F"/>
        <rFont val="Arial Unicode MS"/>
        <family val="2"/>
      </rPr>
      <t xml:space="preserve">重折算模型价 </t>
    </r>
    <r>
      <rPr>
        <sz val="9"/>
        <color rgb="FF7F7F7F"/>
        <rFont val="Microsoft YaHei"/>
        <family val="0"/>
        <charset val="1"/>
      </rPr>
      <t xml:space="preserve">| =</t>
    </r>
    <r>
      <rPr>
        <sz val="9"/>
        <color rgb="FF7F7F7F"/>
        <rFont val="Arial Unicode MS"/>
        <family val="2"/>
      </rPr>
      <t xml:space="preserve">港元</t>
    </r>
    <r>
      <rPr>
        <sz val="9"/>
        <color rgb="FF7F7F7F"/>
        <rFont val="Microsoft YaHei"/>
        <family val="0"/>
        <charset val="1"/>
      </rPr>
      <t xml:space="preserve">75.4003/fx7.8=9.6667</t>
    </r>
  </si>
  <si>
    <t xml:space="preserve">总股本</t>
  </si>
  <si>
    <t xml:space="preserve">百万股</t>
  </si>
  <si>
    <r>
      <rPr>
        <sz val="9"/>
        <color rgb="FF7F7F7F"/>
        <rFont val="Arial Unicode MS"/>
        <family val="2"/>
      </rPr>
      <t xml:space="preserve">总市值</t>
    </r>
    <r>
      <rPr>
        <sz val="9"/>
        <color rgb="FF7F7F7F"/>
        <rFont val="Microsoft YaHei"/>
        <family val="0"/>
        <charset val="1"/>
      </rPr>
      <t xml:space="preserve">6455.0</t>
    </r>
    <r>
      <rPr>
        <sz val="9"/>
        <color rgb="FF7F7F7F"/>
        <rFont val="Arial Unicode MS"/>
        <family val="2"/>
      </rPr>
      <t xml:space="preserve">亿港元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港元现价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腾讯行情 </t>
    </r>
    <r>
      <rPr>
        <sz val="9"/>
        <color rgb="FF7F7F7F"/>
        <rFont val="Microsoft YaHei"/>
        <family val="0"/>
        <charset val="1"/>
      </rPr>
      <t xml:space="preserve">2026-08-17); </t>
    </r>
    <r>
      <rPr>
        <sz val="9"/>
        <color rgb="FF7F7F7F"/>
        <rFont val="Arial Unicode MS"/>
        <family val="2"/>
      </rPr>
      <t xml:space="preserve">港股总市值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全部股本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港元价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与</t>
    </r>
    <r>
      <rPr>
        <sz val="9"/>
        <color rgb="FF7F7F7F"/>
        <rFont val="Microsoft YaHei"/>
        <family val="0"/>
        <charset val="1"/>
      </rPr>
      <t xml:space="preserve">A+H</t>
    </r>
    <r>
      <rPr>
        <sz val="9"/>
        <color rgb="FF7F7F7F"/>
        <rFont val="Arial Unicode MS"/>
        <family val="2"/>
      </rPr>
      <t xml:space="preserve">实际口径有差异</t>
    </r>
  </si>
  <si>
    <t xml:space="preserve">总市值</t>
  </si>
  <si>
    <t xml:space="preserve">百万</t>
  </si>
  <si>
    <r>
      <rPr>
        <sz val="9"/>
        <color rgb="FF7F7F7F"/>
        <rFont val="Arial Unicode MS"/>
        <family val="2"/>
      </rPr>
      <t xml:space="preserve">＝现价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总股本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约</t>
    </r>
    <r>
      <rPr>
        <sz val="9"/>
        <color rgb="FF7F7F7F"/>
        <rFont val="Microsoft YaHei"/>
        <family val="0"/>
        <charset val="1"/>
      </rPr>
      <t xml:space="preserve">828</t>
    </r>
    <r>
      <rPr>
        <sz val="9"/>
        <color rgb="FF7F7F7F"/>
        <rFont val="Arial Unicode MS"/>
        <family val="2"/>
      </rPr>
      <t xml:space="preserve">亿元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与行情软件一致</t>
    </r>
  </si>
  <si>
    <r>
      <rPr>
        <b val="true"/>
        <sz val="10"/>
        <color rgb="FF1F3864"/>
        <rFont val="Arial Unicode MS"/>
        <family val="2"/>
      </rPr>
      <t xml:space="preserve">二、模型自动外推 </t>
    </r>
    <r>
      <rPr>
        <b val="true"/>
        <sz val="10"/>
        <color rgb="FF1F3864"/>
        <rFont val="Microsoft YaHei"/>
        <family val="0"/>
        <charset val="1"/>
      </rPr>
      <t xml:space="preserve">/ </t>
    </r>
    <r>
      <rPr>
        <b val="true"/>
        <sz val="10"/>
        <color rgb="FF1F3864"/>
        <rFont val="Arial Unicode MS"/>
        <family val="2"/>
      </rPr>
      <t xml:space="preserve">经验证一致预期与最新财报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外部</t>
    </r>
    <r>
      <rPr>
        <b val="true"/>
        <sz val="10"/>
        <color rgb="FF1F3864"/>
        <rFont val="Microsoft YaHei"/>
        <family val="0"/>
        <charset val="1"/>
      </rPr>
      <t xml:space="preserve">/</t>
    </r>
    <r>
      <rPr>
        <b val="true"/>
        <sz val="10"/>
        <color rgb="FF1F3864"/>
        <rFont val="Arial Unicode MS"/>
        <family val="2"/>
      </rPr>
      <t xml:space="preserve">衍生数据</t>
    </r>
    <r>
      <rPr>
        <b val="true"/>
        <sz val="10"/>
        <color rgb="FF1F3864"/>
        <rFont val="Microsoft YaHei"/>
        <family val="0"/>
        <charset val="1"/>
      </rPr>
      <t xml:space="preserve">, </t>
    </r>
    <r>
      <rPr>
        <b val="true"/>
        <sz val="10"/>
        <color rgb="FF1F3864"/>
        <rFont val="Arial Unicode MS"/>
        <family val="2"/>
      </rPr>
      <t xml:space="preserve">绿色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</si>
  <si>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模型自动外推</t>
    </r>
    <r>
      <rPr>
        <sz val="10"/>
        <color rgb="FF000000"/>
        <rFont val="Microsoft YaHei"/>
        <family val="0"/>
        <charset val="1"/>
      </rPr>
      <t xml:space="preserve">2026E</t>
    </r>
    <r>
      <rPr>
        <sz val="10"/>
        <color rgb="FF000000"/>
        <rFont val="Arial Unicode MS"/>
        <family val="2"/>
      </rPr>
      <t xml:space="preserve">营收</t>
    </r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</si>
  <si>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无一致预期输入</t>
    </r>
    <r>
      <rPr>
        <sz val="9"/>
        <color rgb="FF7F7F7F"/>
        <rFont val="Microsoft YaHei"/>
        <family val="0"/>
        <charset val="1"/>
      </rPr>
      <t xml:space="preserve">): </t>
    </r>
    <r>
      <rPr>
        <sz val="9"/>
        <color rgb="FF7F7F7F"/>
        <rFont val="Arial Unicode MS"/>
        <family val="2"/>
      </rPr>
      <t xml:space="preserve">最近年报收入</t>
    </r>
    <r>
      <rPr>
        <sz val="9"/>
        <color rgb="FF7F7F7F"/>
        <rFont val="Microsoft YaHei"/>
        <family val="0"/>
        <charset val="1"/>
      </rPr>
      <t xml:space="preserve">×(1+YoY+16.2%)</t>
    </r>
    <r>
      <rPr>
        <sz val="9"/>
        <color rgb="FF7F7F7F"/>
        <rFont val="Arial Unicode MS"/>
        <family val="2"/>
      </rPr>
      <t xml:space="preserve">退坡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建议手工填入</t>
    </r>
  </si>
  <si>
    <r>
      <rPr>
        <sz val="10"/>
        <color rgb="FF000000"/>
        <rFont val="Arial Unicode MS"/>
        <family val="2"/>
      </rPr>
      <t xml:space="preserve">模型自动外推</t>
    </r>
    <r>
      <rPr>
        <sz val="10"/>
        <color rgb="FF000000"/>
        <rFont val="Microsoft YaHei"/>
        <family val="0"/>
        <charset val="1"/>
      </rPr>
      <t xml:space="preserve">2026E</t>
    </r>
    <r>
      <rPr>
        <sz val="10"/>
        <color rgb="FF000000"/>
        <rFont val="Arial Unicode MS"/>
        <family val="2"/>
      </rPr>
      <t xml:space="preserve">归母净利</t>
    </r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</si>
  <si>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无一致预期输入</t>
    </r>
    <r>
      <rPr>
        <sz val="9"/>
        <color rgb="FF7F7F7F"/>
        <rFont val="Microsoft YaHei"/>
        <family val="0"/>
        <charset val="1"/>
      </rPr>
      <t xml:space="preserve">): 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最近年报净利率</t>
    </r>
    <r>
      <rPr>
        <sz val="9"/>
        <color rgb="FF7F7F7F"/>
        <rFont val="Microsoft YaHei"/>
        <family val="0"/>
        <charset val="1"/>
      </rPr>
      <t xml:space="preserve">7.3%; </t>
    </r>
    <r>
      <rPr>
        <sz val="9"/>
        <color rgb="FF7F7F7F"/>
        <rFont val="Arial Unicode MS"/>
        <family val="2"/>
      </rPr>
      <t xml:space="preserve">建议手工填入</t>
    </r>
  </si>
  <si>
    <r>
      <rPr>
        <sz val="10"/>
        <color rgb="FF000000"/>
        <rFont val="Arial Unicode MS"/>
        <family val="2"/>
      </rPr>
      <t xml:space="preserve">模型自动外推</t>
    </r>
    <r>
      <rPr>
        <sz val="10"/>
        <color rgb="FF000000"/>
        <rFont val="Microsoft YaHei"/>
        <family val="0"/>
        <charset val="1"/>
      </rPr>
      <t xml:space="preserve">2027E</t>
    </r>
    <r>
      <rPr>
        <sz val="10"/>
        <color rgb="FF000000"/>
        <rFont val="Arial Unicode MS"/>
        <family val="2"/>
      </rPr>
      <t xml:space="preserve">营收</t>
    </r>
  </si>
  <si>
    <r>
      <rPr>
        <sz val="10"/>
        <color rgb="FF000000"/>
        <rFont val="Arial Unicode MS"/>
        <family val="2"/>
      </rPr>
      <t xml:space="preserve">模型自动外推</t>
    </r>
    <r>
      <rPr>
        <sz val="10"/>
        <color rgb="FF000000"/>
        <rFont val="Microsoft YaHei"/>
        <family val="0"/>
        <charset val="1"/>
      </rPr>
      <t xml:space="preserve">2027E</t>
    </r>
    <r>
      <rPr>
        <sz val="10"/>
        <color rgb="FF000000"/>
        <rFont val="Arial Unicode MS"/>
        <family val="2"/>
      </rPr>
      <t xml:space="preserve">归母净利</t>
    </r>
  </si>
  <si>
    <r>
      <rPr>
        <sz val="10"/>
        <color rgb="FF000000"/>
        <rFont val="Arial Unicode MS"/>
        <family val="2"/>
      </rPr>
      <t xml:space="preserve">模型自动外推</t>
    </r>
    <r>
      <rPr>
        <sz val="10"/>
        <color rgb="FF000000"/>
        <rFont val="Microsoft YaHei"/>
        <family val="0"/>
        <charset val="1"/>
      </rPr>
      <t xml:space="preserve">2028E</t>
    </r>
    <r>
      <rPr>
        <sz val="10"/>
        <color rgb="FF000000"/>
        <rFont val="Arial Unicode MS"/>
        <family val="2"/>
      </rPr>
      <t xml:space="preserve">营收</t>
    </r>
  </si>
  <si>
    <r>
      <rPr>
        <sz val="10"/>
        <color rgb="FF000000"/>
        <rFont val="Arial Unicode MS"/>
        <family val="2"/>
      </rPr>
      <t xml:space="preserve">模型自动外推</t>
    </r>
    <r>
      <rPr>
        <sz val="10"/>
        <color rgb="FF000000"/>
        <rFont val="Microsoft YaHei"/>
        <family val="0"/>
        <charset val="1"/>
      </rPr>
      <t xml:space="preserve">2028E</t>
    </r>
    <r>
      <rPr>
        <sz val="10"/>
        <color rgb="FF000000"/>
        <rFont val="Arial Unicode MS"/>
        <family val="2"/>
      </rPr>
      <t xml:space="preserve">归母净利</t>
    </r>
  </si>
  <si>
    <r>
      <rPr>
        <b val="true"/>
        <sz val="10"/>
        <color rgb="FF1F3864"/>
        <rFont val="Arial Unicode MS"/>
        <family val="2"/>
      </rPr>
      <t xml:space="preserve">三、分部收入驱动 — 量</t>
    </r>
    <r>
      <rPr>
        <b val="true"/>
        <sz val="10"/>
        <color rgb="FF1F3864"/>
        <rFont val="Microsoft YaHei"/>
        <family val="0"/>
        <charset val="1"/>
      </rPr>
      <t xml:space="preserve">/</t>
    </r>
    <r>
      <rPr>
        <b val="true"/>
        <sz val="10"/>
        <color rgb="FF1F3864"/>
        <rFont val="Arial Unicode MS"/>
        <family val="2"/>
      </rPr>
      <t xml:space="preserve">价增速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蓝色输入</t>
    </r>
    <r>
      <rPr>
        <b val="true"/>
        <sz val="10"/>
        <color rgb="FF1F3864"/>
        <rFont val="Microsoft YaHei"/>
        <family val="0"/>
        <charset val="1"/>
      </rPr>
      <t xml:space="preserve">, 2026E-2030E)</t>
    </r>
  </si>
  <si>
    <t xml:space="preserve">年份</t>
  </si>
  <si>
    <t xml:space="preserve">2026E</t>
  </si>
  <si>
    <t xml:space="preserve">2027E</t>
  </si>
  <si>
    <t xml:space="preserve">2028E</t>
  </si>
  <si>
    <t xml:space="preserve">2029E</t>
  </si>
  <si>
    <t xml:space="preserve">2030E</t>
  </si>
  <si>
    <r>
      <rPr>
        <b val="true"/>
        <sz val="10"/>
        <color rgb="FF000000"/>
        <rFont val="Arial Unicode MS"/>
        <family val="2"/>
      </rPr>
      <t xml:space="preserve">假设依据 </t>
    </r>
    <r>
      <rPr>
        <b val="true"/>
        <sz val="10"/>
        <color rgb="FF000000"/>
        <rFont val="Microsoft YaHei"/>
        <family val="0"/>
        <charset val="1"/>
      </rPr>
      <t xml:space="preserve">/ </t>
    </r>
    <r>
      <rPr>
        <b val="true"/>
        <sz val="10"/>
        <color rgb="FF000000"/>
        <rFont val="Arial Unicode MS"/>
        <family val="2"/>
      </rPr>
      <t xml:space="preserve">来源</t>
    </r>
  </si>
  <si>
    <t xml:space="preserve">整体 收入增速</t>
  </si>
  <si>
    <t xml:space="preserve">%</t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</si>
  <si>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最近年报总收入</t>
    </r>
    <r>
      <rPr>
        <sz val="9"/>
        <color rgb="FF7F7F7F"/>
        <rFont val="Microsoft YaHei"/>
        <family val="0"/>
        <charset val="1"/>
      </rPr>
      <t xml:space="preserve">YoY=+16.2%(</t>
    </r>
    <r>
      <rPr>
        <sz val="9"/>
        <color rgb="FF7F7F7F"/>
        <rFont val="Arial Unicode MS"/>
        <family val="2"/>
      </rPr>
      <t xml:space="preserve">截断</t>
    </r>
    <r>
      <rPr>
        <sz val="9"/>
        <color rgb="FF7F7F7F"/>
        <rFont val="Microsoft YaHei"/>
        <family val="0"/>
        <charset val="1"/>
      </rPr>
      <t xml:space="preserve">[-15%,35%])</t>
    </r>
    <r>
      <rPr>
        <sz val="9"/>
        <color rgb="FF7F7F7F"/>
        <rFont val="Arial Unicode MS"/>
        <family val="2"/>
      </rPr>
      <t xml:space="preserve">逐年退坡</t>
    </r>
    <r>
      <rPr>
        <sz val="9"/>
        <color rgb="FF7F7F7F"/>
        <rFont val="Microsoft YaHei"/>
        <family val="0"/>
        <charset val="1"/>
      </rPr>
      <t xml:space="preserve">×1/.75/.55/.40/.30; </t>
    </r>
    <r>
      <rPr>
        <sz val="9"/>
        <color rgb="FF7F7F7F"/>
        <rFont val="Arial Unicode MS"/>
        <family val="2"/>
      </rPr>
      <t xml:space="preserve">建议按研究修正</t>
    </r>
  </si>
  <si>
    <r>
      <rPr>
        <b val="true"/>
        <sz val="10"/>
        <color rgb="FF1F3864"/>
        <rFont val="Arial Unicode MS"/>
        <family val="2"/>
      </rPr>
      <t xml:space="preserve">四、分部毛利率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蓝色输入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</si>
  <si>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t xml:space="preserve">整体 毛利率</t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</si>
  <si>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最近年报综合毛利率</t>
    </r>
    <r>
      <rPr>
        <sz val="9"/>
        <color rgb="FF7F7F7F"/>
        <rFont val="Microsoft YaHei"/>
        <family val="0"/>
        <charset val="1"/>
      </rPr>
      <t xml:space="preserve">21.0%</t>
    </r>
    <r>
      <rPr>
        <sz val="9"/>
        <color rgb="FF7F7F7F"/>
        <rFont val="Arial Unicode MS"/>
        <family val="2"/>
      </rPr>
      <t xml:space="preserve">持平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建议按研究修正</t>
    </r>
  </si>
  <si>
    <r>
      <rPr>
        <b val="true"/>
        <sz val="10"/>
        <color rgb="FF1F3864"/>
        <rFont val="Arial Unicode MS"/>
        <family val="2"/>
      </rPr>
      <t xml:space="preserve">五、费用率 </t>
    </r>
    <r>
      <rPr>
        <b val="true"/>
        <sz val="10"/>
        <color rgb="FF1F3864"/>
        <rFont val="Microsoft YaHei"/>
        <family val="0"/>
        <charset val="1"/>
      </rPr>
      <t xml:space="preserve">/ </t>
    </r>
    <r>
      <rPr>
        <b val="true"/>
        <sz val="10"/>
        <color rgb="FF1F3864"/>
        <rFont val="Arial Unicode MS"/>
        <family val="2"/>
      </rPr>
      <t xml:space="preserve">其他损益 </t>
    </r>
    <r>
      <rPr>
        <b val="true"/>
        <sz val="10"/>
        <color rgb="FF1F3864"/>
        <rFont val="Microsoft YaHei"/>
        <family val="0"/>
        <charset val="1"/>
      </rPr>
      <t xml:space="preserve">/ </t>
    </r>
    <r>
      <rPr>
        <b val="true"/>
        <sz val="10"/>
        <color rgb="FF1F3864"/>
        <rFont val="Arial Unicode MS"/>
        <family val="2"/>
      </rPr>
      <t xml:space="preserve">税率</t>
    </r>
  </si>
  <si>
    <t xml:space="preserve">税金及附加率</t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</si>
  <si>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最近年报税金及附加率</t>
    </r>
    <r>
      <rPr>
        <sz val="9"/>
        <color rgb="FF7F7F7F"/>
        <rFont val="Microsoft YaHei"/>
        <family val="0"/>
        <charset val="1"/>
      </rPr>
      <t xml:space="preserve">0.00%</t>
    </r>
    <r>
      <rPr>
        <sz val="9"/>
        <color rgb="FF7F7F7F"/>
        <rFont val="Arial Unicode MS"/>
        <family val="2"/>
      </rPr>
      <t xml:space="preserve">持平</t>
    </r>
  </si>
  <si>
    <t xml:space="preserve">销售费用率</t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</si>
  <si>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最近年报销售费用率持平</t>
    </r>
  </si>
  <si>
    <t xml:space="preserve">管理费用率</t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</si>
  <si>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最近年报管理费用率持平</t>
    </r>
  </si>
  <si>
    <t xml:space="preserve">研发费用率</t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</si>
  <si>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最近年报研发费用率持平</t>
    </r>
  </si>
  <si>
    <t xml:space="preserve">其他经营损益</t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</si>
  <si>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最近年报其他经营损益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轧差项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持平</t>
    </r>
  </si>
  <si>
    <t xml:space="preserve">营业外收支净额</t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</si>
  <si>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最近年报营业外收支净额持平</t>
    </r>
  </si>
  <si>
    <t xml:space="preserve">有效税率</t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</si>
  <si>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最近年报有效税率</t>
    </r>
    <r>
      <rPr>
        <sz val="9"/>
        <color rgb="FF7F7F7F"/>
        <rFont val="Microsoft YaHei"/>
        <family val="0"/>
        <charset val="1"/>
      </rPr>
      <t xml:space="preserve">11.0%(</t>
    </r>
    <r>
      <rPr>
        <sz val="9"/>
        <color rgb="FF7F7F7F"/>
        <rFont val="Arial Unicode MS"/>
        <family val="2"/>
      </rPr>
      <t xml:space="preserve">截断</t>
    </r>
    <r>
      <rPr>
        <sz val="9"/>
        <color rgb="FF7F7F7F"/>
        <rFont val="Microsoft YaHei"/>
        <family val="0"/>
        <charset val="1"/>
      </rPr>
      <t xml:space="preserve">[5%,25%])</t>
    </r>
    <r>
      <rPr>
        <sz val="9"/>
        <color rgb="FF7F7F7F"/>
        <rFont val="Arial Unicode MS"/>
        <family val="2"/>
      </rPr>
      <t xml:space="preserve">持平</t>
    </r>
  </si>
  <si>
    <t xml:space="preserve">少数股东损益占净利润比</t>
  </si>
  <si>
    <r>
      <rPr>
        <sz val="9"/>
        <color rgb="FF7F7F7F"/>
        <rFont val="Arial Unicode MS"/>
        <family val="2"/>
      </rPr>
      <t xml:space="preserve">按历史均值自动推导</t>
    </r>
    <r>
      <rPr>
        <sz val="9"/>
        <color rgb="FF7F7F7F"/>
        <rFont val="Microsoft YaHei"/>
        <family val="0"/>
        <charset val="1"/>
      </rPr>
      <t xml:space="preserve">: (</t>
    </r>
    <r>
      <rPr>
        <sz val="9"/>
        <color rgb="FF7F7F7F"/>
        <rFont val="Arial Unicode MS"/>
        <family val="2"/>
      </rPr>
      <t xml:space="preserve">合并净利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归母</t>
    </r>
    <r>
      <rPr>
        <sz val="9"/>
        <color rgb="FF7F7F7F"/>
        <rFont val="Microsoft YaHei"/>
        <family val="0"/>
        <charset val="1"/>
      </rPr>
      <t xml:space="preserve">)/</t>
    </r>
    <r>
      <rPr>
        <sz val="9"/>
        <color rgb="FF7F7F7F"/>
        <rFont val="Arial Unicode MS"/>
        <family val="2"/>
      </rPr>
      <t xml:space="preserve">合并净利 </t>
    </r>
    <r>
      <rPr>
        <sz val="9"/>
        <color rgb="FF7F7F7F"/>
        <rFont val="Microsoft YaHei"/>
        <family val="0"/>
        <charset val="1"/>
      </rPr>
      <t xml:space="preserve">2</t>
    </r>
    <r>
      <rPr>
        <sz val="9"/>
        <color rgb="FF7F7F7F"/>
        <rFont val="Arial Unicode MS"/>
        <family val="2"/>
      </rPr>
      <t xml:space="preserve">年均值</t>
    </r>
    <r>
      <rPr>
        <sz val="9"/>
        <color rgb="FF7F7F7F"/>
        <rFont val="Microsoft YaHei"/>
        <family val="0"/>
        <charset val="1"/>
      </rPr>
      <t xml:space="preserve">+31.61%, clamp[0,50%]→</t>
    </r>
    <r>
      <rPr>
        <sz val="9"/>
        <color rgb="FF7F7F7F"/>
        <rFont val="Arial Unicode MS"/>
        <family val="2"/>
      </rPr>
      <t xml:space="preserve">采用</t>
    </r>
    <r>
      <rPr>
        <sz val="9"/>
        <color rgb="FF7F7F7F"/>
        <rFont val="Microsoft YaHei"/>
        <family val="0"/>
        <charset val="1"/>
      </rPr>
      <t xml:space="preserve">31.61%; config</t>
    </r>
    <r>
      <rPr>
        <sz val="9"/>
        <color rgb="FF7F7F7F"/>
        <rFont val="Arial Unicode MS"/>
        <family val="2"/>
      </rPr>
      <t xml:space="preserve">可经</t>
    </r>
    <r>
      <rPr>
        <sz val="9"/>
        <color rgb="FF7F7F7F"/>
        <rFont val="Microsoft YaHei"/>
        <family val="0"/>
        <charset val="1"/>
      </rPr>
      <t xml:space="preserve">model.mi_share</t>
    </r>
    <r>
      <rPr>
        <sz val="9"/>
        <color rgb="FF7F7F7F"/>
        <rFont val="Arial Unicode MS"/>
        <family val="2"/>
      </rPr>
      <t xml:space="preserve">覆盖</t>
    </r>
  </si>
  <si>
    <r>
      <rPr>
        <sz val="10"/>
        <color rgb="FF000000"/>
        <rFont val="Arial Unicode MS"/>
        <family val="2"/>
      </rPr>
      <t xml:space="preserve">其他及财务费用率合计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情景页用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</si>
  <si>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最近年报财务费用率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供</t>
    </r>
    <r>
      <rPr>
        <sz val="9"/>
        <color rgb="FF7F7F7F"/>
        <rFont val="Microsoft YaHei"/>
        <family val="0"/>
        <charset val="1"/>
      </rPr>
      <t xml:space="preserve">Scenarios</t>
    </r>
    <r>
      <rPr>
        <sz val="9"/>
        <color rgb="FF7F7F7F"/>
        <rFont val="Arial Unicode MS"/>
        <family val="2"/>
      </rPr>
      <t xml:space="preserve">页简化净利率计算</t>
    </r>
  </si>
  <si>
    <t xml:space="preserve">六、营运资本天数</t>
  </si>
  <si>
    <r>
      <rPr>
        <sz val="10"/>
        <color rgb="FF000000"/>
        <rFont val="Microsoft YaHei"/>
        <family val="0"/>
        <charset val="1"/>
      </rPr>
      <t xml:space="preserve">DSO </t>
    </r>
    <r>
      <rPr>
        <sz val="10"/>
        <color rgb="FF000000"/>
        <rFont val="Arial Unicode MS"/>
        <family val="2"/>
      </rPr>
      <t xml:space="preserve">应收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票据</t>
    </r>
    <r>
      <rPr>
        <sz val="10"/>
        <color rgb="FF000000"/>
        <rFont val="Microsoft YaHei"/>
        <family val="0"/>
        <charset val="1"/>
      </rPr>
      <t xml:space="preserve">+</t>
    </r>
    <r>
      <rPr>
        <sz val="10"/>
        <color rgb="FF000000"/>
        <rFont val="Arial Unicode MS"/>
        <family val="2"/>
      </rPr>
      <t xml:space="preserve">账款</t>
    </r>
    <r>
      <rPr>
        <sz val="10"/>
        <color rgb="FF000000"/>
        <rFont val="Microsoft YaHei"/>
        <family val="0"/>
        <charset val="1"/>
      </rPr>
      <t xml:space="preserve">)</t>
    </r>
    <r>
      <rPr>
        <sz val="10"/>
        <color rgb="FF000000"/>
        <rFont val="Arial Unicode MS"/>
        <family val="2"/>
      </rPr>
      <t xml:space="preserve">天数</t>
    </r>
  </si>
  <si>
    <t xml:space="preserve">天</t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</si>
  <si>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</t>
    </r>
    <r>
      <rPr>
        <sz val="9"/>
        <color rgb="FF7F7F7F"/>
        <rFont val="Microsoft YaHei"/>
        <family val="0"/>
        <charset val="1"/>
      </rPr>
      <t xml:space="preserve">DSO 56</t>
    </r>
    <r>
      <rPr>
        <sz val="9"/>
        <color rgb="FF7F7F7F"/>
        <rFont val="Arial Unicode MS"/>
        <family val="2"/>
      </rPr>
      <t xml:space="preserve">天持平</t>
    </r>
  </si>
  <si>
    <r>
      <rPr>
        <sz val="10"/>
        <color rgb="FF000000"/>
        <rFont val="Microsoft YaHei"/>
        <family val="0"/>
        <charset val="1"/>
      </rPr>
      <t xml:space="preserve">DIO </t>
    </r>
    <r>
      <rPr>
        <sz val="10"/>
        <color rgb="FF000000"/>
        <rFont val="Arial Unicode MS"/>
        <family val="2"/>
      </rPr>
      <t xml:space="preserve">存货天数</t>
    </r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</si>
  <si>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</t>
    </r>
    <r>
      <rPr>
        <sz val="9"/>
        <color rgb="FF7F7F7F"/>
        <rFont val="Microsoft YaHei"/>
        <family val="0"/>
        <charset val="1"/>
      </rPr>
      <t xml:space="preserve">DIO 180</t>
    </r>
    <r>
      <rPr>
        <sz val="9"/>
        <color rgb="FF7F7F7F"/>
        <rFont val="Arial Unicode MS"/>
        <family val="2"/>
      </rPr>
      <t xml:space="preserve">天持平</t>
    </r>
  </si>
  <si>
    <r>
      <rPr>
        <sz val="10"/>
        <color rgb="FF000000"/>
        <rFont val="Microsoft YaHei"/>
        <family val="0"/>
        <charset val="1"/>
      </rPr>
      <t xml:space="preserve">DPO </t>
    </r>
    <r>
      <rPr>
        <sz val="10"/>
        <color rgb="FF000000"/>
        <rFont val="Arial Unicode MS"/>
        <family val="2"/>
      </rPr>
      <t xml:space="preserve">应付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票据</t>
    </r>
    <r>
      <rPr>
        <sz val="10"/>
        <color rgb="FF000000"/>
        <rFont val="Microsoft YaHei"/>
        <family val="0"/>
        <charset val="1"/>
      </rPr>
      <t xml:space="preserve">+</t>
    </r>
    <r>
      <rPr>
        <sz val="10"/>
        <color rgb="FF000000"/>
        <rFont val="Arial Unicode MS"/>
        <family val="2"/>
      </rPr>
      <t xml:space="preserve">账款</t>
    </r>
    <r>
      <rPr>
        <sz val="10"/>
        <color rgb="FF000000"/>
        <rFont val="Microsoft YaHei"/>
        <family val="0"/>
        <charset val="1"/>
      </rPr>
      <t xml:space="preserve">)</t>
    </r>
    <r>
      <rPr>
        <sz val="10"/>
        <color rgb="FF000000"/>
        <rFont val="Arial Unicode MS"/>
        <family val="2"/>
      </rPr>
      <t xml:space="preserve">天数</t>
    </r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</si>
  <si>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</t>
    </r>
    <r>
      <rPr>
        <sz val="9"/>
        <color rgb="FF7F7F7F"/>
        <rFont val="Microsoft YaHei"/>
        <family val="0"/>
        <charset val="1"/>
      </rPr>
      <t xml:space="preserve">DPO 147</t>
    </r>
    <r>
      <rPr>
        <sz val="9"/>
        <color rgb="FF7F7F7F"/>
        <rFont val="Arial Unicode MS"/>
        <family val="2"/>
      </rPr>
      <t xml:space="preserve">天持平</t>
    </r>
  </si>
  <si>
    <r>
      <rPr>
        <sz val="10"/>
        <color rgb="FF000000"/>
        <rFont val="Arial Unicode MS"/>
        <family val="2"/>
      </rPr>
      <t xml:space="preserve">预付款项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收入</t>
    </r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</si>
  <si>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最近年报预付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收入持平</t>
    </r>
  </si>
  <si>
    <r>
      <rPr>
        <sz val="10"/>
        <color rgb="FF000000"/>
        <rFont val="Arial Unicode MS"/>
        <family val="2"/>
      </rPr>
      <t xml:space="preserve">应付职工薪酬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收入</t>
    </r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</si>
  <si>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最近年报应付职工薪酬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收入持平</t>
    </r>
  </si>
  <si>
    <r>
      <rPr>
        <sz val="10"/>
        <color rgb="FF000000"/>
        <rFont val="Arial Unicode MS"/>
        <family val="2"/>
      </rPr>
      <t xml:space="preserve">应交税费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收入</t>
    </r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</si>
  <si>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最近年报应交税费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收入持平</t>
    </r>
  </si>
  <si>
    <r>
      <rPr>
        <b val="true"/>
        <sz val="10"/>
        <color rgb="FF1F3864"/>
        <rFont val="Arial Unicode MS"/>
        <family val="2"/>
      </rPr>
      <t xml:space="preserve">七、资本开支与折旧摊销 </t>
    </r>
    <r>
      <rPr>
        <b val="true"/>
        <sz val="10"/>
        <color rgb="FF1F3864"/>
        <rFont val="Microsoft YaHei"/>
        <family val="0"/>
        <charset val="1"/>
      </rPr>
      <t xml:space="preserve">(PP&amp;E</t>
    </r>
    <r>
      <rPr>
        <b val="true"/>
        <sz val="10"/>
        <color rgb="FF1F3864"/>
        <rFont val="Arial Unicode MS"/>
        <family val="2"/>
      </rPr>
      <t xml:space="preserve">页驱动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</si>
  <si>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Capex</t>
    </r>
    <r>
      <rPr>
        <sz val="10"/>
        <color rgb="FF000000"/>
        <rFont val="Arial Unicode MS"/>
        <family val="2"/>
      </rPr>
      <t xml:space="preserve">占收入比</t>
    </r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</si>
  <si>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</t>
    </r>
    <r>
      <rPr>
        <sz val="9"/>
        <color rgb="FF7F7F7F"/>
        <rFont val="Microsoft YaHei"/>
        <family val="0"/>
        <charset val="1"/>
      </rPr>
      <t xml:space="preserve">Capex/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90.1%(</t>
    </r>
    <r>
      <rPr>
        <sz val="9"/>
        <color rgb="FF7F7F7F"/>
        <rFont val="Arial Unicode MS"/>
        <family val="2"/>
      </rPr>
      <t xml:space="preserve">上限</t>
    </r>
    <r>
      <rPr>
        <sz val="9"/>
        <color rgb="FF7F7F7F"/>
        <rFont val="Microsoft YaHei"/>
        <family val="0"/>
        <charset val="1"/>
      </rPr>
      <t xml:space="preserve">35%)</t>
    </r>
    <r>
      <rPr>
        <sz val="9"/>
        <color rgb="FF7F7F7F"/>
        <rFont val="Arial Unicode MS"/>
        <family val="2"/>
      </rPr>
      <t xml:space="preserve">逐年退坡</t>
    </r>
    <r>
      <rPr>
        <sz val="9"/>
        <color rgb="FF7F7F7F"/>
        <rFont val="Microsoft YaHei"/>
        <family val="0"/>
        <charset val="1"/>
      </rPr>
      <t xml:space="preserve">×1/.85/.70/.60/.50</t>
    </r>
  </si>
  <si>
    <t xml:space="preserve">在建工程转固率</t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</si>
  <si>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当年转固</t>
    </r>
    <r>
      <rPr>
        <sz val="9"/>
        <color rgb="FF7F7F7F"/>
        <rFont val="Microsoft YaHei"/>
        <family val="0"/>
        <charset val="1"/>
      </rPr>
      <t xml:space="preserve">=(</t>
    </r>
    <r>
      <rPr>
        <sz val="9"/>
        <color rgb="FF7F7F7F"/>
        <rFont val="Arial Unicode MS"/>
        <family val="2"/>
      </rPr>
      <t xml:space="preserve">期初在建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当年</t>
    </r>
    <r>
      <rPr>
        <sz val="9"/>
        <color rgb="FF7F7F7F"/>
        <rFont val="Microsoft YaHei"/>
        <family val="0"/>
        <charset val="1"/>
      </rPr>
      <t xml:space="preserve">Capex)×75%</t>
    </r>
  </si>
  <si>
    <r>
      <rPr>
        <sz val="10"/>
        <color rgb="FF000000"/>
        <rFont val="Arial Unicode MS"/>
        <family val="2"/>
      </rPr>
      <t xml:space="preserve">固定资产折旧率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期初净值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</si>
  <si>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固定资产净值口径</t>
    </r>
    <r>
      <rPr>
        <sz val="9"/>
        <color rgb="FF7F7F7F"/>
        <rFont val="Microsoft YaHei"/>
        <family val="0"/>
        <charset val="1"/>
      </rPr>
      <t xml:space="preserve">12%</t>
    </r>
  </si>
  <si>
    <t xml:space="preserve">当年转固部分折旧率</t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</si>
  <si>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转固按约半年投产计提</t>
    </r>
  </si>
  <si>
    <r>
      <rPr>
        <sz val="10"/>
        <color rgb="FF000000"/>
        <rFont val="Arial Unicode MS"/>
        <family val="2"/>
      </rPr>
      <t xml:space="preserve">固定资产处置率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期初净值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</si>
  <si>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处置率</t>
    </r>
    <r>
      <rPr>
        <sz val="9"/>
        <color rgb="FF7F7F7F"/>
        <rFont val="Microsoft YaHei"/>
        <family val="0"/>
        <charset val="1"/>
      </rPr>
      <t xml:space="preserve">1%</t>
    </r>
  </si>
  <si>
    <r>
      <rPr>
        <sz val="10"/>
        <color rgb="FF000000"/>
        <rFont val="Arial Unicode MS"/>
        <family val="2"/>
      </rPr>
      <t xml:space="preserve">无形资产摊销率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期初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</si>
  <si>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无形资产摊销率</t>
    </r>
    <r>
      <rPr>
        <sz val="9"/>
        <color rgb="FF7F7F7F"/>
        <rFont val="Microsoft YaHei"/>
        <family val="0"/>
        <charset val="1"/>
      </rPr>
      <t xml:space="preserve">8%</t>
    </r>
  </si>
  <si>
    <t xml:space="preserve">八、股利与盈余公积</t>
  </si>
  <si>
    <r>
      <rPr>
        <sz val="10"/>
        <color rgb="FF000000"/>
        <rFont val="Arial Unicode MS"/>
        <family val="2"/>
      </rPr>
      <t xml:space="preserve">股利支付率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按上年归母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</si>
  <si>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股利支付率</t>
    </r>
    <r>
      <rPr>
        <sz val="9"/>
        <color rgb="FF7F7F7F"/>
        <rFont val="Microsoft YaHei"/>
        <family val="0"/>
        <charset val="1"/>
      </rPr>
      <t xml:space="preserve">30%(</t>
    </r>
    <r>
      <rPr>
        <sz val="9"/>
        <color rgb="FF7F7F7F"/>
        <rFont val="Arial Unicode MS"/>
        <family val="2"/>
      </rPr>
      <t xml:space="preserve">按上年归母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</si>
  <si>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法定盈余公积计提率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按当年归母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</si>
  <si>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IFRS</t>
    </r>
    <r>
      <rPr>
        <sz val="9"/>
        <color rgb="FF7F7F7F"/>
        <rFont val="Arial Unicode MS"/>
        <family val="2"/>
      </rPr>
      <t xml:space="preserve">无法定盈余公积科目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计提率置</t>
    </r>
    <r>
      <rPr>
        <sz val="9"/>
        <color rgb="FF7F7F7F"/>
        <rFont val="Microsoft YaHei"/>
        <family val="0"/>
        <charset val="1"/>
      </rPr>
      <t xml:space="preserve">0</t>
    </r>
  </si>
  <si>
    <r>
      <rPr>
        <b val="true"/>
        <sz val="10"/>
        <color rgb="FF1F3864"/>
        <rFont val="Arial Unicode MS"/>
        <family val="2"/>
      </rPr>
      <t xml:space="preserve">九、债务与融资 </t>
    </r>
    <r>
      <rPr>
        <b val="true"/>
        <sz val="10"/>
        <color rgb="FF1F3864"/>
        <rFont val="Microsoft YaHei"/>
        <family val="0"/>
        <charset val="1"/>
      </rPr>
      <t xml:space="preserve">(FIN</t>
    </r>
    <r>
      <rPr>
        <b val="true"/>
        <sz val="10"/>
        <color rgb="FF1F3864"/>
        <rFont val="Arial Unicode MS"/>
        <family val="2"/>
      </rPr>
      <t xml:space="preserve">页调度输入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</si>
  <si>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t xml:space="preserve">最低现金占收入比</t>
  </si>
  <si>
    <r>
      <rPr>
        <sz val="9"/>
        <color rgb="FF7F7F7F"/>
        <rFont val="Arial Unicode MS"/>
        <family val="2"/>
      </rPr>
      <t xml:space="preserve">分析师修正</t>
    </r>
    <r>
      <rPr>
        <sz val="9"/>
        <color rgb="FF7F7F7F"/>
        <rFont val="Microsoft YaHei"/>
        <family val="0"/>
        <charset val="1"/>
      </rPr>
      <t xml:space="preserve">: 2025</t>
    </r>
    <r>
      <rPr>
        <sz val="9"/>
        <color rgb="FF7F7F7F"/>
        <rFont val="Arial Unicode MS"/>
        <family val="2"/>
      </rPr>
      <t xml:space="preserve">年报货币资金</t>
    </r>
    <r>
      <rPr>
        <sz val="9"/>
        <color rgb="FF7F7F7F"/>
        <rFont val="Microsoft YaHei"/>
        <family val="0"/>
        <charset val="1"/>
      </rPr>
      <t xml:space="preserve">5,872</t>
    </r>
    <r>
      <rPr>
        <sz val="9"/>
        <color rgb="FF7F7F7F"/>
        <rFont val="Arial Unicode MS"/>
        <family val="2"/>
      </rPr>
      <t xml:space="preserve">百万美元≈收入</t>
    </r>
    <r>
      <rPr>
        <sz val="9"/>
        <color rgb="FF7F7F7F"/>
        <rFont val="Microsoft YaHei"/>
        <family val="0"/>
        <charset val="1"/>
      </rPr>
      <t xml:space="preserve">63%; </t>
    </r>
    <r>
      <rPr>
        <sz val="9"/>
        <color rgb="FF7F7F7F"/>
        <rFont val="Arial Unicode MS"/>
        <family val="2"/>
      </rPr>
      <t xml:space="preserve">公司处扩产周期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高额现金为资本开支储备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不参与</t>
    </r>
    <r>
      <rPr>
        <sz val="9"/>
        <color rgb="FF7F7F7F"/>
        <rFont val="Microsoft YaHei"/>
        <family val="0"/>
        <charset val="1"/>
      </rPr>
      <t xml:space="preserve">sweep</t>
    </r>
    <r>
      <rPr>
        <sz val="9"/>
        <color rgb="FF7F7F7F"/>
        <rFont val="Arial Unicode MS"/>
        <family val="2"/>
      </rPr>
      <t xml:space="preserve">偿债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若按通用默认</t>
    </r>
    <r>
      <rPr>
        <sz val="9"/>
        <color rgb="FF7F7F7F"/>
        <rFont val="Microsoft YaHei"/>
        <family val="0"/>
        <charset val="1"/>
      </rPr>
      <t xml:space="preserve">2%</t>
    </r>
    <r>
      <rPr>
        <sz val="9"/>
        <color rgb="FF7F7F7F"/>
        <rFont val="Arial Unicode MS"/>
        <family val="2"/>
      </rPr>
      <t xml:space="preserve">则期初存量现金被一次性</t>
    </r>
    <r>
      <rPr>
        <sz val="9"/>
        <color rgb="FF7F7F7F"/>
        <rFont val="Microsoft YaHei"/>
        <family val="0"/>
        <charset val="1"/>
      </rPr>
      <t xml:space="preserve">sweep</t>
    </r>
    <r>
      <rPr>
        <sz val="9"/>
        <color rgb="FF7F7F7F"/>
        <rFont val="Arial Unicode MS"/>
        <family val="2"/>
      </rPr>
      <t xml:space="preserve">还债</t>
    </r>
    <r>
      <rPr>
        <sz val="9"/>
        <color rgb="FF7F7F7F"/>
        <rFont val="Microsoft YaHei"/>
        <family val="0"/>
        <charset val="1"/>
      </rPr>
      <t xml:space="preserve">, FCFE</t>
    </r>
    <r>
      <rPr>
        <sz val="9"/>
        <color rgb="FF7F7F7F"/>
        <rFont val="Arial Unicode MS"/>
        <family val="2"/>
      </rPr>
      <t xml:space="preserve">首年机制性深负</t>
    </r>
  </si>
  <si>
    <r>
      <rPr>
        <sz val="10"/>
        <color rgb="FF000000"/>
        <rFont val="Arial Unicode MS"/>
        <family val="2"/>
      </rPr>
      <t xml:space="preserve">短期借款</t>
    </r>
    <r>
      <rPr>
        <sz val="10"/>
        <color rgb="FF000000"/>
        <rFont val="Microsoft YaHei"/>
        <family val="0"/>
        <charset val="1"/>
      </rPr>
      <t xml:space="preserve">(revolver)</t>
    </r>
    <r>
      <rPr>
        <sz val="10"/>
        <color rgb="FF000000"/>
        <rFont val="Arial Unicode MS"/>
        <family val="2"/>
      </rPr>
      <t xml:space="preserve">计划还款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</si>
  <si>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短借为</t>
    </r>
    <r>
      <rPr>
        <sz val="9"/>
        <color rgb="FF7F7F7F"/>
        <rFont val="Microsoft YaHei"/>
        <family val="0"/>
        <charset val="1"/>
      </rPr>
      <t xml:space="preserve">revolver, </t>
    </r>
    <r>
      <rPr>
        <sz val="9"/>
        <color rgb="FF7F7F7F"/>
        <rFont val="Arial Unicode MS"/>
        <family val="2"/>
      </rPr>
      <t xml:space="preserve">无计划还款</t>
    </r>
  </si>
  <si>
    <t xml:space="preserve">一年内到期非流动负债计划还款</t>
  </si>
  <si>
    <r>
      <rPr>
        <sz val="9"/>
        <color rgb="FF7F7F7F"/>
        <rFont val="Arial Unicode MS"/>
        <family val="2"/>
      </rPr>
      <t xml:space="preserve">分析师修正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扩产周期存量债务滚动续作</t>
    </r>
    <r>
      <rPr>
        <sz val="9"/>
        <color rgb="FF7F7F7F"/>
        <rFont val="Microsoft YaHei"/>
        <family val="0"/>
        <charset val="1"/>
      </rPr>
      <t xml:space="preserve">(2024-2025</t>
    </r>
    <r>
      <rPr>
        <sz val="9"/>
        <color rgb="FF7F7F7F"/>
        <rFont val="Arial Unicode MS"/>
        <family val="2"/>
      </rPr>
      <t xml:space="preserve">年报有息负债余额稳定</t>
    </r>
    <r>
      <rPr>
        <sz val="9"/>
        <color rgb="FF7F7F7F"/>
        <rFont val="Microsoft YaHei"/>
        <family val="0"/>
        <charset val="1"/>
      </rPr>
      <t xml:space="preserve">), </t>
    </r>
    <r>
      <rPr>
        <sz val="9"/>
        <color rgb="FF7F7F7F"/>
        <rFont val="Arial Unicode MS"/>
        <family val="2"/>
      </rPr>
      <t xml:space="preserve">不做计划摊还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超额现金由</t>
    </r>
    <r>
      <rPr>
        <sz val="9"/>
        <color rgb="FF7F7F7F"/>
        <rFont val="Microsoft YaHei"/>
        <family val="0"/>
        <charset val="1"/>
      </rPr>
      <t xml:space="preserve">FIN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sweep</t>
    </r>
    <r>
      <rPr>
        <sz val="9"/>
        <color rgb="FF7F7F7F"/>
        <rFont val="Arial Unicode MS"/>
        <family val="2"/>
      </rPr>
      <t xml:space="preserve">调度</t>
    </r>
  </si>
  <si>
    <t xml:space="preserve">长期借款计划还款</t>
  </si>
  <si>
    <r>
      <rPr>
        <sz val="9"/>
        <color rgb="FF7F7F7F"/>
        <rFont val="Arial Unicode MS"/>
        <family val="2"/>
      </rPr>
      <t xml:space="preserve">分析师修正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同上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长期借款滚动续作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强制</t>
    </r>
    <r>
      <rPr>
        <sz val="9"/>
        <color rgb="FF7F7F7F"/>
        <rFont val="Microsoft YaHei"/>
        <family val="0"/>
        <charset val="1"/>
      </rPr>
      <t xml:space="preserve">1/5</t>
    </r>
    <r>
      <rPr>
        <sz val="9"/>
        <color rgb="FF7F7F7F"/>
        <rFont val="Arial Unicode MS"/>
        <family val="2"/>
      </rPr>
      <t xml:space="preserve">摊还会使重资产标的</t>
    </r>
    <r>
      <rPr>
        <sz val="9"/>
        <color rgb="FF7F7F7F"/>
        <rFont val="Microsoft YaHei"/>
        <family val="0"/>
        <charset val="1"/>
      </rPr>
      <t xml:space="preserve">FCFE</t>
    </r>
    <r>
      <rPr>
        <sz val="9"/>
        <color rgb="FF7F7F7F"/>
        <rFont val="Arial Unicode MS"/>
        <family val="2"/>
      </rPr>
      <t xml:space="preserve">机制性深负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与公司实际再融资行为不符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</si>
  <si>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租赁负债计划还款</t>
  </si>
  <si>
    <r>
      <rPr>
        <sz val="9"/>
        <color rgb="FF7F7F7F"/>
        <rFont val="Arial Unicode MS"/>
        <family val="2"/>
      </rPr>
      <t xml:space="preserve">分析师修正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租赁负债滚动续作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不做计划摊还</t>
    </r>
  </si>
  <si>
    <t xml:space="preserve">短期借款利率</t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</si>
  <si>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一年期</t>
    </r>
    <r>
      <rPr>
        <sz val="9"/>
        <color rgb="FF7F7F7F"/>
        <rFont val="Microsoft YaHei"/>
        <family val="0"/>
        <charset val="1"/>
      </rPr>
      <t xml:space="preserve">LPR</t>
    </r>
    <r>
      <rPr>
        <sz val="9"/>
        <color rgb="FF7F7F7F"/>
        <rFont val="Arial Unicode MS"/>
        <family val="2"/>
      </rPr>
      <t xml:space="preserve">附近</t>
    </r>
  </si>
  <si>
    <t xml:space="preserve">一年内到期非流动负债利率</t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</si>
  <si>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参照综合借款成本</t>
    </r>
  </si>
  <si>
    <t xml:space="preserve">长期借款利率</t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</si>
  <si>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项目贷略高</t>
    </r>
  </si>
  <si>
    <t xml:space="preserve">租赁负债利率</t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</si>
  <si>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租赁内含利率</t>
    </r>
    <r>
      <rPr>
        <sz val="9"/>
        <color rgb="FF7F7F7F"/>
        <rFont val="Microsoft YaHei"/>
        <family val="0"/>
        <charset val="1"/>
      </rPr>
      <t xml:space="preserve">4-5%</t>
    </r>
  </si>
  <si>
    <r>
      <rPr>
        <sz val="10"/>
        <color rgb="FF000000"/>
        <rFont val="Arial Unicode MS"/>
        <family val="2"/>
      </rPr>
      <t xml:space="preserve">货币资金收益率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按平均余额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</si>
  <si>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活期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短期存款</t>
    </r>
    <r>
      <rPr>
        <sz val="9"/>
        <color rgb="FF7F7F7F"/>
        <rFont val="Microsoft YaHei"/>
        <family val="0"/>
        <charset val="1"/>
      </rPr>
      <t xml:space="preserve">1.2%</t>
    </r>
  </si>
  <si>
    <r>
      <rPr>
        <sz val="10"/>
        <color rgb="FF000000"/>
        <rFont val="Arial Unicode MS"/>
        <family val="2"/>
      </rPr>
      <t xml:space="preserve">其他财务费用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手续费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汇兑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</si>
  <si>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手续费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汇兑等</t>
    </r>
    <r>
      <rPr>
        <sz val="9"/>
        <color rgb="FF7F7F7F"/>
        <rFont val="Microsoft YaHei"/>
        <family val="0"/>
        <charset val="1"/>
      </rPr>
      <t xml:space="preserve">30</t>
    </r>
    <r>
      <rPr>
        <sz val="9"/>
        <color rgb="FF7F7F7F"/>
        <rFont val="Arial Unicode MS"/>
        <family val="2"/>
      </rPr>
      <t xml:space="preserve">百万</t>
    </r>
  </si>
  <si>
    <r>
      <rPr>
        <sz val="10"/>
        <color rgb="FF000000"/>
        <rFont val="Microsoft YaHei"/>
        <family val="0"/>
        <charset val="1"/>
      </rPr>
      <t xml:space="preserve">2025A</t>
    </r>
    <r>
      <rPr>
        <sz val="10"/>
        <color rgb="FF000000"/>
        <rFont val="Arial Unicode MS"/>
        <family val="2"/>
      </rPr>
      <t xml:space="preserve">末有息负债合计</t>
    </r>
  </si>
  <si>
    <r>
      <rPr>
        <sz val="9"/>
        <color rgb="FF7F7F7F"/>
        <rFont val="Arial Unicode MS"/>
        <family val="2"/>
      </rPr>
      <t xml:space="preserve">＝短借</t>
    </r>
    <r>
      <rPr>
        <sz val="9"/>
        <color rgb="FF7F7F7F"/>
        <rFont val="Microsoft YaHei"/>
        <family val="0"/>
        <charset val="1"/>
      </rPr>
      <t xml:space="preserve">2593.1+</t>
    </r>
    <r>
      <rPr>
        <sz val="9"/>
        <color rgb="FF7F7F7F"/>
        <rFont val="Arial Unicode MS"/>
        <family val="2"/>
      </rPr>
      <t xml:space="preserve">一年内</t>
    </r>
    <r>
      <rPr>
        <sz val="9"/>
        <color rgb="FF7F7F7F"/>
        <rFont val="Microsoft YaHei"/>
        <family val="0"/>
        <charset val="1"/>
      </rPr>
      <t xml:space="preserve">7.5+</t>
    </r>
    <r>
      <rPr>
        <sz val="9"/>
        <color rgb="FF7F7F7F"/>
        <rFont val="Arial Unicode MS"/>
        <family val="2"/>
      </rPr>
      <t xml:space="preserve">长借</t>
    </r>
    <r>
      <rPr>
        <sz val="9"/>
        <color rgb="FF7F7F7F"/>
        <rFont val="Microsoft YaHei"/>
        <family val="0"/>
        <charset val="1"/>
      </rPr>
      <t xml:space="preserve">9994.8+</t>
    </r>
    <r>
      <rPr>
        <sz val="9"/>
        <color rgb="FF7F7F7F"/>
        <rFont val="Arial Unicode MS"/>
        <family val="2"/>
      </rPr>
      <t xml:space="preserve">租赁</t>
    </r>
    <r>
      <rPr>
        <sz val="9"/>
        <color rgb="FF7F7F7F"/>
        <rFont val="Microsoft YaHei"/>
        <family val="0"/>
        <charset val="1"/>
      </rPr>
      <t xml:space="preserve">0.8 (</t>
    </r>
    <r>
      <rPr>
        <sz val="9"/>
        <color rgb="FF7F7F7F"/>
        <rFont val="Arial Unicode MS"/>
        <family val="2"/>
      </rPr>
      <t xml:space="preserve">东财</t>
    </r>
    <r>
      <rPr>
        <sz val="9"/>
        <color rgb="FF7F7F7F"/>
        <rFont val="Microsoft YaHei"/>
        <family val="0"/>
        <charset val="1"/>
      </rPr>
      <t xml:space="preserve">F10 2025</t>
    </r>
    <r>
      <rPr>
        <sz val="9"/>
        <color rgb="FF7F7F7F"/>
        <rFont val="Arial Unicode MS"/>
        <family val="2"/>
      </rPr>
      <t xml:space="preserve">年报</t>
    </r>
    <r>
      <rPr>
        <sz val="9"/>
        <color rgb="FF7F7F7F"/>
        <rFont val="Microsoft YaHei"/>
        <family val="0"/>
        <charset val="1"/>
      </rPr>
      <t xml:space="preserve">); WACC</t>
    </r>
    <r>
      <rPr>
        <sz val="9"/>
        <color rgb="FF7F7F7F"/>
        <rFont val="Arial Unicode MS"/>
        <family val="2"/>
      </rPr>
      <t xml:space="preserve">的</t>
    </r>
    <r>
      <rPr>
        <sz val="9"/>
        <color rgb="FF7F7F7F"/>
        <rFont val="Microsoft YaHei"/>
        <family val="0"/>
        <charset val="1"/>
      </rPr>
      <t xml:space="preserve">Wd</t>
    </r>
    <r>
      <rPr>
        <sz val="9"/>
        <color rgb="FF7F7F7F"/>
        <rFont val="Arial Unicode MS"/>
        <family val="2"/>
      </rPr>
      <t xml:space="preserve">市值口径引用本行</t>
    </r>
  </si>
  <si>
    <r>
      <rPr>
        <b val="true"/>
        <sz val="10"/>
        <color rgb="FF1F3864"/>
        <rFont val="Arial Unicode MS"/>
        <family val="2"/>
      </rPr>
      <t xml:space="preserve">十、</t>
    </r>
    <r>
      <rPr>
        <b val="true"/>
        <sz val="10"/>
        <color rgb="FF1F3864"/>
        <rFont val="Microsoft YaHei"/>
        <family val="0"/>
        <charset val="1"/>
      </rPr>
      <t xml:space="preserve">WACC </t>
    </r>
    <r>
      <rPr>
        <b val="true"/>
        <sz val="10"/>
        <color rgb="FF1F3864"/>
        <rFont val="Arial Unicode MS"/>
        <family val="2"/>
      </rPr>
      <t xml:space="preserve">与终值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全公式化</t>
    </r>
    <r>
      <rPr>
        <b val="true"/>
        <sz val="10"/>
        <color rgb="FF1F3864"/>
        <rFont val="Microsoft YaHei"/>
        <family val="0"/>
        <charset val="1"/>
      </rPr>
      <t xml:space="preserve">, </t>
    </r>
    <r>
      <rPr>
        <b val="true"/>
        <sz val="10"/>
        <color rgb="FF1F3864"/>
        <rFont val="Arial Unicode MS"/>
        <family val="2"/>
      </rPr>
      <t xml:space="preserve">联动</t>
    </r>
    <r>
      <rPr>
        <b val="true"/>
        <sz val="10"/>
        <color rgb="FF1F3864"/>
        <rFont val="Microsoft YaHei"/>
        <family val="0"/>
        <charset val="1"/>
      </rPr>
      <t xml:space="preserve">Relative_Val</t>
    </r>
    <r>
      <rPr>
        <b val="true"/>
        <sz val="10"/>
        <color rgb="FF1F3864"/>
        <rFont val="Arial Unicode MS"/>
        <family val="2"/>
      </rPr>
      <t xml:space="preserve">可比</t>
    </r>
    <r>
      <rPr>
        <b val="true"/>
        <sz val="10"/>
        <color rgb="FF1F3864"/>
        <rFont val="Microsoft YaHei"/>
        <family val="0"/>
        <charset val="1"/>
      </rPr>
      <t xml:space="preserve">beta)</t>
    </r>
  </si>
  <si>
    <r>
      <rPr>
        <sz val="10"/>
        <color rgb="FF000000"/>
        <rFont val="Arial Unicode MS"/>
        <family val="2"/>
      </rPr>
      <t xml:space="preserve">无风险利率 </t>
    </r>
    <r>
      <rPr>
        <sz val="10"/>
        <color rgb="FF000000"/>
        <rFont val="Microsoft YaHei"/>
        <family val="0"/>
        <charset val="1"/>
      </rPr>
      <t xml:space="preserve">rf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</si>
  <si>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港股</t>
    </r>
    <r>
      <rPr>
        <sz val="9"/>
        <color rgb="FF7F7F7F"/>
        <rFont val="Microsoft YaHei"/>
        <family val="0"/>
        <charset val="1"/>
      </rPr>
      <t xml:space="preserve">): 10</t>
    </r>
    <r>
      <rPr>
        <sz val="9"/>
        <color rgb="FF7F7F7F"/>
        <rFont val="Arial Unicode MS"/>
        <family val="2"/>
      </rPr>
      <t xml:space="preserve">年期美债收益率约</t>
    </r>
    <r>
      <rPr>
        <sz val="9"/>
        <color rgb="FF7F7F7F"/>
        <rFont val="Microsoft YaHei"/>
        <family val="0"/>
        <charset val="1"/>
      </rPr>
      <t xml:space="preserve">4%(</t>
    </r>
    <r>
      <rPr>
        <sz val="9"/>
        <color rgb="FF7F7F7F"/>
        <rFont val="Arial Unicode MS"/>
        <family val="2"/>
      </rPr>
      <t xml:space="preserve">财报币种口径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</si>
  <si>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股权风险溢价 </t>
    </r>
    <r>
      <rPr>
        <sz val="10"/>
        <color rgb="FF000000"/>
        <rFont val="Microsoft YaHei"/>
        <family val="0"/>
        <charset val="1"/>
      </rPr>
      <t xml:space="preserve">ERP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</si>
  <si>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ERP</t>
    </r>
    <r>
      <rPr>
        <sz val="9"/>
        <color rgb="FF7F7F7F"/>
        <rFont val="Arial Unicode MS"/>
        <family val="2"/>
      </rPr>
      <t xml:space="preserve">中枢</t>
    </r>
    <r>
      <rPr>
        <sz val="9"/>
        <color rgb="FF7F7F7F"/>
        <rFont val="Microsoft YaHei"/>
        <family val="0"/>
        <charset val="1"/>
      </rPr>
      <t xml:space="preserve">5.5%; </t>
    </r>
    <r>
      <rPr>
        <sz val="9"/>
        <color rgb="FF7F7F7F"/>
        <rFont val="Arial Unicode MS"/>
        <family val="2"/>
      </rPr>
      <t xml:space="preserve">港股口径请按研究修正</t>
    </r>
  </si>
  <si>
    <r>
      <rPr>
        <sz val="10"/>
        <color rgb="FF000000"/>
        <rFont val="Arial Unicode MS"/>
        <family val="2"/>
      </rPr>
      <t xml:space="preserve">可比公司无杠杆</t>
    </r>
    <r>
      <rPr>
        <sz val="10"/>
        <color rgb="FF000000"/>
        <rFont val="Microsoft YaHei"/>
        <family val="0"/>
        <charset val="1"/>
      </rPr>
      <t xml:space="preserve">βu</t>
    </r>
    <r>
      <rPr>
        <sz val="10"/>
        <color rgb="FF000000"/>
        <rFont val="Arial Unicode MS"/>
        <family val="2"/>
      </rPr>
      <t xml:space="preserve">中位数</t>
    </r>
  </si>
  <si>
    <t xml:space="preserve">x</t>
  </si>
  <si>
    <r>
      <rPr>
        <sz val="9"/>
        <color rgb="FF7F7F7F"/>
        <rFont val="Arial Unicode MS"/>
        <family val="2"/>
      </rPr>
      <t xml:space="preserve">兜底默认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未配置可比公司</t>
    </r>
    <r>
      <rPr>
        <sz val="9"/>
        <color rgb="FF7F7F7F"/>
        <rFont val="Microsoft YaHei"/>
        <family val="0"/>
        <charset val="1"/>
      </rPr>
      <t xml:space="preserve">, βu=1.0</t>
    </r>
    <r>
      <rPr>
        <sz val="9"/>
        <color rgb="FF7F7F7F"/>
        <rFont val="Arial Unicode MS"/>
        <family val="2"/>
      </rPr>
      <t xml:space="preserve">蓝色输入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建议补</t>
    </r>
    <r>
      <rPr>
        <sz val="9"/>
        <color rgb="FF7F7F7F"/>
        <rFont val="Microsoft YaHei"/>
        <family val="0"/>
        <charset val="1"/>
      </rPr>
      <t xml:space="preserve">relative_val.comps</t>
    </r>
    <r>
      <rPr>
        <sz val="9"/>
        <color rgb="FF7F7F7F"/>
        <rFont val="Arial Unicode MS"/>
        <family val="2"/>
      </rPr>
      <t xml:space="preserve">后自动取中位数</t>
    </r>
  </si>
  <si>
    <r>
      <rPr>
        <sz val="10"/>
        <color rgb="FF000000"/>
        <rFont val="Arial Unicode MS"/>
        <family val="2"/>
      </rPr>
      <t xml:space="preserve">目标债务权重 </t>
    </r>
    <r>
      <rPr>
        <sz val="10"/>
        <color rgb="FF000000"/>
        <rFont val="Microsoft YaHei"/>
        <family val="0"/>
        <charset val="1"/>
      </rPr>
      <t xml:space="preserve">Wd (</t>
    </r>
    <r>
      <rPr>
        <sz val="10"/>
        <color rgb="FF000000"/>
        <rFont val="Arial Unicode MS"/>
        <family val="2"/>
      </rPr>
      <t xml:space="preserve">市值口径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</si>
  <si>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2025A</t>
    </r>
    <r>
      <rPr>
        <sz val="9"/>
        <color rgb="FF7F7F7F"/>
        <rFont val="Arial Unicode MS"/>
        <family val="2"/>
      </rPr>
      <t xml:space="preserve">末有息负债</t>
    </r>
    <r>
      <rPr>
        <sz val="9"/>
        <color rgb="FF7F7F7F"/>
        <rFont val="Microsoft YaHei"/>
        <family val="0"/>
        <charset val="1"/>
      </rPr>
      <t xml:space="preserve">/(</t>
    </r>
    <r>
      <rPr>
        <sz val="9"/>
        <color rgb="FF7F7F7F"/>
        <rFont val="Arial Unicode MS"/>
        <family val="2"/>
      </rPr>
      <t xml:space="preserve">有息负债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总市值</t>
    </r>
    <r>
      <rPr>
        <sz val="9"/>
        <color rgb="FF7F7F7F"/>
        <rFont val="Microsoft YaHei"/>
        <family val="0"/>
        <charset val="1"/>
      </rPr>
      <t xml:space="preserve">): </t>
    </r>
    <r>
      <rPr>
        <sz val="9"/>
        <color rgb="FF7F7F7F"/>
        <rFont val="Arial Unicode MS"/>
        <family val="2"/>
      </rPr>
      <t xml:space="preserve">以市值口径现状结构为目标结构</t>
    </r>
  </si>
  <si>
    <r>
      <rPr>
        <sz val="10"/>
        <color rgb="FF000000"/>
        <rFont val="Arial Unicode MS"/>
        <family val="2"/>
      </rPr>
      <t xml:space="preserve">目标 </t>
    </r>
    <r>
      <rPr>
        <sz val="10"/>
        <color rgb="FF000000"/>
        <rFont val="Microsoft YaHei"/>
        <family val="0"/>
        <charset val="1"/>
      </rPr>
      <t xml:space="preserve">D/E = Wd/(1-Wd)</t>
    </r>
  </si>
  <si>
    <r>
      <rPr>
        <sz val="9"/>
        <color rgb="FF7F7F7F"/>
        <rFont val="Microsoft YaHei"/>
        <family val="0"/>
        <charset val="1"/>
      </rPr>
      <t xml:space="preserve">relever</t>
    </r>
    <r>
      <rPr>
        <sz val="9"/>
        <color rgb="FF7F7F7F"/>
        <rFont val="Arial Unicode MS"/>
        <family val="2"/>
      </rPr>
      <t xml:space="preserve">用目标产权比率</t>
    </r>
  </si>
  <si>
    <r>
      <rPr>
        <sz val="10"/>
        <color rgb="FF000000"/>
        <rFont val="Arial Unicode MS"/>
        <family val="2"/>
      </rPr>
      <t xml:space="preserve">再杠杆</t>
    </r>
    <r>
      <rPr>
        <sz val="10"/>
        <color rgb="FF000000"/>
        <rFont val="Microsoft YaHei"/>
        <family val="0"/>
        <charset val="1"/>
      </rPr>
      <t xml:space="preserve">βl = βu×(1+(1-t)×D/E)</t>
    </r>
  </si>
  <si>
    <r>
      <rPr>
        <sz val="9"/>
        <color rgb="FF7F7F7F"/>
        <rFont val="Microsoft YaHei"/>
        <family val="0"/>
        <charset val="1"/>
      </rPr>
      <t xml:space="preserve">Hamada</t>
    </r>
    <r>
      <rPr>
        <sz val="9"/>
        <color rgb="FF7F7F7F"/>
        <rFont val="Arial Unicode MS"/>
        <family val="2"/>
      </rPr>
      <t xml:space="preserve">公式</t>
    </r>
    <r>
      <rPr>
        <sz val="9"/>
        <color rgb="FF7F7F7F"/>
        <rFont val="Microsoft YaHei"/>
        <family val="0"/>
        <charset val="1"/>
      </rPr>
      <t xml:space="preserve">, t=2026E</t>
    </r>
    <r>
      <rPr>
        <sz val="9"/>
        <color rgb="FF7F7F7F"/>
        <rFont val="Arial Unicode MS"/>
        <family val="2"/>
      </rPr>
      <t xml:space="preserve">有效税率</t>
    </r>
  </si>
  <si>
    <r>
      <rPr>
        <sz val="10"/>
        <color rgb="FF000000"/>
        <rFont val="Arial Unicode MS"/>
        <family val="2"/>
      </rPr>
      <t xml:space="preserve">个股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执行风险溢价 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已删除</t>
    </r>
    <r>
      <rPr>
        <sz val="10"/>
        <color rgb="FF000000"/>
        <rFont val="Microsoft YaHei"/>
        <family val="0"/>
        <charset val="1"/>
      </rPr>
      <t xml:space="preserve">=0)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</si>
  <si>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不取个股溢价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避免与</t>
    </r>
    <r>
      <rPr>
        <sz val="9"/>
        <color rgb="FF7F7F7F"/>
        <rFont val="Microsoft YaHei"/>
        <family val="0"/>
        <charset val="1"/>
      </rPr>
      <t xml:space="preserve">β/</t>
    </r>
    <r>
      <rPr>
        <sz val="9"/>
        <color rgb="FF7F7F7F"/>
        <rFont val="Arial Unicode MS"/>
        <family val="2"/>
      </rPr>
      <t xml:space="preserve">情景重复计价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</si>
  <si>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股权成本 </t>
    </r>
    <r>
      <rPr>
        <sz val="10"/>
        <color rgb="FF000000"/>
        <rFont val="Microsoft YaHei"/>
        <family val="0"/>
        <charset val="1"/>
      </rPr>
      <t xml:space="preserve">Ke = rf+βl×ERP+</t>
    </r>
    <r>
      <rPr>
        <sz val="10"/>
        <color rgb="FF000000"/>
        <rFont val="Arial Unicode MS"/>
        <family val="2"/>
      </rPr>
      <t xml:space="preserve">溢价</t>
    </r>
  </si>
  <si>
    <r>
      <rPr>
        <sz val="9"/>
        <color rgb="FF7F7F7F"/>
        <rFont val="Microsoft YaHei"/>
        <family val="0"/>
        <charset val="1"/>
      </rPr>
      <t xml:space="preserve">CAPM</t>
    </r>
    <r>
      <rPr>
        <sz val="9"/>
        <color rgb="FF7F7F7F"/>
        <rFont val="Arial Unicode MS"/>
        <family val="2"/>
      </rPr>
      <t xml:space="preserve">公式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溢价默认为</t>
    </r>
    <r>
      <rPr>
        <sz val="9"/>
        <color rgb="FF7F7F7F"/>
        <rFont val="Microsoft YaHei"/>
        <family val="0"/>
        <charset val="1"/>
      </rPr>
      <t xml:space="preserve">0)</t>
    </r>
  </si>
  <si>
    <r>
      <rPr>
        <sz val="10"/>
        <color rgb="FF000000"/>
        <rFont val="Arial Unicode MS"/>
        <family val="2"/>
      </rPr>
      <t xml:space="preserve">债务成本 </t>
    </r>
    <r>
      <rPr>
        <sz val="10"/>
        <color rgb="FF000000"/>
        <rFont val="Microsoft YaHei"/>
        <family val="0"/>
        <charset val="1"/>
      </rPr>
      <t xml:space="preserve">Kd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</si>
  <si>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≈</t>
    </r>
    <r>
      <rPr>
        <sz val="9"/>
        <color rgb="FF7F7F7F"/>
        <rFont val="Arial Unicode MS"/>
        <family val="2"/>
      </rPr>
      <t xml:space="preserve">债务加权平均利率</t>
    </r>
  </si>
  <si>
    <r>
      <rPr>
        <sz val="10"/>
        <color rgb="FF000000"/>
        <rFont val="Microsoft YaHei"/>
        <family val="0"/>
        <charset val="1"/>
      </rPr>
      <t xml:space="preserve">WACC (</t>
    </r>
    <r>
      <rPr>
        <sz val="10"/>
        <color rgb="FF000000"/>
        <rFont val="Arial Unicode MS"/>
        <family val="2"/>
      </rPr>
      <t xml:space="preserve">计算值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</si>
  <si>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(1-Wd)×Ke + Wd×Kd×(1-t)</t>
    </r>
  </si>
  <si>
    <r>
      <rPr>
        <sz val="10"/>
        <color rgb="FF000000"/>
        <rFont val="Microsoft YaHei"/>
        <family val="0"/>
        <charset val="1"/>
      </rPr>
      <t xml:space="preserve">WACC override (</t>
    </r>
    <r>
      <rPr>
        <sz val="10"/>
        <color rgb="FF000000"/>
        <rFont val="Arial Unicode MS"/>
        <family val="2"/>
      </rPr>
      <t xml:space="preserve">留空</t>
    </r>
    <r>
      <rPr>
        <sz val="10"/>
        <color rgb="FF000000"/>
        <rFont val="Microsoft YaHei"/>
        <family val="0"/>
        <charset val="1"/>
      </rPr>
      <t xml:space="preserve">=</t>
    </r>
    <r>
      <rPr>
        <sz val="10"/>
        <color rgb="FF000000"/>
        <rFont val="Arial Unicode MS"/>
        <family val="2"/>
      </rPr>
      <t xml:space="preserve">用计算值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</si>
  <si>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蓝色输入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留空则采用上方计算值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填入数值则覆盖</t>
    </r>
    <r>
      <rPr>
        <sz val="9"/>
        <color rgb="FF7F7F7F"/>
        <rFont val="Microsoft YaHei"/>
        <family val="0"/>
        <charset val="1"/>
      </rPr>
      <t xml:space="preserve">(Checks</t>
    </r>
    <r>
      <rPr>
        <sz val="9"/>
        <color rgb="FF7F7F7F"/>
        <rFont val="Arial Unicode MS"/>
        <family val="2"/>
      </rPr>
      <t xml:space="preserve">页校验采用值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计算值或</t>
    </r>
    <r>
      <rPr>
        <sz val="9"/>
        <color rgb="FF7F7F7F"/>
        <rFont val="Microsoft YaHei"/>
        <family val="0"/>
        <charset val="1"/>
      </rPr>
      <t xml:space="preserve">override</t>
    </r>
    <r>
      <rPr>
        <sz val="9"/>
        <color rgb="FF7F7F7F"/>
        <rFont val="Arial Unicode MS"/>
        <family val="2"/>
      </rPr>
      <t xml:space="preserve">非空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</si>
  <si>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WACC (</t>
    </r>
    <r>
      <rPr>
        <sz val="10"/>
        <color rgb="FF000000"/>
        <rFont val="Arial Unicode MS"/>
        <family val="2"/>
      </rPr>
      <t xml:space="preserve">采用值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</si>
  <si>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IF(override="", </t>
    </r>
    <r>
      <rPr>
        <sz val="9"/>
        <color rgb="FF7F7F7F"/>
        <rFont val="Arial Unicode MS"/>
        <family val="2"/>
      </rPr>
      <t xml:space="preserve">计算值</t>
    </r>
    <r>
      <rPr>
        <sz val="9"/>
        <color rgb="FF7F7F7F"/>
        <rFont val="Microsoft YaHei"/>
        <family val="0"/>
        <charset val="1"/>
      </rPr>
      <t xml:space="preserve">, override); DCF/Sensitivity/Scenarios</t>
    </r>
    <r>
      <rPr>
        <sz val="9"/>
        <color rgb="FF7F7F7F"/>
        <rFont val="Arial Unicode MS"/>
        <family val="2"/>
      </rPr>
      <t xml:space="preserve">全部引用本行</t>
    </r>
  </si>
  <si>
    <r>
      <rPr>
        <sz val="10"/>
        <color rgb="FF000000"/>
        <rFont val="Arial Unicode MS"/>
        <family val="2"/>
      </rPr>
      <t xml:space="preserve">永续增长率 </t>
    </r>
    <r>
      <rPr>
        <sz val="10"/>
        <color rgb="FF000000"/>
        <rFont val="Microsoft YaHei"/>
        <family val="0"/>
        <charset val="1"/>
      </rPr>
      <t xml:space="preserve">g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</si>
  <si>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长期名义增速中枢下沿</t>
    </r>
  </si>
  <si>
    <r>
      <rPr>
        <b val="true"/>
        <sz val="10"/>
        <color rgb="FF1F3864"/>
        <rFont val="Arial Unicode MS"/>
        <family val="2"/>
      </rPr>
      <t xml:space="preserve">十一、情景参数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驱动情景开关 </t>
    </r>
    <r>
      <rPr>
        <b val="true"/>
        <sz val="10"/>
        <color rgb="FF1F3864"/>
        <rFont val="Microsoft YaHei"/>
        <family val="0"/>
        <charset val="1"/>
      </rPr>
      <t xml:space="preserve">&amp; Scenarios</t>
    </r>
    <r>
      <rPr>
        <b val="true"/>
        <sz val="10"/>
        <color rgb="FF1F3864"/>
        <rFont val="Arial Unicode MS"/>
        <family val="2"/>
      </rPr>
      <t xml:space="preserve">页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</si>
  <si>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t xml:space="preserve">情景</t>
  </si>
  <si>
    <t xml:space="preserve">收入增速调整</t>
  </si>
  <si>
    <t xml:space="preserve">净利率调整</t>
  </si>
  <si>
    <t xml:space="preserve">情景逻辑</t>
  </si>
  <si>
    <r>
      <rPr>
        <b val="true"/>
        <sz val="10"/>
        <color rgb="FFCC0000"/>
        <rFont val="Arial Unicode MS"/>
        <family val="2"/>
      </rPr>
      <t xml:space="preserve">熊市 </t>
    </r>
    <r>
      <rPr>
        <b val="true"/>
        <sz val="10"/>
        <color rgb="FFCC0000"/>
        <rFont val="Microsoft YaHei"/>
        <family val="0"/>
        <charset val="1"/>
      </rPr>
      <t xml:space="preserve">Bear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</si>
  <si>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分部增速</t>
    </r>
    <r>
      <rPr>
        <sz val="9"/>
        <color rgb="FF7F7F7F"/>
        <rFont val="Microsoft YaHei"/>
        <family val="0"/>
        <charset val="1"/>
      </rPr>
      <t xml:space="preserve">-15pct, </t>
    </r>
    <r>
      <rPr>
        <sz val="9"/>
        <color rgb="FF7F7F7F"/>
        <rFont val="Arial Unicode MS"/>
        <family val="2"/>
      </rPr>
      <t xml:space="preserve">净利率</t>
    </r>
    <r>
      <rPr>
        <sz val="9"/>
        <color rgb="FF7F7F7F"/>
        <rFont val="Microsoft YaHei"/>
        <family val="0"/>
        <charset val="1"/>
      </rPr>
      <t xml:space="preserve">-3pct</t>
    </r>
  </si>
  <si>
    <r>
      <rPr>
        <b val="true"/>
        <sz val="10"/>
        <color rgb="FF000000"/>
        <rFont val="Arial Unicode MS"/>
        <family val="2"/>
      </rPr>
      <t xml:space="preserve">基准 </t>
    </r>
    <r>
      <rPr>
        <b val="true"/>
        <sz val="10"/>
        <color rgb="FF000000"/>
        <rFont val="Microsoft YaHei"/>
        <family val="0"/>
        <charset val="1"/>
      </rPr>
      <t xml:space="preserve">Base</t>
    </r>
  </si>
  <si>
    <r>
      <rPr>
        <sz val="9"/>
        <color rgb="FF7F7F7F"/>
        <rFont val="Arial Unicode MS"/>
        <family val="2"/>
      </rPr>
      <t xml:space="preserve">基准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不调整</t>
    </r>
  </si>
  <si>
    <r>
      <rPr>
        <b val="true"/>
        <sz val="10"/>
        <color rgb="FF000000"/>
        <rFont val="Arial Unicode MS"/>
        <family val="2"/>
      </rPr>
      <t xml:space="preserve">牛市 </t>
    </r>
    <r>
      <rPr>
        <b val="true"/>
        <sz val="10"/>
        <color rgb="FF000000"/>
        <rFont val="Microsoft YaHei"/>
        <family val="0"/>
        <charset val="1"/>
      </rPr>
      <t xml:space="preserve">Bull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</si>
  <si>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分部增速</t>
    </r>
    <r>
      <rPr>
        <sz val="9"/>
        <color rgb="FF7F7F7F"/>
        <rFont val="Microsoft YaHei"/>
        <family val="0"/>
        <charset val="1"/>
      </rPr>
      <t xml:space="preserve">+10pct, </t>
    </r>
    <r>
      <rPr>
        <sz val="9"/>
        <color rgb="FF7F7F7F"/>
        <rFont val="Arial Unicode MS"/>
        <family val="2"/>
      </rPr>
      <t xml:space="preserve">净利率</t>
    </r>
    <r>
      <rPr>
        <sz val="9"/>
        <color rgb="FF7F7F7F"/>
        <rFont val="Microsoft YaHei"/>
        <family val="0"/>
        <charset val="1"/>
      </rPr>
      <t xml:space="preserve">+1.5pct</t>
    </r>
  </si>
  <si>
    <r>
      <rPr>
        <b val="true"/>
        <sz val="13"/>
        <color rgb="FFFFFFFF"/>
        <rFont val="Arial Unicode MS"/>
        <family val="2"/>
      </rPr>
      <t xml:space="preserve">中芯国际 — </t>
    </r>
    <r>
      <rPr>
        <b val="true"/>
        <sz val="13"/>
        <color rgb="FFFFFFFF"/>
        <rFont val="Microsoft YaHei"/>
        <family val="0"/>
        <charset val="1"/>
      </rPr>
      <t xml:space="preserve">Revenue_Segments </t>
    </r>
    <r>
      <rPr>
        <b val="true"/>
        <sz val="13"/>
        <color rgb="FFFFFFFF"/>
        <rFont val="Arial Unicode MS"/>
        <family val="2"/>
      </rPr>
      <t xml:space="preserve">分业务收入拆解 </t>
    </r>
    <r>
      <rPr>
        <b val="true"/>
        <sz val="13"/>
        <color rgb="FFFFFFFF"/>
        <rFont val="Microsoft YaHei"/>
        <family val="0"/>
        <charset val="1"/>
      </rPr>
      <t xml:space="preserve">(</t>
    </r>
    <r>
      <rPr>
        <b val="true"/>
        <sz val="13"/>
        <color rgb="FFFFFFFF"/>
        <rFont val="Arial Unicode MS"/>
        <family val="2"/>
      </rPr>
      <t xml:space="preserve">量</t>
    </r>
    <r>
      <rPr>
        <b val="true"/>
        <sz val="13"/>
        <color rgb="FFFFFFFF"/>
        <rFont val="Microsoft YaHei"/>
        <family val="0"/>
        <charset val="1"/>
      </rPr>
      <t xml:space="preserve">×</t>
    </r>
    <r>
      <rPr>
        <b val="true"/>
        <sz val="13"/>
        <color rgb="FFFFFFFF"/>
        <rFont val="Arial Unicode MS"/>
        <family val="2"/>
      </rPr>
      <t xml:space="preserve">价驱动</t>
    </r>
    <r>
      <rPr>
        <b val="true"/>
        <sz val="13"/>
        <color rgb="FFFFFFFF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</si>
  <si>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美元百万元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财报口径</t>
    </r>
    <r>
      <rPr>
        <sz val="9"/>
        <color rgb="FF7F7F7F"/>
        <rFont val="Microsoft YaHei"/>
        <family val="0"/>
        <charset val="1"/>
      </rPr>
      <t xml:space="preserve">) | </t>
    </r>
    <r>
      <rPr>
        <sz val="9"/>
        <color rgb="FF7F7F7F"/>
        <rFont val="Arial Unicode MS"/>
        <family val="2"/>
      </rPr>
      <t xml:space="preserve">历史收入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产品占比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总收入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预测收入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上年</t>
    </r>
    <r>
      <rPr>
        <sz val="9"/>
        <color rgb="FF7F7F7F"/>
        <rFont val="Microsoft YaHei"/>
        <family val="0"/>
        <charset val="1"/>
      </rPr>
      <t xml:space="preserve">×(1+</t>
    </r>
    <r>
      <rPr>
        <sz val="9"/>
        <color rgb="FF7F7F7F"/>
        <rFont val="Arial Unicode MS"/>
        <family val="2"/>
      </rPr>
      <t xml:space="preserve">量增速</t>
    </r>
    <r>
      <rPr>
        <sz val="9"/>
        <color rgb="FF7F7F7F"/>
        <rFont val="Microsoft YaHei"/>
        <family val="0"/>
        <charset val="1"/>
      </rPr>
      <t xml:space="preserve">)×(1+</t>
    </r>
    <r>
      <rPr>
        <sz val="9"/>
        <color rgb="FF7F7F7F"/>
        <rFont val="Arial Unicode MS"/>
        <family val="2"/>
      </rPr>
      <t xml:space="preserve">价增速</t>
    </r>
    <r>
      <rPr>
        <sz val="9"/>
        <color rgb="FF7F7F7F"/>
        <rFont val="Microsoft YaHei"/>
        <family val="0"/>
        <charset val="1"/>
      </rPr>
      <t xml:space="preserve">), </t>
    </r>
    <r>
      <rPr>
        <sz val="9"/>
        <color rgb="FF7F7F7F"/>
        <rFont val="Arial Unicode MS"/>
        <family val="2"/>
      </rPr>
      <t xml:space="preserve">增速引用</t>
    </r>
    <r>
      <rPr>
        <sz val="9"/>
        <color rgb="FF7F7F7F"/>
        <rFont val="Microsoft YaHei"/>
        <family val="0"/>
        <charset val="1"/>
      </rPr>
      <t xml:space="preserve">Assumptions</t>
    </r>
    <r>
      <rPr>
        <sz val="9"/>
        <color rgb="FF7F7F7F"/>
        <rFont val="Arial Unicode MS"/>
        <family val="2"/>
      </rPr>
      <t xml:space="preserve">并受情景开关调整</t>
    </r>
  </si>
  <si>
    <t xml:space="preserve">项目</t>
  </si>
  <si>
    <t xml:space="preserve">2024A</t>
  </si>
  <si>
    <t xml:space="preserve">2025A</t>
  </si>
  <si>
    <r>
      <rPr>
        <b val="true"/>
        <sz val="10"/>
        <color rgb="FF000000"/>
        <rFont val="Arial Unicode MS"/>
        <family val="2"/>
      </rPr>
      <t xml:space="preserve">备注 </t>
    </r>
    <r>
      <rPr>
        <b val="true"/>
        <sz val="10"/>
        <color rgb="FF000000"/>
        <rFont val="Microsoft YaHei"/>
        <family val="0"/>
        <charset val="1"/>
      </rPr>
      <t xml:space="preserve">/ </t>
    </r>
    <r>
      <rPr>
        <b val="true"/>
        <sz val="10"/>
        <color rgb="FF000000"/>
        <rFont val="Arial Unicode MS"/>
        <family val="2"/>
      </rPr>
      <t xml:space="preserve">来源</t>
    </r>
  </si>
  <si>
    <r>
      <rPr>
        <sz val="10"/>
        <color rgb="FF000000"/>
        <rFont val="Arial Unicode MS"/>
        <family val="2"/>
      </rPr>
      <t xml:space="preserve">营业收入合计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历史实际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</si>
  <si>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东财</t>
    </r>
    <r>
      <rPr>
        <sz val="9"/>
        <color rgb="FF7F7F7F"/>
        <rFont val="Microsoft YaHei"/>
        <family val="0"/>
        <charset val="1"/>
      </rPr>
      <t xml:space="preserve">F10</t>
    </r>
    <r>
      <rPr>
        <sz val="9"/>
        <color rgb="FF7F7F7F"/>
        <rFont val="Arial Unicode MS"/>
        <family val="2"/>
      </rPr>
      <t xml:space="preserve">利润表</t>
    </r>
    <r>
      <rPr>
        <sz val="9"/>
        <color rgb="FF7F7F7F"/>
        <rFont val="Microsoft YaHei"/>
        <family val="0"/>
        <charset val="1"/>
      </rPr>
      <t xml:space="preserve">: 2024-2025</t>
    </r>
    <r>
      <rPr>
        <sz val="9"/>
        <color rgb="FF7F7F7F"/>
        <rFont val="Arial Unicode MS"/>
        <family val="2"/>
      </rPr>
      <t xml:space="preserve">实际营收</t>
    </r>
  </si>
  <si>
    <r>
      <rPr>
        <b val="true"/>
        <sz val="10"/>
        <color rgb="FF1F3864"/>
        <rFont val="Arial Unicode MS"/>
        <family val="2"/>
      </rPr>
      <t xml:space="preserve">整体业务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单段简化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</si>
  <si>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t xml:space="preserve">收入</t>
  </si>
  <si>
    <t xml:space="preserve">  收入占比</t>
  </si>
  <si>
    <r>
      <rPr>
        <sz val="9"/>
        <color rgb="FF7F7F7F"/>
        <rFont val="Arial Unicode MS"/>
        <family val="2"/>
      </rPr>
      <t xml:space="preserve">港股无东财主营构成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按产品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披露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单段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总收入</t>
    </r>
    <r>
      <rPr>
        <sz val="9"/>
        <color rgb="FF7F7F7F"/>
        <rFont val="Microsoft YaHei"/>
        <family val="0"/>
        <charset val="1"/>
      </rPr>
      <t xml:space="preserve">100%</t>
    </r>
  </si>
  <si>
    <t xml:space="preserve">  收入增速</t>
  </si>
  <si>
    <t xml:space="preserve">—</t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</si>
  <si>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Assumptions</t>
    </r>
    <r>
      <rPr>
        <sz val="9"/>
        <color rgb="FF7F7F7F"/>
        <rFont val="Arial Unicode MS"/>
        <family val="2"/>
      </rPr>
      <t xml:space="preserve">基础增速</t>
    </r>
    <r>
      <rPr>
        <sz val="9"/>
        <color rgb="FF7F7F7F"/>
        <rFont val="Microsoft YaHei"/>
        <family val="0"/>
        <charset val="1"/>
      </rPr>
      <t xml:space="preserve">+CHOOSE(</t>
    </r>
    <r>
      <rPr>
        <sz val="9"/>
        <color rgb="FF7F7F7F"/>
        <rFont val="Arial Unicode MS"/>
        <family val="2"/>
      </rPr>
      <t xml:space="preserve">情景开关</t>
    </r>
    <r>
      <rPr>
        <sz val="9"/>
        <color rgb="FF7F7F7F"/>
        <rFont val="Microsoft YaHei"/>
        <family val="0"/>
        <charset val="1"/>
      </rPr>
      <t xml:space="preserve">,</t>
    </r>
    <r>
      <rPr>
        <sz val="9"/>
        <color rgb="FF7F7F7F"/>
        <rFont val="Arial Unicode MS"/>
        <family val="2"/>
      </rPr>
      <t xml:space="preserve">熊</t>
    </r>
    <r>
      <rPr>
        <sz val="9"/>
        <color rgb="FF7F7F7F"/>
        <rFont val="Microsoft YaHei"/>
        <family val="0"/>
        <charset val="1"/>
      </rPr>
      <t xml:space="preserve">,</t>
    </r>
    <r>
      <rPr>
        <sz val="9"/>
        <color rgb="FF7F7F7F"/>
        <rFont val="Arial Unicode MS"/>
        <family val="2"/>
      </rPr>
      <t xml:space="preserve">基</t>
    </r>
    <r>
      <rPr>
        <sz val="9"/>
        <color rgb="FF7F7F7F"/>
        <rFont val="Microsoft YaHei"/>
        <family val="0"/>
        <charset val="1"/>
      </rPr>
      <t xml:space="preserve">,</t>
    </r>
    <r>
      <rPr>
        <sz val="9"/>
        <color rgb="FF7F7F7F"/>
        <rFont val="Arial Unicode MS"/>
        <family val="2"/>
      </rPr>
      <t xml:space="preserve">牛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</si>
  <si>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  毛利率</t>
  </si>
  <si>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主营构成分产品毛利率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: Assumptions+</t>
    </r>
    <r>
      <rPr>
        <sz val="9"/>
        <color rgb="FF7F7F7F"/>
        <rFont val="Arial Unicode MS"/>
        <family val="2"/>
      </rPr>
      <t xml:space="preserve">情景调整</t>
    </r>
  </si>
  <si>
    <t xml:space="preserve">  毛利</t>
  </si>
  <si>
    <r>
      <rPr>
        <sz val="9"/>
        <color rgb="FF7F7F7F"/>
        <rFont val="Arial Unicode MS"/>
        <family val="2"/>
      </rPr>
      <t xml:space="preserve">  逻辑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港股单段简化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东财</t>
    </r>
    <r>
      <rPr>
        <sz val="9"/>
        <color rgb="FF7F7F7F"/>
        <rFont val="Microsoft YaHei"/>
        <family val="0"/>
        <charset val="1"/>
      </rPr>
      <t xml:space="preserve">HKF10</t>
    </r>
    <r>
      <rPr>
        <sz val="9"/>
        <color rgb="FF7F7F7F"/>
        <rFont val="Arial Unicode MS"/>
        <family val="2"/>
      </rPr>
      <t xml:space="preserve">无主营构成披露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历史毛利率</t>
    </r>
    <r>
      <rPr>
        <sz val="9"/>
        <color rgb="FF7F7F7F"/>
        <rFont val="Microsoft YaHei"/>
        <family val="0"/>
        <charset val="1"/>
      </rPr>
      <t xml:space="preserve">=1-</t>
    </r>
    <r>
      <rPr>
        <sz val="9"/>
        <color rgb="FF7F7F7F"/>
        <rFont val="Arial Unicode MS"/>
        <family val="2"/>
      </rPr>
      <t xml:space="preserve">销售成本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营业额</t>
    </r>
    <r>
      <rPr>
        <sz val="9"/>
        <color rgb="FF7F7F7F"/>
        <rFont val="Microsoft YaHei"/>
        <family val="0"/>
        <charset val="1"/>
      </rPr>
      <t xml:space="preserve">(IFRS)</t>
    </r>
  </si>
  <si>
    <r>
      <rPr>
        <b val="true"/>
        <sz val="10"/>
        <color rgb="FF1F3864"/>
        <rFont val="Arial Unicode MS"/>
        <family val="2"/>
      </rPr>
      <t xml:space="preserve">合计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自动汇总进</t>
    </r>
    <r>
      <rPr>
        <b val="true"/>
        <sz val="10"/>
        <color rgb="FF1F3864"/>
        <rFont val="Microsoft YaHei"/>
        <family val="0"/>
        <charset val="1"/>
      </rPr>
      <t xml:space="preserve">IS)</t>
    </r>
  </si>
  <si>
    <t xml:space="preserve">营业收入合计</t>
  </si>
  <si>
    <t xml:space="preserve">毛利合计</t>
  </si>
  <si>
    <t xml:space="preserve">综合毛利率</t>
  </si>
  <si>
    <r>
      <rPr>
        <sz val="10"/>
        <color rgb="FF000000"/>
        <rFont val="Arial Unicode MS"/>
        <family val="2"/>
      </rPr>
      <t xml:space="preserve">收入</t>
    </r>
    <r>
      <rPr>
        <sz val="10"/>
        <color rgb="FF000000"/>
        <rFont val="Microsoft YaHei"/>
        <family val="0"/>
        <charset val="1"/>
      </rPr>
      <t xml:space="preserve">YoY</t>
    </r>
  </si>
  <si>
    <r>
      <rPr>
        <b val="true"/>
        <sz val="10"/>
        <color rgb="FF1F3864"/>
        <rFont val="Arial Unicode MS"/>
        <family val="2"/>
      </rPr>
      <t xml:space="preserve">基准情形演算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仅引用</t>
    </r>
    <r>
      <rPr>
        <b val="true"/>
        <sz val="10"/>
        <color rgb="FF1F3864"/>
        <rFont val="Microsoft YaHei"/>
        <family val="0"/>
        <charset val="1"/>
      </rPr>
      <t xml:space="preserve">Assumptions</t>
    </r>
    <r>
      <rPr>
        <b val="true"/>
        <sz val="10"/>
        <color rgb="FF1F3864"/>
        <rFont val="Arial Unicode MS"/>
        <family val="2"/>
      </rPr>
      <t xml:space="preserve">基础值</t>
    </r>
    <r>
      <rPr>
        <b val="true"/>
        <sz val="10"/>
        <color rgb="FF1F3864"/>
        <rFont val="Microsoft YaHei"/>
        <family val="0"/>
        <charset val="1"/>
      </rPr>
      <t xml:space="preserve">, </t>
    </r>
    <r>
      <rPr>
        <b val="true"/>
        <sz val="10"/>
        <color rgb="FF1F3864"/>
        <rFont val="Arial Unicode MS"/>
        <family val="2"/>
      </rPr>
      <t xml:space="preserve">不受情景开关影响</t>
    </r>
    <r>
      <rPr>
        <b val="true"/>
        <sz val="10"/>
        <color rgb="FF1F3864"/>
        <rFont val="Microsoft YaHei"/>
        <family val="0"/>
        <charset val="1"/>
      </rPr>
      <t xml:space="preserve">, </t>
    </r>
    <r>
      <rPr>
        <b val="true"/>
        <sz val="10"/>
        <color rgb="FF1F3864"/>
        <rFont val="Arial Unicode MS"/>
        <family val="2"/>
      </rPr>
      <t xml:space="preserve">供</t>
    </r>
    <r>
      <rPr>
        <b val="true"/>
        <sz val="10"/>
        <color rgb="FF1F3864"/>
        <rFont val="Microsoft YaHei"/>
        <family val="0"/>
        <charset val="1"/>
      </rPr>
      <t xml:space="preserve">Scenarios</t>
    </r>
    <r>
      <rPr>
        <b val="true"/>
        <sz val="10"/>
        <color rgb="FF1F3864"/>
        <rFont val="Arial Unicode MS"/>
        <family val="2"/>
      </rPr>
      <t xml:space="preserve">页引用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</si>
  <si>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基准收入 — </t>
    </r>
    <r>
      <rPr>
        <sz val="10"/>
        <color rgb="FF000000"/>
        <rFont val="Microsoft YaHei"/>
        <family val="0"/>
        <charset val="1"/>
      </rPr>
      <t xml:space="preserve">seg1</t>
    </r>
  </si>
  <si>
    <t xml:space="preserve">基准合计收入</t>
  </si>
  <si>
    <t xml:space="preserve">基准收入增速</t>
  </si>
  <si>
    <t xml:space="preserve">基准综合毛利率</t>
  </si>
  <si>
    <r>
      <rPr>
        <b val="true"/>
        <sz val="13"/>
        <color rgb="FFFFFFFF"/>
        <rFont val="Arial Unicode MS"/>
        <family val="2"/>
      </rPr>
      <t xml:space="preserve">中芯国际 — </t>
    </r>
    <r>
      <rPr>
        <b val="true"/>
        <sz val="13"/>
        <color rgb="FFFFFFFF"/>
        <rFont val="Microsoft YaHei"/>
        <family val="0"/>
        <charset val="1"/>
      </rPr>
      <t xml:space="preserve">IS </t>
    </r>
    <r>
      <rPr>
        <b val="true"/>
        <sz val="13"/>
        <color rgb="FFFFFFFF"/>
        <rFont val="Arial Unicode MS"/>
        <family val="2"/>
      </rPr>
      <t xml:space="preserve">利润表 </t>
    </r>
    <r>
      <rPr>
        <b val="true"/>
        <sz val="13"/>
        <color rgb="FFFFFFFF"/>
        <rFont val="Microsoft YaHei"/>
        <family val="0"/>
        <charset val="1"/>
      </rPr>
      <t xml:space="preserve">(2024A-2030E)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</si>
  <si>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美元百万元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财报口径</t>
    </r>
    <r>
      <rPr>
        <sz val="9"/>
        <color rgb="FF7F7F7F"/>
        <rFont val="Microsoft YaHei"/>
        <family val="0"/>
        <charset val="1"/>
      </rPr>
      <t xml:space="preserve">) | 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成本引用</t>
    </r>
    <r>
      <rPr>
        <sz val="9"/>
        <color rgb="FF7F7F7F"/>
        <rFont val="Microsoft YaHei"/>
        <family val="0"/>
        <charset val="1"/>
      </rPr>
      <t xml:space="preserve">Revenue_Segments; </t>
    </r>
    <r>
      <rPr>
        <sz val="9"/>
        <color rgb="FF7F7F7F"/>
        <rFont val="Arial Unicode MS"/>
        <family val="2"/>
      </rPr>
      <t xml:space="preserve">费用率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税率引用</t>
    </r>
    <r>
      <rPr>
        <sz val="9"/>
        <color rgb="FF7F7F7F"/>
        <rFont val="Microsoft YaHei"/>
        <family val="0"/>
        <charset val="1"/>
      </rPr>
      <t xml:space="preserve">Assumptions; </t>
    </r>
    <r>
      <rPr>
        <sz val="9"/>
        <color rgb="FF7F7F7F"/>
        <rFont val="Arial Unicode MS"/>
        <family val="2"/>
      </rPr>
      <t xml:space="preserve">财务费用引用</t>
    </r>
    <r>
      <rPr>
        <sz val="9"/>
        <color rgb="FF7F7F7F"/>
        <rFont val="Microsoft YaHei"/>
        <family val="0"/>
        <charset val="1"/>
      </rPr>
      <t xml:space="preserve">FIN(</t>
    </r>
    <r>
      <rPr>
        <sz val="9"/>
        <color rgb="FF7F7F7F"/>
        <rFont val="Arial Unicode MS"/>
        <family val="2"/>
      </rPr>
      <t xml:space="preserve">平均余额计息</t>
    </r>
    <r>
      <rPr>
        <sz val="9"/>
        <color rgb="FF7F7F7F"/>
        <rFont val="Microsoft YaHei"/>
        <family val="0"/>
        <charset val="1"/>
      </rPr>
      <t xml:space="preserve">, FIN</t>
    </r>
    <r>
      <rPr>
        <sz val="9"/>
        <color rgb="FF7F7F7F"/>
        <rFont val="Arial Unicode MS"/>
        <family val="2"/>
      </rPr>
      <t xml:space="preserve">页迭代展开第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轮输出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</si>
  <si>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营业收入</t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</si>
  <si>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Revenue_Segments</t>
    </r>
    <r>
      <rPr>
        <sz val="9"/>
        <color rgb="FF7F7F7F"/>
        <rFont val="Arial Unicode MS"/>
        <family val="2"/>
      </rPr>
      <t xml:space="preserve">分部合计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东财</t>
    </r>
    <r>
      <rPr>
        <sz val="9"/>
        <color rgb="FF7F7F7F"/>
        <rFont val="Microsoft YaHei"/>
        <family val="0"/>
        <charset val="1"/>
      </rPr>
      <t xml:space="preserve">F10(80.3/93.3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</si>
  <si>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  收入</t>
    </r>
    <r>
      <rPr>
        <sz val="10"/>
        <color rgb="FF000000"/>
        <rFont val="Microsoft YaHei"/>
        <family val="0"/>
        <charset val="1"/>
      </rPr>
      <t xml:space="preserve">YoY</t>
    </r>
  </si>
  <si>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: 2025A +16.2%</t>
    </r>
  </si>
  <si>
    <t xml:space="preserve">营业成本</t>
  </si>
  <si>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东财</t>
    </r>
    <r>
      <rPr>
        <sz val="9"/>
        <color rgb="FF7F7F7F"/>
        <rFont val="Microsoft YaHei"/>
        <family val="0"/>
        <charset val="1"/>
      </rPr>
      <t xml:space="preserve">F10</t>
    </r>
    <r>
      <rPr>
        <sz val="9"/>
        <color rgb="FF7F7F7F"/>
        <rFont val="Arial Unicode MS"/>
        <family val="2"/>
      </rPr>
      <t xml:space="preserve">实际值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分部毛利合计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占比四舍五入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历史分部毛利与总额存微小口径差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</si>
  <si>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毛利</t>
  </si>
  <si>
    <r>
      <rPr>
        <sz val="9"/>
        <color rgb="FF7F7F7F"/>
        <rFont val="Microsoft YaHei"/>
        <family val="0"/>
        <charset val="1"/>
      </rPr>
      <t xml:space="preserve">2024A 18.0%→2025A 21.0%; </t>
    </r>
    <r>
      <rPr>
        <sz val="9"/>
        <color rgb="FF7F7F7F"/>
        <rFont val="Arial Unicode MS"/>
        <family val="2"/>
      </rPr>
      <t xml:space="preserve">预测由分部毛利率加权</t>
    </r>
  </si>
  <si>
    <t xml:space="preserve">税金及附加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</si>
  <si>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×0.00%</t>
    </r>
  </si>
  <si>
    <t xml:space="preserve">销售费用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</si>
  <si>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×0.46%</t>
    </r>
  </si>
  <si>
    <t xml:space="preserve">管理费用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</si>
  <si>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×5.64%</t>
    </r>
  </si>
  <si>
    <t xml:space="preserve">研发费用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</si>
  <si>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×8.29%</t>
    </r>
  </si>
  <si>
    <t xml:space="preserve">财务费用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</si>
  <si>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净财务费用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平均余额计息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第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轮迭代展开输出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</si>
  <si>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其他经营损益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投资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公允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减值等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</si>
  <si>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历史为轧差项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预测取</t>
    </r>
    <r>
      <rPr>
        <sz val="9"/>
        <color rgb="FF7F7F7F"/>
        <rFont val="Microsoft YaHei"/>
        <family val="0"/>
        <charset val="1"/>
      </rPr>
      <t xml:space="preserve">471</t>
    </r>
    <r>
      <rPr>
        <sz val="9"/>
        <color rgb="FF7F7F7F"/>
        <rFont val="Arial Unicode MS"/>
        <family val="2"/>
      </rPr>
      <t xml:space="preserve">百万</t>
    </r>
  </si>
  <si>
    <t xml:space="preserve">营业利润</t>
  </si>
  <si>
    <r>
      <rPr>
        <sz val="9"/>
        <color rgb="FF7F7F7F"/>
        <rFont val="Microsoft YaHei"/>
        <family val="0"/>
        <charset val="1"/>
      </rPr>
      <t xml:space="preserve">2025A -36.7</t>
    </r>
    <r>
      <rPr>
        <sz val="9"/>
        <color rgb="FF7F7F7F"/>
        <rFont val="Arial Unicode MS"/>
        <family val="2"/>
      </rPr>
      <t xml:space="preserve">百万</t>
    </r>
  </si>
  <si>
    <t xml:space="preserve">利润总额</t>
  </si>
  <si>
    <t xml:space="preserve">所得税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</si>
  <si>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利润总额</t>
    </r>
    <r>
      <rPr>
        <sz val="9"/>
        <color rgb="FF7F7F7F"/>
        <rFont val="Microsoft YaHei"/>
        <family val="0"/>
        <charset val="1"/>
      </rPr>
      <t xml:space="preserve">×11.0%</t>
    </r>
  </si>
  <si>
    <t xml:space="preserve">净利润</t>
  </si>
  <si>
    <r>
      <rPr>
        <sz val="9"/>
        <color rgb="FF7F7F7F"/>
        <rFont val="Arial Unicode MS"/>
        <family val="2"/>
      </rPr>
      <t xml:space="preserve">合并口径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含少数股东损益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</si>
  <si>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归母净利润</t>
  </si>
  <si>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: 2024A 4.9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/2025A 6.9</t>
    </r>
    <r>
      <rPr>
        <sz val="9"/>
        <color rgb="FF7F7F7F"/>
        <rFont val="Arial Unicode MS"/>
        <family val="2"/>
      </rPr>
      <t xml:space="preserve">亿 </t>
    </r>
    <r>
      <rPr>
        <sz val="9"/>
        <color rgb="FF7F7F7F"/>
        <rFont val="Microsoft YaHei"/>
        <family val="0"/>
        <charset val="1"/>
      </rPr>
      <t xml:space="preserve">(config</t>
    </r>
    <r>
      <rPr>
        <sz val="9"/>
        <color rgb="FF7F7F7F"/>
        <rFont val="Arial Unicode MS"/>
        <family val="2"/>
      </rPr>
      <t xml:space="preserve">硬数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归母口径</t>
    </r>
    <r>
      <rPr>
        <sz val="9"/>
        <color rgb="FF7F7F7F"/>
        <rFont val="Microsoft YaHei"/>
        <family val="0"/>
        <charset val="1"/>
      </rPr>
      <t xml:space="preserve">=hist.cf.np);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净利润</t>
    </r>
    <r>
      <rPr>
        <sz val="9"/>
        <color rgb="FF7F7F7F"/>
        <rFont val="Microsoft YaHei"/>
        <family val="0"/>
        <charset val="1"/>
      </rPr>
      <t xml:space="preserve">×(1-</t>
    </r>
    <r>
      <rPr>
        <sz val="9"/>
        <color rgb="FF7F7F7F"/>
        <rFont val="Arial Unicode MS"/>
        <family val="2"/>
      </rPr>
      <t xml:space="preserve">少数股东损益占比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</si>
  <si>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少数股东损益</t>
  </si>
  <si>
    <r>
      <rPr>
        <sz val="9"/>
        <color rgb="FF7F7F7F"/>
        <rFont val="Arial Unicode MS"/>
        <family val="2"/>
      </rPr>
      <t xml:space="preserve">＝净利润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归母净利润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历史为合并与归母口径差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倒挤</t>
    </r>
    <r>
      <rPr>
        <sz val="9"/>
        <color rgb="FF7F7F7F"/>
        <rFont val="Microsoft YaHei"/>
        <family val="0"/>
        <charset val="1"/>
      </rPr>
      <t xml:space="preserve">),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净利润</t>
    </r>
    <r>
      <rPr>
        <sz val="9"/>
        <color rgb="FF7F7F7F"/>
        <rFont val="Microsoft YaHei"/>
        <family val="0"/>
        <charset val="1"/>
      </rPr>
      <t xml:space="preserve">×mi_share</t>
    </r>
  </si>
  <si>
    <t xml:space="preserve">  归母净利率</t>
  </si>
  <si>
    <t xml:space="preserve">2025A 7.3%</t>
  </si>
  <si>
    <r>
      <rPr>
        <sz val="10"/>
        <color rgb="FF000000"/>
        <rFont val="Microsoft YaHei"/>
        <family val="0"/>
        <charset val="1"/>
      </rPr>
      <t xml:space="preserve">EPS(</t>
    </r>
    <r>
      <rPr>
        <sz val="10"/>
        <color rgb="FF000000"/>
        <rFont val="Arial Unicode MS"/>
        <family val="2"/>
      </rPr>
      <t xml:space="preserve">美元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股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</si>
  <si>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＝归母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稀释股数</t>
    </r>
    <r>
      <rPr>
        <sz val="9"/>
        <color rgb="FF7F7F7F"/>
        <rFont val="Microsoft YaHei"/>
        <family val="0"/>
        <charset val="1"/>
      </rPr>
      <t xml:space="preserve">(Equity_Roll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现</t>
    </r>
    <r>
      <rPr>
        <sz val="9"/>
        <color rgb="FF7F7F7F"/>
        <rFont val="Microsoft YaHei"/>
        <family val="0"/>
        <charset val="1"/>
      </rPr>
      <t xml:space="preserve">=85.61</t>
    </r>
    <r>
      <rPr>
        <sz val="9"/>
        <color rgb="FF7F7F7F"/>
        <rFont val="Arial Unicode MS"/>
        <family val="2"/>
      </rPr>
      <t xml:space="preserve">亿股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</si>
  <si>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EBIT (</t>
    </r>
    <r>
      <rPr>
        <b val="true"/>
        <sz val="10"/>
        <color rgb="FF000000"/>
        <rFont val="Arial Unicode MS"/>
        <family val="2"/>
      </rPr>
      <t xml:space="preserve">利润总额</t>
    </r>
    <r>
      <rPr>
        <b val="true"/>
        <sz val="10"/>
        <color rgb="FF000000"/>
        <rFont val="Microsoft YaHei"/>
        <family val="0"/>
        <charset val="1"/>
      </rPr>
      <t xml:space="preserve">+</t>
    </r>
    <r>
      <rPr>
        <b val="true"/>
        <sz val="10"/>
        <color rgb="FF000000"/>
        <rFont val="Arial Unicode MS"/>
        <family val="2"/>
      </rPr>
      <t xml:space="preserve">财务费用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</si>
  <si>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供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FCFF</t>
    </r>
    <r>
      <rPr>
        <sz val="9"/>
        <color rgb="FF7F7F7F"/>
        <rFont val="Arial Unicode MS"/>
        <family val="2"/>
      </rPr>
      <t xml:space="preserve">计算</t>
    </r>
  </si>
  <si>
    <r>
      <rPr>
        <b val="true"/>
        <sz val="13"/>
        <color rgb="FFFFFFFF"/>
        <rFont val="Arial Unicode MS"/>
        <family val="2"/>
      </rPr>
      <t xml:space="preserve">中芯国际 — </t>
    </r>
    <r>
      <rPr>
        <b val="true"/>
        <sz val="13"/>
        <color rgb="FFFFFFFF"/>
        <rFont val="Microsoft YaHei"/>
        <family val="0"/>
        <charset val="1"/>
      </rPr>
      <t xml:space="preserve">BS </t>
    </r>
    <r>
      <rPr>
        <b val="true"/>
        <sz val="13"/>
        <color rgb="FFFFFFFF"/>
        <rFont val="Arial Unicode MS"/>
        <family val="2"/>
      </rPr>
      <t xml:space="preserve">资产负债表 </t>
    </r>
    <r>
      <rPr>
        <b val="true"/>
        <sz val="13"/>
        <color rgb="FFFFFFFF"/>
        <rFont val="Microsoft YaHei"/>
        <family val="0"/>
        <charset val="1"/>
      </rPr>
      <t xml:space="preserve">(2024A-2030E)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</si>
  <si>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美元百万元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财报口径</t>
    </r>
    <r>
      <rPr>
        <sz val="9"/>
        <color rgb="FF7F7F7F"/>
        <rFont val="Microsoft YaHei"/>
        <family val="0"/>
        <charset val="1"/>
      </rPr>
      <t xml:space="preserve">) | </t>
    </r>
    <r>
      <rPr>
        <sz val="9"/>
        <color rgb="FF7F7F7F"/>
        <rFont val="Arial Unicode MS"/>
        <family val="2"/>
      </rPr>
      <t xml:space="preserve">配平机制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revolver</t>
    </r>
    <r>
      <rPr>
        <sz val="9"/>
        <color rgb="FF7F7F7F"/>
        <rFont val="Arial Unicode MS"/>
        <family val="2"/>
      </rPr>
      <t xml:space="preserve">新增借款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现金</t>
    </r>
    <r>
      <rPr>
        <sz val="9"/>
        <color rgb="FF7F7F7F"/>
        <rFont val="Microsoft YaHei"/>
        <family val="0"/>
        <charset val="1"/>
      </rPr>
      <t xml:space="preserve">sweep/</t>
    </r>
    <r>
      <rPr>
        <sz val="9"/>
        <color rgb="FF7F7F7F"/>
        <rFont val="Arial Unicode MS"/>
        <family val="2"/>
      </rPr>
      <t xml:space="preserve">理财承接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货币资金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最低现金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配平差额检查行应恒</t>
    </r>
    <r>
      <rPr>
        <sz val="9"/>
        <color rgb="FF7F7F7F"/>
        <rFont val="Microsoft YaHei"/>
        <family val="0"/>
        <charset val="1"/>
      </rPr>
      <t xml:space="preserve">=0</t>
    </r>
  </si>
  <si>
    <t xml:space="preserve">货币资金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</si>
  <si>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期末现金</t>
    </r>
    <r>
      <rPr>
        <sz val="9"/>
        <color rgb="FF7F7F7F"/>
        <rFont val="Microsoft YaHei"/>
        <family val="0"/>
        <charset val="1"/>
      </rPr>
      <t xml:space="preserve">(=</t>
    </r>
    <r>
      <rPr>
        <sz val="9"/>
        <color rgb="FF7F7F7F"/>
        <rFont val="Arial Unicode MS"/>
        <family val="2"/>
      </rPr>
      <t xml:space="preserve">最低现金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东财</t>
    </r>
    <r>
      <rPr>
        <sz val="9"/>
        <color rgb="FF7F7F7F"/>
        <rFont val="Microsoft YaHei"/>
        <family val="0"/>
        <charset val="1"/>
      </rPr>
      <t xml:space="preserve">F10</t>
    </r>
  </si>
  <si>
    <t xml:space="preserve">交易性金融资产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</si>
  <si>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理财期末</t>
    </r>
    <r>
      <rPr>
        <sz val="9"/>
        <color rgb="FF7F7F7F"/>
        <rFont val="Microsoft YaHei"/>
        <family val="0"/>
        <charset val="1"/>
      </rPr>
      <t xml:space="preserve">(sweep</t>
    </r>
    <r>
      <rPr>
        <sz val="9"/>
        <color rgb="FF7F7F7F"/>
        <rFont val="Arial Unicode MS"/>
        <family val="2"/>
      </rPr>
      <t xml:space="preserve">溢出承接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东财</t>
    </r>
    <r>
      <rPr>
        <sz val="9"/>
        <color rgb="FF7F7F7F"/>
        <rFont val="Microsoft YaHei"/>
        <family val="0"/>
        <charset val="1"/>
      </rPr>
      <t xml:space="preserve">F10</t>
    </r>
  </si>
  <si>
    <t xml:space="preserve">应收票据及应收账款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</si>
  <si>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=DSO/365×</t>
    </r>
    <r>
      <rPr>
        <sz val="9"/>
        <color rgb="FF7F7F7F"/>
        <rFont val="Arial Unicode MS"/>
        <family val="2"/>
      </rPr>
      <t xml:space="preserve">收入</t>
    </r>
  </si>
  <si>
    <t xml:space="preserve">预付款项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</si>
  <si>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×0.7%</t>
    </r>
  </si>
  <si>
    <t xml:space="preserve">其他应收款</t>
  </si>
  <si>
    <t xml:space="preserve">预测持平</t>
  </si>
  <si>
    <t xml:space="preserve">存货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</si>
  <si>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=DIO/365×</t>
    </r>
    <r>
      <rPr>
        <sz val="9"/>
        <color rgb="FF7F7F7F"/>
        <rFont val="Arial Unicode MS"/>
        <family val="2"/>
      </rPr>
      <t xml:space="preserve">营业成本</t>
    </r>
  </si>
  <si>
    <t xml:space="preserve">应收款项融资及其他流动资产</t>
  </si>
  <si>
    <r>
      <rPr>
        <sz val="9"/>
        <color rgb="FF7F7F7F"/>
        <rFont val="Arial Unicode MS"/>
        <family val="2"/>
      </rPr>
      <t xml:space="preserve">含应收款项融资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其他流动资产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历史为轧差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预测持平</t>
    </r>
  </si>
  <si>
    <t xml:space="preserve">流动资产合计</t>
  </si>
  <si>
    <t xml:space="preserve">固定资产及在建工程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</si>
  <si>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=PP&amp;E</t>
    </r>
    <r>
      <rPr>
        <sz val="9"/>
        <color rgb="FF7F7F7F"/>
        <rFont val="Arial Unicode MS"/>
        <family val="2"/>
      </rPr>
      <t xml:space="preserve">页期末合计</t>
    </r>
    <r>
      <rPr>
        <sz val="9"/>
        <color rgb="FF7F7F7F"/>
        <rFont val="Microsoft YaHei"/>
        <family val="0"/>
        <charset val="1"/>
      </rPr>
      <t xml:space="preserve">; 2025A</t>
    </r>
    <r>
      <rPr>
        <sz val="9"/>
        <color rgb="FF7F7F7F"/>
        <rFont val="Arial Unicode MS"/>
        <family val="2"/>
      </rPr>
      <t xml:space="preserve">固资</t>
    </r>
    <r>
      <rPr>
        <sz val="9"/>
        <color rgb="FF7F7F7F"/>
        <rFont val="Microsoft YaHei"/>
        <family val="0"/>
        <charset val="1"/>
      </rPr>
      <t xml:space="preserve">325.6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在建</t>
    </r>
    <r>
      <rPr>
        <sz val="9"/>
        <color rgb="FF7F7F7F"/>
        <rFont val="Microsoft YaHei"/>
        <family val="0"/>
        <charset val="1"/>
      </rPr>
      <t xml:space="preserve">0.0</t>
    </r>
    <r>
      <rPr>
        <sz val="9"/>
        <color rgb="FF7F7F7F"/>
        <rFont val="Arial Unicode MS"/>
        <family val="2"/>
      </rPr>
      <t xml:space="preserve">亿</t>
    </r>
  </si>
  <si>
    <t xml:space="preserve">使用权资产</t>
  </si>
  <si>
    <t xml:space="preserve">无形资产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</si>
  <si>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摊销</t>
    </r>
    <r>
      <rPr>
        <sz val="9"/>
        <color rgb="FF7F7F7F"/>
        <rFont val="Microsoft YaHei"/>
        <family val="0"/>
        <charset val="1"/>
      </rPr>
      <t xml:space="preserve">(Schedules)</t>
    </r>
  </si>
  <si>
    <t xml:space="preserve">商誉</t>
  </si>
  <si>
    <t xml:space="preserve">长期待摊费用</t>
  </si>
  <si>
    <t xml:space="preserve">递延所得税资产</t>
  </si>
  <si>
    <t xml:space="preserve">其他权益工具投资</t>
  </si>
  <si>
    <r>
      <rPr>
        <sz val="9"/>
        <color rgb="FF7F7F7F"/>
        <rFont val="Arial Unicode MS"/>
        <family val="2"/>
      </rPr>
      <t xml:space="preserve">预测持平</t>
    </r>
    <r>
      <rPr>
        <sz val="9"/>
        <color rgb="FF7F7F7F"/>
        <rFont val="Microsoft YaHei"/>
        <family val="0"/>
        <charset val="1"/>
      </rPr>
      <t xml:space="preserve">; 2025A</t>
    </r>
    <r>
      <rPr>
        <sz val="9"/>
        <color rgb="FF7F7F7F"/>
        <rFont val="Arial Unicode MS"/>
        <family val="2"/>
      </rPr>
      <t xml:space="preserve">末</t>
    </r>
    <r>
      <rPr>
        <sz val="9"/>
        <color rgb="FF7F7F7F"/>
        <rFont val="Microsoft YaHei"/>
        <family val="0"/>
        <charset val="1"/>
      </rPr>
      <t xml:space="preserve">15.3</t>
    </r>
    <r>
      <rPr>
        <sz val="9"/>
        <color rgb="FF7F7F7F"/>
        <rFont val="Arial Unicode MS"/>
        <family val="2"/>
      </rPr>
      <t xml:space="preserve">亿已计入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的</t>
    </r>
    <r>
      <rPr>
        <sz val="9"/>
        <color rgb="FF7F7F7F"/>
        <rFont val="Microsoft YaHei"/>
        <family val="0"/>
        <charset val="1"/>
      </rPr>
      <t xml:space="preserve">EV→Equity</t>
    </r>
    <r>
      <rPr>
        <sz val="9"/>
        <color rgb="FF7F7F7F"/>
        <rFont val="Arial Unicode MS"/>
        <family val="2"/>
      </rPr>
      <t xml:space="preserve">桥</t>
    </r>
  </si>
  <si>
    <t xml:space="preserve">其他非流动资产</t>
  </si>
  <si>
    <r>
      <rPr>
        <sz val="9"/>
        <color rgb="FF7F7F7F"/>
        <rFont val="Arial Unicode MS"/>
        <family val="2"/>
      </rPr>
      <t xml:space="preserve">历史为轧差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预测持平</t>
    </r>
  </si>
  <si>
    <t xml:space="preserve">非流动资产合计</t>
  </si>
  <si>
    <t xml:space="preserve">资产总计</t>
  </si>
  <si>
    <r>
      <rPr>
        <sz val="9"/>
        <color rgb="FF7F7F7F"/>
        <rFont val="Microsoft YaHei"/>
        <family val="0"/>
        <charset val="1"/>
      </rPr>
      <t xml:space="preserve">2025A 522.7</t>
    </r>
    <r>
      <rPr>
        <sz val="9"/>
        <color rgb="FF7F7F7F"/>
        <rFont val="Arial Unicode MS"/>
        <family val="2"/>
      </rPr>
      <t xml:space="preserve">亿</t>
    </r>
  </si>
  <si>
    <t xml:space="preserve">短期借款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</si>
  <si>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=FIN revolver</t>
    </r>
    <r>
      <rPr>
        <sz val="9"/>
        <color rgb="FF7F7F7F"/>
        <rFont val="Arial Unicode MS"/>
        <family val="2"/>
      </rPr>
      <t xml:space="preserve">期末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缺口新增</t>
    </r>
    <r>
      <rPr>
        <sz val="9"/>
        <color rgb="FF7F7F7F"/>
        <rFont val="Microsoft YaHei"/>
        <family val="0"/>
        <charset val="1"/>
      </rPr>
      <t xml:space="preserve">-sweep</t>
    </r>
    <r>
      <rPr>
        <sz val="9"/>
        <color rgb="FF7F7F7F"/>
        <rFont val="Arial Unicode MS"/>
        <family val="2"/>
      </rPr>
      <t xml:space="preserve">偿还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</si>
  <si>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应付票据及应付账款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</si>
  <si>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=DPO/365×</t>
    </r>
    <r>
      <rPr>
        <sz val="9"/>
        <color rgb="FF7F7F7F"/>
        <rFont val="Arial Unicode MS"/>
        <family val="2"/>
      </rPr>
      <t xml:space="preserve">营业成本</t>
    </r>
  </si>
  <si>
    <t xml:space="preserve">合同负债</t>
  </si>
  <si>
    <t xml:space="preserve">应付职工薪酬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</si>
  <si>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×0.0%</t>
    </r>
  </si>
  <si>
    <t xml:space="preserve">应交税费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</si>
  <si>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×0.4%</t>
    </r>
  </si>
  <si>
    <t xml:space="preserve">其他应付款</t>
  </si>
  <si>
    <t xml:space="preserve">一年内到期的非流动负债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</si>
  <si>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期末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计划还款摊还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</si>
  <si>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其他流动负债</t>
  </si>
  <si>
    <t xml:space="preserve">流动负债合计</t>
  </si>
  <si>
    <t xml:space="preserve">长期借款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</si>
  <si>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期末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计划还款</t>
    </r>
    <r>
      <rPr>
        <sz val="9"/>
        <color rgb="FF7F7F7F"/>
        <rFont val="Microsoft YaHei"/>
        <family val="0"/>
        <charset val="1"/>
      </rPr>
      <t xml:space="preserve">+sweep)</t>
    </r>
  </si>
  <si>
    <t xml:space="preserve">租赁负债</t>
  </si>
  <si>
    <t xml:space="preserve">其他非流动负债</t>
  </si>
  <si>
    <r>
      <rPr>
        <sz val="9"/>
        <color rgb="FF7F7F7F"/>
        <rFont val="Arial Unicode MS"/>
        <family val="2"/>
      </rPr>
      <t xml:space="preserve">含递延收益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递延所得税负债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历史轧差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预测持平</t>
    </r>
  </si>
  <si>
    <t xml:space="preserve">非流动负债合计</t>
  </si>
  <si>
    <t xml:space="preserve">负债合计</t>
  </si>
  <si>
    <t xml:space="preserve">股本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</si>
  <si>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=Equity_Roll(</t>
    </r>
    <r>
      <rPr>
        <sz val="9"/>
        <color rgb="FF7F7F7F"/>
        <rFont val="Arial Unicode MS"/>
        <family val="2"/>
      </rPr>
      <t xml:space="preserve">持平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</si>
  <si>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资本公积</t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</si>
  <si>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</t>
    </r>
    <r>
      <rPr>
        <sz val="10"/>
        <color rgb="FF000000"/>
        <rFont val="Arial Unicode MS"/>
        <family val="2"/>
      </rPr>
      <t xml:space="preserve">库存股</t>
    </r>
  </si>
  <si>
    <t xml:space="preserve">其他综合收益</t>
  </si>
  <si>
    <t xml:space="preserve">盈余公积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</si>
  <si>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=Equity_Roll(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归母</t>
    </r>
    <r>
      <rPr>
        <sz val="9"/>
        <color rgb="FF7F7F7F"/>
        <rFont val="Microsoft YaHei"/>
        <family val="0"/>
        <charset val="1"/>
      </rPr>
      <t xml:space="preserve">×0%)</t>
    </r>
  </si>
  <si>
    <t xml:space="preserve">未分配利润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</si>
  <si>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=Equity_Roll(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归母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分红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盈余公积计提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</si>
  <si>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其他权益项目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轧差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</si>
  <si>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含专项储备及换算尾差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预测持平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历史尾差已并入本行清零</t>
    </r>
  </si>
  <si>
    <t xml:space="preserve">归母所有者权益合计</t>
  </si>
  <si>
    <t xml:space="preserve">少数股东权益</t>
  </si>
  <si>
    <t xml:space="preserve">所有者权益合计</t>
  </si>
  <si>
    <t xml:space="preserve">负债和所有者权益总计</t>
  </si>
  <si>
    <r>
      <rPr>
        <b val="true"/>
        <sz val="10"/>
        <color rgb="FFCC0000"/>
        <rFont val="Arial Unicode MS"/>
        <family val="2"/>
      </rPr>
      <t xml:space="preserve">配平差额检查</t>
    </r>
    <r>
      <rPr>
        <b val="true"/>
        <sz val="10"/>
        <color rgb="FFCC0000"/>
        <rFont val="Microsoft YaHei"/>
        <family val="0"/>
        <charset val="1"/>
      </rPr>
      <t xml:space="preserve">(</t>
    </r>
    <r>
      <rPr>
        <b val="true"/>
        <sz val="10"/>
        <color rgb="FFCC0000"/>
        <rFont val="Arial Unicode MS"/>
        <family val="2"/>
      </rPr>
      <t xml:space="preserve">资产</t>
    </r>
    <r>
      <rPr>
        <b val="true"/>
        <sz val="10"/>
        <color rgb="FFCC0000"/>
        <rFont val="Microsoft YaHei"/>
        <family val="0"/>
        <charset val="1"/>
      </rPr>
      <t xml:space="preserve">-</t>
    </r>
    <r>
      <rPr>
        <b val="true"/>
        <sz val="10"/>
        <color rgb="FFCC0000"/>
        <rFont val="Arial Unicode MS"/>
        <family val="2"/>
      </rPr>
      <t xml:space="preserve">负债权益</t>
    </r>
    <r>
      <rPr>
        <b val="true"/>
        <sz val="10"/>
        <color rgb="FFCC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</si>
  <si>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应恒</t>
    </r>
    <r>
      <rPr>
        <sz val="9"/>
        <color rgb="FF7F7F7F"/>
        <rFont val="Microsoft YaHei"/>
        <family val="0"/>
        <charset val="1"/>
      </rPr>
      <t xml:space="preserve">=0(</t>
    </r>
    <r>
      <rPr>
        <sz val="9"/>
        <color rgb="FF7F7F7F"/>
        <rFont val="Arial Unicode MS"/>
        <family val="2"/>
      </rPr>
      <t xml:space="preserve">容差</t>
    </r>
    <r>
      <rPr>
        <sz val="9"/>
        <color rgb="FF7F7F7F"/>
        <rFont val="Microsoft YaHei"/>
        <family val="0"/>
        <charset val="1"/>
      </rPr>
      <t xml:space="preserve">0.01); Checks</t>
    </r>
    <r>
      <rPr>
        <sz val="9"/>
        <color rgb="FF7F7F7F"/>
        <rFont val="Arial Unicode MS"/>
        <family val="2"/>
      </rPr>
      <t xml:space="preserve">页汇总校验</t>
    </r>
  </si>
  <si>
    <r>
      <rPr>
        <b val="true"/>
        <sz val="13"/>
        <color rgb="FFFFFFFF"/>
        <rFont val="Arial Unicode MS"/>
        <family val="2"/>
      </rPr>
      <t xml:space="preserve">中芯国际 — </t>
    </r>
    <r>
      <rPr>
        <b val="true"/>
        <sz val="13"/>
        <color rgb="FFFFFFFF"/>
        <rFont val="Microsoft YaHei"/>
        <family val="0"/>
        <charset val="1"/>
      </rPr>
      <t xml:space="preserve">CF </t>
    </r>
    <r>
      <rPr>
        <b val="true"/>
        <sz val="13"/>
        <color rgb="FFFFFFFF"/>
        <rFont val="Arial Unicode MS"/>
        <family val="2"/>
      </rPr>
      <t xml:space="preserve">现金流量表 </t>
    </r>
    <r>
      <rPr>
        <b val="true"/>
        <sz val="13"/>
        <color rgb="FFFFFFFF"/>
        <rFont val="Microsoft YaHei"/>
        <family val="0"/>
        <charset val="1"/>
      </rPr>
      <t xml:space="preserve">(</t>
    </r>
    <r>
      <rPr>
        <b val="true"/>
        <sz val="13"/>
        <color rgb="FFFFFFFF"/>
        <rFont val="Arial Unicode MS"/>
        <family val="2"/>
      </rPr>
      <t xml:space="preserve">间接法</t>
    </r>
    <r>
      <rPr>
        <b val="true"/>
        <sz val="13"/>
        <color rgb="FFFFFFFF"/>
        <rFont val="Microsoft YaHei"/>
        <family val="0"/>
        <charset val="1"/>
      </rPr>
      <t xml:space="preserve">, 2024A-2030E)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</si>
  <si>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美元百万元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财报口径</t>
    </r>
    <r>
      <rPr>
        <sz val="9"/>
        <color rgb="FF7F7F7F"/>
        <rFont val="Microsoft YaHei"/>
        <family val="0"/>
        <charset val="1"/>
      </rPr>
      <t xml:space="preserve">) | </t>
    </r>
    <r>
      <rPr>
        <sz val="9"/>
        <color rgb="FF7F7F7F"/>
        <rFont val="Arial Unicode MS"/>
        <family val="2"/>
      </rPr>
      <t xml:space="preserve">利息支出经营加回、筹资列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偿付利息</t>
    </r>
    <r>
      <rPr>
        <sz val="9"/>
        <color rgb="FF7F7F7F"/>
        <rFont val="Microsoft YaHei"/>
        <family val="0"/>
        <charset val="1"/>
      </rPr>
      <t xml:space="preserve">"; </t>
    </r>
    <r>
      <rPr>
        <sz val="9"/>
        <color rgb="FF7F7F7F"/>
        <rFont val="Arial Unicode MS"/>
        <family val="2"/>
      </rPr>
      <t xml:space="preserve">投资含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理财净变动</t>
    </r>
    <r>
      <rPr>
        <sz val="9"/>
        <color rgb="FF7F7F7F"/>
        <rFont val="Microsoft YaHei"/>
        <family val="0"/>
        <charset val="1"/>
      </rPr>
      <t xml:space="preserve">"; </t>
    </r>
    <r>
      <rPr>
        <sz val="9"/>
        <color rgb="FF7F7F7F"/>
        <rFont val="Arial Unicode MS"/>
        <family val="2"/>
      </rPr>
      <t xml:space="preserve">期末货币资金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期末现金</t>
    </r>
    <r>
      <rPr>
        <sz val="9"/>
        <color rgb="FF7F7F7F"/>
        <rFont val="Microsoft YaHei"/>
        <family val="0"/>
        <charset val="1"/>
      </rPr>
      <t xml:space="preserve">=BS</t>
    </r>
    <r>
      <rPr>
        <sz val="9"/>
        <color rgb="FF7F7F7F"/>
        <rFont val="Arial Unicode MS"/>
        <family val="2"/>
      </rPr>
      <t xml:space="preserve">货币资金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</si>
  <si>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IS</t>
    </r>
    <r>
      <rPr>
        <sz val="9"/>
        <color rgb="FF7F7F7F"/>
        <rFont val="Arial Unicode MS"/>
        <family val="2"/>
      </rPr>
      <t xml:space="preserve">归母净利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</si>
  <si>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折旧与摊销</t>
    </r>
    <r>
      <rPr>
        <sz val="10"/>
        <color rgb="FF000000"/>
        <rFont val="Microsoft YaHei"/>
        <family val="0"/>
        <charset val="1"/>
      </rPr>
      <t xml:space="preserve">(D&amp;A)</t>
    </r>
  </si>
  <si>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固定资产折旧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无形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长待摊摊销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=PP&amp;E</t>
    </r>
    <r>
      <rPr>
        <sz val="9"/>
        <color rgb="FF7F7F7F"/>
        <rFont val="Arial Unicode MS"/>
        <family val="2"/>
      </rPr>
      <t xml:space="preserve">页合计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</si>
  <si>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利息支出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重分类至筹资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</si>
  <si>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利润表中利息属筹资活动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经营现金流加回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历史未拆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列—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</si>
  <si>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营运资本变动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增加为负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</si>
  <si>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=-ΔNWC(Schedules)</t>
    </r>
  </si>
  <si>
    <t xml:space="preserve">经营活动现金流量净额</t>
  </si>
  <si>
    <r>
      <rPr>
        <sz val="9"/>
        <color rgb="FF7F7F7F"/>
        <rFont val="Arial Unicode MS"/>
        <family val="2"/>
      </rPr>
      <t xml:space="preserve">历史为年报实际值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含利息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口径与预测略有差异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</si>
  <si>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资本开支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购建长期资产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</si>
  <si>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=-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×Capex</t>
    </r>
    <r>
      <rPr>
        <sz val="9"/>
        <color rgb="FF7F7F7F"/>
        <rFont val="Arial Unicode MS"/>
        <family val="2"/>
      </rPr>
      <t xml:space="preserve">占比</t>
    </r>
    <r>
      <rPr>
        <sz val="9"/>
        <color rgb="FF7F7F7F"/>
        <rFont val="Microsoft YaHei"/>
        <family val="0"/>
        <charset val="1"/>
      </rPr>
      <t xml:space="preserve">(PP&amp;E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</si>
  <si>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处置固定资产回收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账面值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</si>
  <si>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=PP&amp;E</t>
    </r>
    <r>
      <rPr>
        <sz val="9"/>
        <color rgb="FF7F7F7F"/>
        <rFont val="Arial Unicode MS"/>
        <family val="2"/>
      </rPr>
      <t xml:space="preserve">页处置额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按账面值回收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无损益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历史含在投资净额内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列—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</si>
  <si>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理财净变动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交易性金融资产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</si>
  <si>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-FIN</t>
    </r>
    <r>
      <rPr>
        <sz val="9"/>
        <color rgb="FF7F7F7F"/>
        <rFont val="Arial Unicode MS"/>
        <family val="2"/>
      </rPr>
      <t xml:space="preserve">理财净变动</t>
    </r>
    <r>
      <rPr>
        <sz val="9"/>
        <color rgb="FF7F7F7F"/>
        <rFont val="Microsoft YaHei"/>
        <family val="0"/>
        <charset val="1"/>
      </rPr>
      <t xml:space="preserve">(sweep</t>
    </r>
    <r>
      <rPr>
        <sz val="9"/>
        <color rgb="FF7F7F7F"/>
        <rFont val="Arial Unicode MS"/>
        <family val="2"/>
      </rPr>
      <t xml:space="preserve">溢出购买为流出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历史含在投资净额内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列—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</si>
  <si>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投资活动现金流量净额</t>
  </si>
  <si>
    <r>
      <rPr>
        <sz val="9"/>
        <color rgb="FF7F7F7F"/>
        <rFont val="Arial Unicode MS"/>
        <family val="2"/>
      </rPr>
      <t xml:space="preserve">历史为年报实际值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资本开支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处置回收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理财净变动</t>
    </r>
  </si>
  <si>
    <r>
      <rPr>
        <sz val="10"/>
        <color rgb="FF000000"/>
        <rFont val="Arial Unicode MS"/>
        <family val="2"/>
      </rPr>
      <t xml:space="preserve">债务净变动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新增为正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</si>
  <si>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FIN</t>
    </r>
    <r>
      <rPr>
        <sz val="9"/>
        <color rgb="FF7F7F7F"/>
        <rFont val="Arial Unicode MS"/>
        <family val="2"/>
      </rPr>
      <t xml:space="preserve">四档债务期末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含</t>
    </r>
    <r>
      <rPr>
        <sz val="9"/>
        <color rgb="FF7F7F7F"/>
        <rFont val="Microsoft YaHei"/>
        <family val="0"/>
        <charset val="1"/>
      </rPr>
      <t xml:space="preserve">revolver</t>
    </r>
    <r>
      <rPr>
        <sz val="9"/>
        <color rgb="FF7F7F7F"/>
        <rFont val="Arial Unicode MS"/>
        <family val="2"/>
      </rPr>
      <t xml:space="preserve">新增</t>
    </r>
    <r>
      <rPr>
        <sz val="9"/>
        <color rgb="FF7F7F7F"/>
        <rFont val="Microsoft YaHei"/>
        <family val="0"/>
        <charset val="1"/>
      </rPr>
      <t xml:space="preserve">/sweep</t>
    </r>
    <r>
      <rPr>
        <sz val="9"/>
        <color rgb="FF7F7F7F"/>
        <rFont val="Arial Unicode MS"/>
        <family val="2"/>
      </rPr>
      <t xml:space="preserve">偿还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</si>
  <si>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偿付利息</t>
  </si>
  <si>
    <t xml:space="preserve">利息支出列筹资活动</t>
  </si>
  <si>
    <t xml:space="preserve">股利支付</t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</si>
  <si>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上年归母</t>
    </r>
    <r>
      <rPr>
        <sz val="9"/>
        <color rgb="FF7F7F7F"/>
        <rFont val="Microsoft YaHei"/>
        <family val="0"/>
        <charset val="1"/>
      </rPr>
      <t xml:space="preserve">×30%</t>
    </r>
  </si>
  <si>
    <t xml:space="preserve">筹资活动现金流量净额</t>
  </si>
  <si>
    <r>
      <rPr>
        <sz val="9"/>
        <color rgb="FF7F7F7F"/>
        <rFont val="Arial Unicode MS"/>
        <family val="2"/>
      </rPr>
      <t xml:space="preserve">历史为年报实际值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债务净变动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利息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股利</t>
    </r>
  </si>
  <si>
    <t xml:space="preserve">货币资金净增加额</t>
  </si>
  <si>
    <t xml:space="preserve">期初货币资金</t>
  </si>
  <si>
    <r>
      <rPr>
        <sz val="9"/>
        <color rgb="FF7F7F7F"/>
        <rFont val="Microsoft YaHei"/>
        <family val="0"/>
        <charset val="1"/>
      </rPr>
      <t xml:space="preserve">2026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=2025A</t>
    </r>
    <r>
      <rPr>
        <sz val="9"/>
        <color rgb="FF7F7F7F"/>
        <rFont val="Arial Unicode MS"/>
        <family val="2"/>
      </rPr>
      <t xml:space="preserve">末货币资金</t>
    </r>
  </si>
  <si>
    <r>
      <rPr>
        <b val="true"/>
        <sz val="10"/>
        <color rgb="FF000000"/>
        <rFont val="Arial Unicode MS"/>
        <family val="2"/>
      </rPr>
      <t xml:space="preserve">期末货币资金</t>
    </r>
    <r>
      <rPr>
        <b val="true"/>
        <sz val="10"/>
        <color rgb="FF000000"/>
        <rFont val="Microsoft YaHei"/>
        <family val="0"/>
        <charset val="1"/>
      </rPr>
      <t xml:space="preserve">(=BS</t>
    </r>
    <r>
      <rPr>
        <b val="true"/>
        <sz val="10"/>
        <color rgb="FF000000"/>
        <rFont val="Arial Unicode MS"/>
        <family val="2"/>
      </rPr>
      <t xml:space="preserve">货币资金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</si>
  <si>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=BS</t>
    </r>
    <r>
      <rPr>
        <sz val="9"/>
        <color rgb="FF7F7F7F"/>
        <rFont val="Arial Unicode MS"/>
        <family val="2"/>
      </rPr>
      <t xml:space="preserve">货币资金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净增加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期末现金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最低现金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</si>
  <si>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3"/>
        <color rgb="FFFFFFFF"/>
        <rFont val="Arial Unicode MS"/>
        <family val="2"/>
      </rPr>
      <t xml:space="preserve">中芯国际 — </t>
    </r>
    <r>
      <rPr>
        <b val="true"/>
        <sz val="13"/>
        <color rgb="FFFFFFFF"/>
        <rFont val="Microsoft YaHei"/>
        <family val="0"/>
        <charset val="1"/>
      </rPr>
      <t xml:space="preserve">Schedules </t>
    </r>
    <r>
      <rPr>
        <b val="true"/>
        <sz val="13"/>
        <color rgb="FFFFFFFF"/>
        <rFont val="Arial Unicode MS"/>
        <family val="2"/>
      </rPr>
      <t xml:space="preserve">营运资本 </t>
    </r>
    <r>
      <rPr>
        <b val="true"/>
        <sz val="13"/>
        <color rgb="FFFFFFFF"/>
        <rFont val="Microsoft YaHei"/>
        <family val="0"/>
        <charset val="1"/>
      </rPr>
      <t xml:space="preserve">/ </t>
    </r>
    <r>
      <rPr>
        <b val="true"/>
        <sz val="13"/>
        <color rgb="FFFFFFFF"/>
        <rFont val="Arial Unicode MS"/>
        <family val="2"/>
      </rPr>
      <t xml:space="preserve">无形资产 </t>
    </r>
    <r>
      <rPr>
        <b val="true"/>
        <sz val="13"/>
        <color rgb="FFFFFFFF"/>
        <rFont val="Microsoft YaHei"/>
        <family val="0"/>
        <charset val="1"/>
      </rPr>
      <t xml:space="preserve">/ </t>
    </r>
    <r>
      <rPr>
        <b val="true"/>
        <sz val="13"/>
        <color rgb="FFFFFFFF"/>
        <rFont val="Arial Unicode MS"/>
        <family val="2"/>
      </rPr>
      <t xml:space="preserve">股利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</si>
  <si>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美元百万元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财报口径</t>
    </r>
    <r>
      <rPr>
        <sz val="9"/>
        <color rgb="FF7F7F7F"/>
        <rFont val="Microsoft YaHei"/>
        <family val="0"/>
        <charset val="1"/>
      </rPr>
      <t xml:space="preserve">) | PP&amp;E</t>
    </r>
    <r>
      <rPr>
        <sz val="9"/>
        <color rgb="FF7F7F7F"/>
        <rFont val="Arial Unicode MS"/>
        <family val="2"/>
      </rPr>
      <t xml:space="preserve">见</t>
    </r>
    <r>
      <rPr>
        <sz val="9"/>
        <color rgb="FF7F7F7F"/>
        <rFont val="Microsoft YaHei"/>
        <family val="0"/>
        <charset val="1"/>
      </rPr>
      <t xml:space="preserve">PP&amp;E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债务与利息见</t>
    </r>
    <r>
      <rPr>
        <sz val="9"/>
        <color rgb="FF7F7F7F"/>
        <rFont val="Microsoft YaHei"/>
        <family val="0"/>
        <charset val="1"/>
      </rPr>
      <t xml:space="preserve">FIN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预测行全公式</t>
    </r>
  </si>
  <si>
    <r>
      <rPr>
        <b val="true"/>
        <sz val="10"/>
        <color rgb="FF1F3864"/>
        <rFont val="Arial Unicode MS"/>
        <family val="2"/>
      </rPr>
      <t xml:space="preserve">一、营运资本 </t>
    </r>
    <r>
      <rPr>
        <b val="true"/>
        <sz val="10"/>
        <color rgb="FF1F3864"/>
        <rFont val="Microsoft YaHei"/>
        <family val="0"/>
        <charset val="1"/>
      </rPr>
      <t xml:space="preserve">(NWC)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</si>
  <si>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BS,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=DSO/365×</t>
    </r>
    <r>
      <rPr>
        <sz val="9"/>
        <color rgb="FF7F7F7F"/>
        <rFont val="Arial Unicode MS"/>
        <family val="2"/>
      </rPr>
      <t xml:space="preserve">收入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</si>
  <si>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BS,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预付率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</si>
  <si>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BS, </t>
    </r>
    <r>
      <rPr>
        <sz val="9"/>
        <color rgb="FF7F7F7F"/>
        <rFont val="Arial Unicode MS"/>
        <family val="2"/>
      </rPr>
      <t xml:space="preserve">预测持平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</si>
  <si>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BS,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=DIO/365×</t>
    </r>
    <r>
      <rPr>
        <sz val="9"/>
        <color rgb="FF7F7F7F"/>
        <rFont val="Arial Unicode MS"/>
        <family val="2"/>
      </rPr>
      <t xml:space="preserve">营业成本</t>
    </r>
  </si>
  <si>
    <t xml:space="preserve">经营性流动资产小计</t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</si>
  <si>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BS,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=DPO/365×</t>
    </r>
    <r>
      <rPr>
        <sz val="9"/>
        <color rgb="FF7F7F7F"/>
        <rFont val="Arial Unicode MS"/>
        <family val="2"/>
      </rPr>
      <t xml:space="preserve">营业成本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</si>
  <si>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BS, </t>
    </r>
    <r>
      <rPr>
        <sz val="9"/>
        <color rgb="FF7F7F7F"/>
        <rFont val="Arial Unicode MS"/>
        <family val="2"/>
      </rPr>
      <t xml:space="preserve">持平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</si>
  <si>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BS,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比率</t>
    </r>
  </si>
  <si>
    <t xml:space="preserve">经营性流动负债小计</t>
  </si>
  <si>
    <r>
      <rPr>
        <b val="true"/>
        <sz val="10"/>
        <color rgb="FF000000"/>
        <rFont val="Arial Unicode MS"/>
        <family val="2"/>
      </rPr>
      <t xml:space="preserve">净营运资本 </t>
    </r>
    <r>
      <rPr>
        <b val="true"/>
        <sz val="10"/>
        <color rgb="FF000000"/>
        <rFont val="Microsoft YaHei"/>
        <family val="0"/>
        <charset val="1"/>
      </rPr>
      <t xml:space="preserve">NWC</t>
    </r>
  </si>
  <si>
    <r>
      <rPr>
        <sz val="9"/>
        <color rgb="FF7F7F7F"/>
        <rFont val="Arial Unicode MS"/>
        <family val="2"/>
      </rPr>
      <t xml:space="preserve">＝经营性流动资产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经营性流动负债</t>
    </r>
  </si>
  <si>
    <r>
      <rPr>
        <sz val="10"/>
        <color rgb="FF000000"/>
        <rFont val="Microsoft YaHei"/>
        <family val="0"/>
        <charset val="1"/>
      </rPr>
      <t xml:space="preserve">ΔNWC (</t>
    </r>
    <r>
      <rPr>
        <sz val="10"/>
        <color rgb="FF000000"/>
        <rFont val="Arial Unicode MS"/>
        <family val="2"/>
      </rPr>
      <t xml:space="preserve">增加为正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</si>
  <si>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CF</t>
    </r>
    <r>
      <rPr>
        <sz val="9"/>
        <color rgb="FF7F7F7F"/>
        <rFont val="Arial Unicode MS"/>
        <family val="2"/>
      </rPr>
      <t xml:space="preserve">中扣减项</t>
    </r>
  </si>
  <si>
    <t xml:space="preserve">二、无形资产摊销</t>
  </si>
  <si>
    <t xml:space="preserve">期初无形资产</t>
  </si>
  <si>
    <r>
      <rPr>
        <sz val="9"/>
        <color rgb="FF7F7F7F"/>
        <rFont val="Microsoft YaHei"/>
        <family val="0"/>
        <charset val="1"/>
      </rPr>
      <t xml:space="preserve">2026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=2025A</t>
    </r>
    <r>
      <rPr>
        <sz val="9"/>
        <color rgb="FF7F7F7F"/>
        <rFont val="Arial Unicode MS"/>
        <family val="2"/>
      </rPr>
      <t xml:space="preserve">期末</t>
    </r>
  </si>
  <si>
    <t xml:space="preserve">无形资产摊销</t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</si>
  <si>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×8%</t>
    </r>
  </si>
  <si>
    <t xml:space="preserve">期末无形资产</t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</si>
  <si>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摊销</t>
    </r>
  </si>
  <si>
    <t xml:space="preserve">三、股利</t>
  </si>
  <si>
    <r>
      <rPr>
        <sz val="10"/>
        <color rgb="FF000000"/>
        <rFont val="Arial Unicode MS"/>
        <family val="2"/>
      </rPr>
      <t xml:space="preserve">现金分红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当年支付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</si>
  <si>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＝上年归母净利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支付率</t>
    </r>
    <r>
      <rPr>
        <sz val="9"/>
        <color rgb="FF7F7F7F"/>
        <rFont val="Microsoft YaHei"/>
        <family val="0"/>
        <charset val="1"/>
      </rPr>
      <t xml:space="preserve">30%</t>
    </r>
  </si>
  <si>
    <r>
      <rPr>
        <b val="true"/>
        <sz val="13"/>
        <color rgb="FFFFFFFF"/>
        <rFont val="Arial Unicode MS"/>
        <family val="2"/>
      </rPr>
      <t xml:space="preserve">中芯国际 — </t>
    </r>
    <r>
      <rPr>
        <b val="true"/>
        <sz val="13"/>
        <color rgb="FFFFFFFF"/>
        <rFont val="Microsoft YaHei"/>
        <family val="0"/>
        <charset val="1"/>
      </rPr>
      <t xml:space="preserve">PP&amp;E </t>
    </r>
    <r>
      <rPr>
        <b val="true"/>
        <sz val="13"/>
        <color rgb="FFFFFFFF"/>
        <rFont val="Arial Unicode MS"/>
        <family val="2"/>
      </rPr>
      <t xml:space="preserve">固定资产</t>
    </r>
    <r>
      <rPr>
        <b val="true"/>
        <sz val="13"/>
        <color rgb="FFFFFFFF"/>
        <rFont val="Microsoft YaHei"/>
        <family val="0"/>
        <charset val="1"/>
      </rPr>
      <t xml:space="preserve">/</t>
    </r>
    <r>
      <rPr>
        <b val="true"/>
        <sz val="13"/>
        <color rgb="FFFFFFFF"/>
        <rFont val="Arial Unicode MS"/>
        <family val="2"/>
      </rPr>
      <t xml:space="preserve">在建工程滚动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</si>
  <si>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美元百万元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财报口径</t>
    </r>
    <r>
      <rPr>
        <sz val="9"/>
        <color rgb="FF7F7F7F"/>
        <rFont val="Microsoft YaHei"/>
        <family val="0"/>
        <charset val="1"/>
      </rPr>
      <t xml:space="preserve">) | </t>
    </r>
    <r>
      <rPr>
        <sz val="9"/>
        <color rgb="FF7F7F7F"/>
        <rFont val="Arial Unicode MS"/>
        <family val="2"/>
      </rPr>
      <t xml:space="preserve">固定资产与在建工程分行滚动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转固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折旧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处置 </t>
    </r>
    <r>
      <rPr>
        <sz val="9"/>
        <color rgb="FF7F7F7F"/>
        <rFont val="Microsoft YaHei"/>
        <family val="0"/>
        <charset val="1"/>
      </rPr>
      <t xml:space="preserve">/ 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+Capex-</t>
    </r>
    <r>
      <rPr>
        <sz val="9"/>
        <color rgb="FF7F7F7F"/>
        <rFont val="Arial Unicode MS"/>
        <family val="2"/>
      </rPr>
      <t xml:space="preserve">转固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隐含折旧率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年限校验行在底部</t>
    </r>
  </si>
  <si>
    <r>
      <rPr>
        <b val="true"/>
        <sz val="10"/>
        <color rgb="FF1F3864"/>
        <rFont val="Arial Unicode MS"/>
        <family val="2"/>
      </rPr>
      <t xml:space="preserve">一、固定资产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净值口径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</si>
  <si>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t xml:space="preserve">期初固定资产净值</t>
  </si>
  <si>
    <r>
      <rPr>
        <sz val="9"/>
        <color rgb="FF7F7F7F"/>
        <rFont val="Microsoft YaHei"/>
        <family val="0"/>
        <charset val="1"/>
      </rPr>
      <t xml:space="preserve">2026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=2025A</t>
    </r>
    <r>
      <rPr>
        <sz val="9"/>
        <color rgb="FF7F7F7F"/>
        <rFont val="Arial Unicode MS"/>
        <family val="2"/>
      </rPr>
      <t xml:space="preserve">固定资产</t>
    </r>
    <r>
      <rPr>
        <sz val="9"/>
        <color rgb="FF7F7F7F"/>
        <rFont val="Microsoft YaHei"/>
        <family val="0"/>
        <charset val="1"/>
      </rPr>
      <t xml:space="preserve">325.6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绿色输入</t>
    </r>
    <r>
      <rPr>
        <sz val="9"/>
        <color rgb="FF7F7F7F"/>
        <rFont val="Microsoft YaHei"/>
        <family val="0"/>
        <charset val="1"/>
      </rPr>
      <t xml:space="preserve">, 2025</t>
    </r>
    <r>
      <rPr>
        <sz val="9"/>
        <color rgb="FF7F7F7F"/>
        <rFont val="Arial Unicode MS"/>
        <family val="2"/>
      </rPr>
      <t xml:space="preserve">年报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</si>
  <si>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在建工程转入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</si>
  <si>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期初在建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当年</t>
    </r>
    <r>
      <rPr>
        <sz val="9"/>
        <color rgb="FF7F7F7F"/>
        <rFont val="Microsoft YaHei"/>
        <family val="0"/>
        <charset val="1"/>
      </rPr>
      <t xml:space="preserve">Capex)×</t>
    </r>
    <r>
      <rPr>
        <sz val="9"/>
        <color rgb="FF7F7F7F"/>
        <rFont val="Arial Unicode MS"/>
        <family val="2"/>
      </rPr>
      <t xml:space="preserve">转固率</t>
    </r>
    <r>
      <rPr>
        <sz val="9"/>
        <color rgb="FF7F7F7F"/>
        <rFont val="Microsoft YaHei"/>
        <family val="0"/>
        <charset val="1"/>
      </rPr>
      <t xml:space="preserve">75%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</si>
  <si>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固定资产折旧</t>
    </r>
  </si>
  <si>
    <r>
      <rPr>
        <sz val="9"/>
        <color rgb="FF7F7F7F"/>
        <rFont val="Arial Unicode MS"/>
        <family val="2"/>
      </rPr>
      <t xml:space="preserve">＝期初净值</t>
    </r>
    <r>
      <rPr>
        <sz val="9"/>
        <color rgb="FF7F7F7F"/>
        <rFont val="Microsoft YaHei"/>
        <family val="0"/>
        <charset val="1"/>
      </rPr>
      <t xml:space="preserve">×12%+</t>
    </r>
    <r>
      <rPr>
        <sz val="9"/>
        <color rgb="FF7F7F7F"/>
        <rFont val="Arial Unicode MS"/>
        <family val="2"/>
      </rPr>
      <t xml:space="preserve">当年转固</t>
    </r>
    <r>
      <rPr>
        <sz val="9"/>
        <color rgb="FF7F7F7F"/>
        <rFont val="Microsoft YaHei"/>
        <family val="0"/>
        <charset val="1"/>
      </rPr>
      <t xml:space="preserve">×4%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</si>
  <si>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处置</t>
    </r>
  </si>
  <si>
    <r>
      <rPr>
        <sz val="9"/>
        <color rgb="FF7F7F7F"/>
        <rFont val="Arial Unicode MS"/>
        <family val="2"/>
      </rPr>
      <t xml:space="preserve">＝期初净值</t>
    </r>
    <r>
      <rPr>
        <sz val="9"/>
        <color rgb="FF7F7F7F"/>
        <rFont val="Microsoft YaHei"/>
        <family val="0"/>
        <charset val="1"/>
      </rPr>
      <t xml:space="preserve">×1%</t>
    </r>
  </si>
  <si>
    <t xml:space="preserve">期末固定资产净值</t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</si>
  <si>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转固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折旧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处置</t>
    </r>
  </si>
  <si>
    <t xml:space="preserve">二、在建工程</t>
  </si>
  <si>
    <t xml:space="preserve">期初在建工程</t>
  </si>
  <si>
    <r>
      <rPr>
        <sz val="9"/>
        <color rgb="FF7F7F7F"/>
        <rFont val="Microsoft YaHei"/>
        <family val="0"/>
        <charset val="1"/>
      </rPr>
      <t xml:space="preserve">2026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=2025A</t>
    </r>
    <r>
      <rPr>
        <sz val="9"/>
        <color rgb="FF7F7F7F"/>
        <rFont val="Arial Unicode MS"/>
        <family val="2"/>
      </rPr>
      <t xml:space="preserve">在建工程</t>
    </r>
    <r>
      <rPr>
        <sz val="9"/>
        <color rgb="FF7F7F7F"/>
        <rFont val="Microsoft YaHei"/>
        <family val="0"/>
        <charset val="1"/>
      </rPr>
      <t xml:space="preserve">0.0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绿色输入</t>
    </r>
    <r>
      <rPr>
        <sz val="9"/>
        <color rgb="FF7F7F7F"/>
        <rFont val="Microsoft YaHei"/>
        <family val="0"/>
        <charset val="1"/>
      </rPr>
      <t xml:space="preserve">); 32557.8+0.0=32557.8</t>
    </r>
    <r>
      <rPr>
        <sz val="9"/>
        <color rgb="FF7F7F7F"/>
        <rFont val="Arial Unicode MS"/>
        <family val="2"/>
      </rPr>
      <t xml:space="preserve">与</t>
    </r>
    <r>
      <rPr>
        <sz val="9"/>
        <color rgb="FF7F7F7F"/>
        <rFont val="Microsoft YaHei"/>
        <family val="0"/>
        <charset val="1"/>
      </rPr>
      <t xml:space="preserve">BS</t>
    </r>
    <r>
      <rPr>
        <sz val="9"/>
        <color rgb="FF7F7F7F"/>
        <rFont val="Arial Unicode MS"/>
        <family val="2"/>
      </rPr>
      <t xml:space="preserve">一致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</si>
  <si>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资本开支 </t>
    </r>
    <r>
      <rPr>
        <sz val="10"/>
        <color rgb="FF000000"/>
        <rFont val="Microsoft YaHei"/>
        <family val="0"/>
        <charset val="1"/>
      </rPr>
      <t xml:space="preserve">Capex</t>
    </r>
  </si>
  <si>
    <r>
      <rPr>
        <sz val="9"/>
        <color rgb="FF7F7F7F"/>
        <rFont val="Arial Unicode MS"/>
        <family val="2"/>
      </rPr>
      <t xml:space="preserve">＝收入</t>
    </r>
    <r>
      <rPr>
        <sz val="9"/>
        <color rgb="FF7F7F7F"/>
        <rFont val="Microsoft YaHei"/>
        <family val="0"/>
        <charset val="1"/>
      </rPr>
      <t xml:space="preserve">×Capex</t>
    </r>
    <r>
      <rPr>
        <sz val="9"/>
        <color rgb="FF7F7F7F"/>
        <rFont val="Arial Unicode MS"/>
        <family val="2"/>
      </rPr>
      <t xml:space="preserve">占收入比</t>
    </r>
    <r>
      <rPr>
        <sz val="9"/>
        <color rgb="FF7F7F7F"/>
        <rFont val="Microsoft YaHei"/>
        <family val="0"/>
        <charset val="1"/>
      </rPr>
      <t xml:space="preserve">(Assumptions)</t>
    </r>
  </si>
  <si>
    <t xml:space="preserve">期末在建工程</t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</si>
  <si>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+Capex-</t>
    </r>
    <r>
      <rPr>
        <sz val="9"/>
        <color rgb="FF7F7F7F"/>
        <rFont val="Arial Unicode MS"/>
        <family val="2"/>
      </rPr>
      <t xml:space="preserve">转固</t>
    </r>
  </si>
  <si>
    <t xml:space="preserve">三、合计与校验</t>
  </si>
  <si>
    <r>
      <rPr>
        <b val="true"/>
        <sz val="10"/>
        <color rgb="FF000000"/>
        <rFont val="Arial Unicode MS"/>
        <family val="2"/>
      </rPr>
      <t xml:space="preserve">固定资产</t>
    </r>
    <r>
      <rPr>
        <b val="true"/>
        <sz val="10"/>
        <color rgb="FF000000"/>
        <rFont val="Microsoft YaHei"/>
        <family val="0"/>
        <charset val="1"/>
      </rPr>
      <t xml:space="preserve">+</t>
    </r>
    <r>
      <rPr>
        <b val="true"/>
        <sz val="10"/>
        <color rgb="FF000000"/>
        <rFont val="Arial Unicode MS"/>
        <family val="2"/>
      </rPr>
      <t xml:space="preserve">在建工程 期末合计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</si>
  <si>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BS</t>
    </r>
    <r>
      <rPr>
        <sz val="9"/>
        <color rgb="FF7F7F7F"/>
        <rFont val="Arial Unicode MS"/>
        <family val="2"/>
      </rPr>
      <t xml:space="preserve">固定资产及在建工程</t>
    </r>
    <r>
      <rPr>
        <sz val="9"/>
        <color rgb="FF7F7F7F"/>
        <rFont val="Microsoft YaHei"/>
        <family val="0"/>
        <charset val="1"/>
      </rPr>
      <t xml:space="preserve">; 2025A</t>
    </r>
    <r>
      <rPr>
        <sz val="9"/>
        <color rgb="FF7F7F7F"/>
        <rFont val="Arial Unicode MS"/>
        <family val="2"/>
      </rPr>
      <t xml:space="preserve">合计</t>
    </r>
    <r>
      <rPr>
        <sz val="9"/>
        <color rgb="FF7F7F7F"/>
        <rFont val="Microsoft YaHei"/>
        <family val="0"/>
        <charset val="1"/>
      </rPr>
      <t xml:space="preserve">325.6</t>
    </r>
    <r>
      <rPr>
        <sz val="9"/>
        <color rgb="FF7F7F7F"/>
        <rFont val="Arial Unicode MS"/>
        <family val="2"/>
      </rPr>
      <t xml:space="preserve">亿</t>
    </r>
  </si>
  <si>
    <r>
      <rPr>
        <b val="true"/>
        <sz val="10"/>
        <color rgb="FF000000"/>
        <rFont val="Microsoft YaHei"/>
        <family val="0"/>
        <charset val="1"/>
      </rPr>
      <t xml:space="preserve">D&amp;A </t>
    </r>
    <r>
      <rPr>
        <b val="true"/>
        <sz val="10"/>
        <color rgb="FF000000"/>
        <rFont val="Arial Unicode MS"/>
        <family val="2"/>
      </rPr>
      <t xml:space="preserve">合计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折旧</t>
    </r>
    <r>
      <rPr>
        <b val="true"/>
        <sz val="10"/>
        <color rgb="FF000000"/>
        <rFont val="Microsoft YaHei"/>
        <family val="0"/>
        <charset val="1"/>
      </rPr>
      <t xml:space="preserve">+</t>
    </r>
    <r>
      <rPr>
        <b val="true"/>
        <sz val="10"/>
        <color rgb="FF000000"/>
        <rFont val="Arial Unicode MS"/>
        <family val="2"/>
      </rPr>
      <t xml:space="preserve">无形摊销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</si>
  <si>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＝折旧</t>
    </r>
    <r>
      <rPr>
        <sz val="9"/>
        <color rgb="FF7F7F7F"/>
        <rFont val="Microsoft YaHei"/>
        <family val="0"/>
        <charset val="1"/>
      </rPr>
      <t xml:space="preserve">+Schedules</t>
    </r>
    <r>
      <rPr>
        <sz val="9"/>
        <color rgb="FF7F7F7F"/>
        <rFont val="Arial Unicode MS"/>
        <family val="2"/>
      </rPr>
      <t xml:space="preserve">无形摊销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进</t>
    </r>
    <r>
      <rPr>
        <sz val="9"/>
        <color rgb="FF7F7F7F"/>
        <rFont val="Microsoft YaHei"/>
        <family val="0"/>
        <charset val="1"/>
      </rPr>
      <t xml:space="preserve">CF</t>
    </r>
    <r>
      <rPr>
        <sz val="9"/>
        <color rgb="FF7F7F7F"/>
        <rFont val="Arial Unicode MS"/>
        <family val="2"/>
      </rPr>
      <t xml:space="preserve">与</t>
    </r>
    <r>
      <rPr>
        <sz val="9"/>
        <color rgb="FF7F7F7F"/>
        <rFont val="Microsoft YaHei"/>
        <family val="0"/>
        <charset val="1"/>
      </rPr>
      <t xml:space="preserve">DCF</t>
    </r>
  </si>
  <si>
    <r>
      <rPr>
        <sz val="10"/>
        <color rgb="FF000000"/>
        <rFont val="Arial Unicode MS"/>
        <family val="2"/>
      </rPr>
      <t xml:space="preserve">校验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隐含折旧率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折旧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期初净值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</si>
  <si>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信息行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合理带宽</t>
    </r>
    <r>
      <rPr>
        <sz val="9"/>
        <color rgb="FF7F7F7F"/>
        <rFont val="Microsoft YaHei"/>
        <family val="0"/>
        <charset val="1"/>
      </rPr>
      <t xml:space="preserve">8%-18%</t>
    </r>
  </si>
  <si>
    <r>
      <rPr>
        <sz val="10"/>
        <color rgb="FF000000"/>
        <rFont val="Arial Unicode MS"/>
        <family val="2"/>
      </rPr>
      <t xml:space="preserve">校验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隐含折旧年限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期初净值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折旧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</si>
  <si>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信息行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机器设备为主</t>
    </r>
    <r>
      <rPr>
        <sz val="9"/>
        <color rgb="FF7F7F7F"/>
        <rFont val="Microsoft YaHei"/>
        <family val="0"/>
        <charset val="1"/>
      </rPr>
      <t xml:space="preserve">, 5-10</t>
    </r>
    <r>
      <rPr>
        <sz val="9"/>
        <color rgb="FF7F7F7F"/>
        <rFont val="Arial Unicode MS"/>
        <family val="2"/>
      </rPr>
      <t xml:space="preserve">年为合理带</t>
    </r>
  </si>
  <si>
    <r>
      <rPr>
        <b val="true"/>
        <sz val="13"/>
        <color rgb="FFFFFFFF"/>
        <rFont val="Arial Unicode MS"/>
        <family val="2"/>
      </rPr>
      <t xml:space="preserve">中芯国际 — </t>
    </r>
    <r>
      <rPr>
        <b val="true"/>
        <sz val="13"/>
        <color rgb="FFFFFFFF"/>
        <rFont val="Microsoft YaHei"/>
        <family val="0"/>
        <charset val="1"/>
      </rPr>
      <t xml:space="preserve">FIN </t>
    </r>
    <r>
      <rPr>
        <b val="true"/>
        <sz val="13"/>
        <color rgb="FFFFFFFF"/>
        <rFont val="Arial Unicode MS"/>
        <family val="2"/>
      </rPr>
      <t xml:space="preserve">债务与融资调度 </t>
    </r>
    <r>
      <rPr>
        <b val="true"/>
        <sz val="13"/>
        <color rgb="FFFFFFFF"/>
        <rFont val="Microsoft YaHei"/>
        <family val="0"/>
        <charset val="1"/>
      </rPr>
      <t xml:space="preserve">(</t>
    </r>
    <r>
      <rPr>
        <b val="true"/>
        <sz val="13"/>
        <color rgb="FFFFFFFF"/>
        <rFont val="Arial Unicode MS"/>
        <family val="2"/>
      </rPr>
      <t xml:space="preserve">迭代展开</t>
    </r>
    <r>
      <rPr>
        <b val="true"/>
        <sz val="13"/>
        <color rgb="FFFFFFFF"/>
        <rFont val="Microsoft YaHei"/>
        <family val="0"/>
        <charset val="1"/>
      </rPr>
      <t xml:space="preserve">·</t>
    </r>
    <r>
      <rPr>
        <b val="true"/>
        <sz val="13"/>
        <color rgb="FFFFFFFF"/>
        <rFont val="Arial Unicode MS"/>
        <family val="2"/>
      </rPr>
      <t xml:space="preserve">无循环引用</t>
    </r>
    <r>
      <rPr>
        <b val="true"/>
        <sz val="13"/>
        <color rgb="FFFFFFFF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</si>
  <si>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美元百万元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财报口径</t>
    </r>
    <r>
      <rPr>
        <sz val="9"/>
        <color rgb="FF7F7F7F"/>
        <rFont val="Microsoft YaHei"/>
        <family val="0"/>
        <charset val="1"/>
      </rPr>
      <t xml:space="preserve">) | </t>
    </r>
    <r>
      <rPr>
        <sz val="9"/>
        <color rgb="FF7F7F7F"/>
        <rFont val="Arial Unicode MS"/>
        <family val="2"/>
      </rPr>
      <t xml:space="preserve">瀑布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期初现金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经营</t>
    </r>
    <r>
      <rPr>
        <sz val="9"/>
        <color rgb="FF7F7F7F"/>
        <rFont val="Microsoft YaHei"/>
        <family val="0"/>
        <charset val="1"/>
      </rPr>
      <t xml:space="preserve">CF+</t>
    </r>
    <r>
      <rPr>
        <sz val="9"/>
        <color rgb="FF7F7F7F"/>
        <rFont val="Arial Unicode MS"/>
        <family val="2"/>
      </rPr>
      <t xml:space="preserve">投资</t>
    </r>
    <r>
      <rPr>
        <sz val="9"/>
        <color rgb="FF7F7F7F"/>
        <rFont val="Microsoft YaHei"/>
        <family val="0"/>
        <charset val="1"/>
      </rPr>
      <t xml:space="preserve">CF(</t>
    </r>
    <r>
      <rPr>
        <sz val="9"/>
        <color rgb="FF7F7F7F"/>
        <rFont val="Arial Unicode MS"/>
        <family val="2"/>
      </rPr>
      <t xml:space="preserve">不含理财</t>
    </r>
    <r>
      <rPr>
        <sz val="9"/>
        <color rgb="FF7F7F7F"/>
        <rFont val="Microsoft YaHei"/>
        <family val="0"/>
        <charset val="1"/>
      </rPr>
      <t xml:space="preserve">)+</t>
    </r>
    <r>
      <rPr>
        <sz val="9"/>
        <color rgb="FF7F7F7F"/>
        <rFont val="Arial Unicode MS"/>
        <family val="2"/>
      </rPr>
      <t xml:space="preserve">分红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计划还款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利息→缺口</t>
    </r>
    <r>
      <rPr>
        <sz val="9"/>
        <color rgb="FF7F7F7F"/>
        <rFont val="Microsoft YaHei"/>
        <family val="0"/>
        <charset val="1"/>
      </rPr>
      <t xml:space="preserve">=revolver</t>
    </r>
    <r>
      <rPr>
        <sz val="9"/>
        <color rgb="FF7F7F7F"/>
        <rFont val="Arial Unicode MS"/>
        <family val="2"/>
      </rPr>
      <t xml:space="preserve">新增借款→超额现金</t>
    </r>
    <r>
      <rPr>
        <sz val="9"/>
        <color rgb="FF7F7F7F"/>
        <rFont val="Microsoft YaHei"/>
        <family val="0"/>
        <charset val="1"/>
      </rPr>
      <t xml:space="preserve">sweep</t>
    </r>
    <r>
      <rPr>
        <sz val="9"/>
        <color rgb="FF7F7F7F"/>
        <rFont val="Arial Unicode MS"/>
        <family val="2"/>
      </rPr>
      <t xml:space="preserve">还短借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长借→溢出购理财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利息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平均余额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利率的循环链在下方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四、迭代展开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区表内展开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末轮输出供全簿引用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无需开启迭代计算</t>
    </r>
  </si>
  <si>
    <r>
      <rPr>
        <b val="true"/>
        <sz val="10"/>
        <color rgb="FF1F3864"/>
        <rFont val="Arial Unicode MS"/>
        <family val="2"/>
      </rPr>
      <t xml:space="preserve">一、资金瀑布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融资需求与可动用现金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</si>
  <si>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2026=2025A</t>
    </r>
    <r>
      <rPr>
        <sz val="9"/>
        <color rgb="FF7F7F7F"/>
        <rFont val="Arial Unicode MS"/>
        <family val="2"/>
      </rPr>
      <t xml:space="preserve">末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以后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上年期末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</si>
  <si>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经营活动现金流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不含利息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</si>
  <si>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CF</t>
    </r>
    <r>
      <rPr>
        <sz val="9"/>
        <color rgb="FF7F7F7F"/>
        <rFont val="Arial Unicode MS"/>
        <family val="2"/>
      </rPr>
      <t xml:space="preserve">经营净额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利息已重分类至筹资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</si>
  <si>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投资活动现金流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不含理财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</si>
  <si>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-Capex+</t>
    </r>
    <r>
      <rPr>
        <sz val="9"/>
        <color rgb="FF7F7F7F"/>
        <rFont val="Arial Unicode MS"/>
        <family val="2"/>
      </rPr>
      <t xml:space="preserve">处置回收</t>
    </r>
    <r>
      <rPr>
        <sz val="9"/>
        <color rgb="FF7F7F7F"/>
        <rFont val="Microsoft YaHei"/>
        <family val="0"/>
        <charset val="1"/>
      </rPr>
      <t xml:space="preserve">(PP&amp;E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</si>
  <si>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计划分红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负值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</si>
  <si>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上年归母</t>
    </r>
    <r>
      <rPr>
        <sz val="9"/>
        <color rgb="FF7F7F7F"/>
        <rFont val="Microsoft YaHei"/>
        <family val="0"/>
        <charset val="1"/>
      </rPr>
      <t xml:space="preserve">×30% (Schedules)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</si>
  <si>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偿付利息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负值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</si>
  <si>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本页利息支出合计</t>
    </r>
    <r>
      <rPr>
        <sz val="9"/>
        <color rgb="FF7F7F7F"/>
        <rFont val="Microsoft YaHei"/>
        <family val="0"/>
        <charset val="1"/>
      </rPr>
      <t xml:space="preserve">(=</t>
    </r>
    <r>
      <rPr>
        <sz val="9"/>
        <color rgb="FF7F7F7F"/>
        <rFont val="Arial Unicode MS"/>
        <family val="2"/>
      </rPr>
      <t xml:space="preserve">第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轮迭代展开输出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</si>
  <si>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实际还款合计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负值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</si>
  <si>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＝四档实际还款加总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实际还款</t>
    </r>
    <r>
      <rPr>
        <sz val="9"/>
        <color rgb="FF7F7F7F"/>
        <rFont val="Microsoft YaHei"/>
        <family val="0"/>
        <charset val="1"/>
      </rPr>
      <t xml:space="preserve">=MIN(</t>
    </r>
    <r>
      <rPr>
        <sz val="9"/>
        <color rgb="FF7F7F7F"/>
        <rFont val="Arial Unicode MS"/>
        <family val="2"/>
      </rPr>
      <t xml:space="preserve">计划还款</t>
    </r>
    <r>
      <rPr>
        <sz val="9"/>
        <color rgb="FF7F7F7F"/>
        <rFont val="Microsoft YaHei"/>
        <family val="0"/>
        <charset val="1"/>
      </rPr>
      <t xml:space="preserve">,</t>
    </r>
    <r>
      <rPr>
        <sz val="9"/>
        <color rgb="FF7F7F7F"/>
        <rFont val="Arial Unicode MS"/>
        <family val="2"/>
      </rPr>
      <t xml:space="preserve">期初余额</t>
    </r>
    <r>
      <rPr>
        <sz val="9"/>
        <color rgb="FF7F7F7F"/>
        <rFont val="Microsoft YaHei"/>
        <family val="0"/>
        <charset val="1"/>
      </rPr>
      <t xml:space="preserve">))</t>
    </r>
  </si>
  <si>
    <t xml:space="preserve">融资前现金结余</t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</si>
  <si>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经营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投资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分红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利息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还款</t>
    </r>
  </si>
  <si>
    <t xml:space="preserve">最低现金</t>
  </si>
  <si>
    <r>
      <rPr>
        <sz val="9"/>
        <color rgb="FF7F7F7F"/>
        <rFont val="Arial Unicode MS"/>
        <family val="2"/>
      </rPr>
      <t xml:space="preserve">＝收入</t>
    </r>
    <r>
      <rPr>
        <sz val="9"/>
        <color rgb="FF7F7F7F"/>
        <rFont val="Microsoft YaHei"/>
        <family val="0"/>
        <charset val="1"/>
      </rPr>
      <t xml:space="preserve">×60% (Assumptions)</t>
    </r>
  </si>
  <si>
    <r>
      <rPr>
        <b val="true"/>
        <sz val="10"/>
        <color rgb="FF000000"/>
        <rFont val="Arial Unicode MS"/>
        <family val="2"/>
      </rPr>
      <t xml:space="preserve">资金缺口→新增借款</t>
    </r>
    <r>
      <rPr>
        <b val="true"/>
        <sz val="10"/>
        <color rgb="FF000000"/>
        <rFont val="Microsoft YaHei"/>
        <family val="0"/>
        <charset val="1"/>
      </rPr>
      <t xml:space="preserve">(revolver)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</si>
  <si>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MAX(0, </t>
    </r>
    <r>
      <rPr>
        <sz val="9"/>
        <color rgb="FF7F7F7F"/>
        <rFont val="Arial Unicode MS"/>
        <family val="2"/>
      </rPr>
      <t xml:space="preserve">最低现金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融资前结余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</si>
  <si>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可动用现金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还债</t>
    </r>
    <r>
      <rPr>
        <b val="true"/>
        <sz val="10"/>
        <color rgb="FF000000"/>
        <rFont val="Microsoft YaHei"/>
        <family val="0"/>
        <charset val="1"/>
      </rPr>
      <t xml:space="preserve">+</t>
    </r>
    <r>
      <rPr>
        <b val="true"/>
        <sz val="10"/>
        <color rgb="FF000000"/>
        <rFont val="Arial Unicode MS"/>
        <family val="2"/>
      </rPr>
      <t xml:space="preserve">购理财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</si>
  <si>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MAX(0, </t>
    </r>
    <r>
      <rPr>
        <sz val="9"/>
        <color rgb="FF7F7F7F"/>
        <rFont val="Arial Unicode MS"/>
        <family val="2"/>
      </rPr>
      <t xml:space="preserve">融资前结余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新增借款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最低现金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</si>
  <si>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0"/>
        <color rgb="FF1F3864"/>
        <rFont val="Microsoft YaHei"/>
        <family val="0"/>
        <charset val="1"/>
      </rPr>
      <t xml:space="preserve">· </t>
    </r>
    <r>
      <rPr>
        <b val="true"/>
        <sz val="10"/>
        <color rgb="FF1F3864"/>
        <rFont val="Arial Unicode MS"/>
        <family val="2"/>
      </rPr>
      <t xml:space="preserve">短期借款 </t>
    </r>
    <r>
      <rPr>
        <b val="true"/>
        <sz val="10"/>
        <color rgb="FF1F3864"/>
        <rFont val="Microsoft YaHei"/>
        <family val="0"/>
        <charset val="1"/>
      </rPr>
      <t xml:space="preserve">(revolver: </t>
    </r>
    <r>
      <rPr>
        <b val="true"/>
        <sz val="10"/>
        <color rgb="FF1F3864"/>
        <rFont val="Arial Unicode MS"/>
        <family val="2"/>
      </rPr>
      <t xml:space="preserve">新增借款入口</t>
    </r>
    <r>
      <rPr>
        <b val="true"/>
        <sz val="10"/>
        <color rgb="FF1F3864"/>
        <rFont val="Microsoft YaHei"/>
        <family val="0"/>
        <charset val="1"/>
      </rPr>
      <t xml:space="preserve">, sweep</t>
    </r>
    <r>
      <rPr>
        <b val="true"/>
        <sz val="10"/>
        <color rgb="FF1F3864"/>
        <rFont val="Arial Unicode MS"/>
        <family val="2"/>
      </rPr>
      <t xml:space="preserve">第一顺位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</si>
  <si>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t xml:space="preserve">期初余额</t>
  </si>
  <si>
    <t xml:space="preserve">上年期末</t>
  </si>
  <si>
    <r>
      <rPr>
        <sz val="10"/>
        <color rgb="FF000000"/>
        <rFont val="Arial Unicode MS"/>
        <family val="2"/>
      </rPr>
      <t xml:space="preserve">计划还款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输入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</si>
  <si>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Assumptions rep_st</t>
    </r>
  </si>
  <si>
    <r>
      <rPr>
        <sz val="10"/>
        <color rgb="FF000000"/>
        <rFont val="Arial Unicode MS"/>
        <family val="2"/>
      </rPr>
      <t xml:space="preserve">实际还款</t>
    </r>
    <r>
      <rPr>
        <sz val="10"/>
        <color rgb="FF000000"/>
        <rFont val="Microsoft YaHei"/>
        <family val="0"/>
        <charset val="1"/>
      </rPr>
      <t xml:space="preserve">(≤</t>
    </r>
    <r>
      <rPr>
        <sz val="10"/>
        <color rgb="FF000000"/>
        <rFont val="Arial Unicode MS"/>
        <family val="2"/>
      </rPr>
      <t xml:space="preserve">期初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</si>
  <si>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MIN(</t>
    </r>
    <r>
      <rPr>
        <sz val="9"/>
        <color rgb="FF7F7F7F"/>
        <rFont val="Arial Unicode MS"/>
        <family val="2"/>
      </rPr>
      <t xml:space="preserve">计划还款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期初余额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防止债务清零后仍按计划额扣现金</t>
    </r>
  </si>
  <si>
    <t xml:space="preserve">新增借款</t>
  </si>
  <si>
    <r>
      <rPr>
        <sz val="9"/>
        <color rgb="FF7F7F7F"/>
        <rFont val="Arial Unicode MS"/>
        <family val="2"/>
      </rPr>
      <t xml:space="preserve">＝资金缺口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全部经</t>
    </r>
    <r>
      <rPr>
        <sz val="9"/>
        <color rgb="FF7F7F7F"/>
        <rFont val="Microsoft YaHei"/>
        <family val="0"/>
        <charset val="1"/>
      </rPr>
      <t xml:space="preserve">revolver</t>
    </r>
    <r>
      <rPr>
        <sz val="9"/>
        <color rgb="FF7F7F7F"/>
        <rFont val="Arial Unicode MS"/>
        <family val="2"/>
      </rPr>
      <t xml:space="preserve">融入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</si>
  <si>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sweep</t>
    </r>
    <r>
      <rPr>
        <sz val="10"/>
        <color rgb="FF000000"/>
        <rFont val="Arial Unicode MS"/>
        <family val="2"/>
      </rPr>
      <t xml:space="preserve">前未偿余额</t>
    </r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</si>
  <si>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实际还款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新增</t>
    </r>
  </si>
  <si>
    <r>
      <rPr>
        <sz val="10"/>
        <color rgb="FF000000"/>
        <rFont val="Arial Unicode MS"/>
        <family val="2"/>
      </rPr>
      <t xml:space="preserve">现金</t>
    </r>
    <r>
      <rPr>
        <sz val="10"/>
        <color rgb="FF000000"/>
        <rFont val="Microsoft YaHei"/>
        <family val="0"/>
        <charset val="1"/>
      </rPr>
      <t xml:space="preserve">sweep</t>
    </r>
    <r>
      <rPr>
        <sz val="10"/>
        <color rgb="FF000000"/>
        <rFont val="Arial Unicode MS"/>
        <family val="2"/>
      </rPr>
      <t xml:space="preserve">偿还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</si>
  <si>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MIN(</t>
    </r>
    <r>
      <rPr>
        <sz val="9"/>
        <color rgb="FF7F7F7F"/>
        <rFont val="Arial Unicode MS"/>
        <family val="2"/>
      </rPr>
      <t xml:space="preserve">可动用现金余额</t>
    </r>
    <r>
      <rPr>
        <sz val="9"/>
        <color rgb="FF7F7F7F"/>
        <rFont val="Microsoft YaHei"/>
        <family val="0"/>
        <charset val="1"/>
      </rPr>
      <t xml:space="preserve">, sweep</t>
    </r>
    <r>
      <rPr>
        <sz val="9"/>
        <color rgb="FF7F7F7F"/>
        <rFont val="Arial Unicode MS"/>
        <family val="2"/>
      </rPr>
      <t xml:space="preserve">前未偿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</si>
  <si>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期末余额</t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</si>
  <si>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sweep</t>
    </r>
    <r>
      <rPr>
        <sz val="9"/>
        <color rgb="FF7F7F7F"/>
        <rFont val="Arial Unicode MS"/>
        <family val="2"/>
      </rPr>
      <t xml:space="preserve">前未偿</t>
    </r>
    <r>
      <rPr>
        <sz val="9"/>
        <color rgb="FF7F7F7F"/>
        <rFont val="Microsoft YaHei"/>
        <family val="0"/>
        <charset val="1"/>
      </rPr>
      <t xml:space="preserve">-sweep</t>
    </r>
  </si>
  <si>
    <t xml:space="preserve">平均余额</t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</si>
  <si>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期末</t>
    </r>
    <r>
      <rPr>
        <sz val="9"/>
        <color rgb="FF7F7F7F"/>
        <rFont val="Microsoft YaHei"/>
        <family val="0"/>
        <charset val="1"/>
      </rPr>
      <t xml:space="preserve">)/2</t>
    </r>
  </si>
  <si>
    <t xml:space="preserve">利息支出</t>
  </si>
  <si>
    <r>
      <rPr>
        <sz val="9"/>
        <color rgb="FF7F7F7F"/>
        <rFont val="Arial Unicode MS"/>
        <family val="2"/>
      </rPr>
      <t xml:space="preserve">＝平均余额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利率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按期末余额重算的隐含值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与采用值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第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轮迭代输出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之差见下方残差行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</si>
  <si>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0"/>
        <color rgb="FF1F3864"/>
        <rFont val="Microsoft YaHei"/>
        <family val="0"/>
        <charset val="1"/>
      </rPr>
      <t xml:space="preserve">· </t>
    </r>
    <r>
      <rPr>
        <b val="true"/>
        <sz val="10"/>
        <color rgb="FF1F3864"/>
        <rFont val="Arial Unicode MS"/>
        <family val="2"/>
      </rPr>
      <t xml:space="preserve">一年内到期的非流动负债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仅计划还款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</si>
  <si>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Assumptions rep_cur</t>
    </r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</si>
  <si>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实际还款</t>
    </r>
  </si>
  <si>
    <r>
      <rPr>
        <b val="true"/>
        <sz val="10"/>
        <color rgb="FF1F3864"/>
        <rFont val="Microsoft YaHei"/>
        <family val="0"/>
        <charset val="1"/>
      </rPr>
      <t xml:space="preserve">· </t>
    </r>
    <r>
      <rPr>
        <b val="true"/>
        <sz val="10"/>
        <color rgb="FF1F3864"/>
        <rFont val="Arial Unicode MS"/>
        <family val="2"/>
      </rPr>
      <t xml:space="preserve">长期借款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计划还款</t>
    </r>
    <r>
      <rPr>
        <b val="true"/>
        <sz val="10"/>
        <color rgb="FF1F3864"/>
        <rFont val="Microsoft YaHei"/>
        <family val="0"/>
        <charset val="1"/>
      </rPr>
      <t xml:space="preserve">+sweep</t>
    </r>
    <r>
      <rPr>
        <b val="true"/>
        <sz val="10"/>
        <color rgb="FF1F3864"/>
        <rFont val="Arial Unicode MS"/>
        <family val="2"/>
      </rPr>
      <t xml:space="preserve">第二顺位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</si>
  <si>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Assumptions rep_lt</t>
    </r>
  </si>
  <si>
    <r>
      <rPr>
        <b val="true"/>
        <sz val="10"/>
        <color rgb="FF1F3864"/>
        <rFont val="Microsoft YaHei"/>
        <family val="0"/>
        <charset val="1"/>
      </rPr>
      <t xml:space="preserve">· </t>
    </r>
    <r>
      <rPr>
        <b val="true"/>
        <sz val="10"/>
        <color rgb="FF1F3864"/>
        <rFont val="Arial Unicode MS"/>
        <family val="2"/>
      </rPr>
      <t xml:space="preserve">租赁负债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仅计划还款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</si>
  <si>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Assumptions rep_lease</t>
    </r>
  </si>
  <si>
    <r>
      <rPr>
        <b val="true"/>
        <sz val="10"/>
        <color rgb="FF1F3864"/>
        <rFont val="Arial Unicode MS"/>
        <family val="2"/>
      </rPr>
      <t xml:space="preserve">三、汇总 </t>
    </r>
    <r>
      <rPr>
        <b val="true"/>
        <sz val="10"/>
        <color rgb="FF1F3864"/>
        <rFont val="Microsoft YaHei"/>
        <family val="0"/>
        <charset val="1"/>
      </rPr>
      <t xml:space="preserve">/ </t>
    </r>
    <r>
      <rPr>
        <b val="true"/>
        <sz val="10"/>
        <color rgb="FF1F3864"/>
        <rFont val="Arial Unicode MS"/>
        <family val="2"/>
      </rPr>
      <t xml:space="preserve">理财 </t>
    </r>
    <r>
      <rPr>
        <b val="true"/>
        <sz val="10"/>
        <color rgb="FF1F3864"/>
        <rFont val="Microsoft YaHei"/>
        <family val="0"/>
        <charset val="1"/>
      </rPr>
      <t xml:space="preserve">/ </t>
    </r>
    <r>
      <rPr>
        <b val="true"/>
        <sz val="10"/>
        <color rgb="FF1F3864"/>
        <rFont val="Arial Unicode MS"/>
        <family val="2"/>
      </rPr>
      <t xml:space="preserve">现金期末</t>
    </r>
  </si>
  <si>
    <t xml:space="preserve">有息负债期初合计</t>
  </si>
  <si>
    <t xml:space="preserve">四档期初加总</t>
  </si>
  <si>
    <t xml:space="preserve">有息负债期末合计</t>
  </si>
  <si>
    <t xml:space="preserve">四档期末加总</t>
  </si>
  <si>
    <r>
      <rPr>
        <sz val="10"/>
        <color rgb="FF000000"/>
        <rFont val="Arial Unicode MS"/>
        <family val="2"/>
      </rPr>
      <t xml:space="preserve">债务净变动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增加为正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</si>
  <si>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＝期末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进</t>
    </r>
    <r>
      <rPr>
        <sz val="9"/>
        <color rgb="FF7F7F7F"/>
        <rFont val="Microsoft YaHei"/>
        <family val="0"/>
        <charset val="1"/>
      </rPr>
      <t xml:space="preserve">CF</t>
    </r>
    <r>
      <rPr>
        <sz val="9"/>
        <color rgb="FF7F7F7F"/>
        <rFont val="Arial Unicode MS"/>
        <family val="2"/>
      </rPr>
      <t xml:space="preserve">筹资</t>
    </r>
  </si>
  <si>
    <r>
      <rPr>
        <sz val="10"/>
        <color rgb="FF000000"/>
        <rFont val="Arial Unicode MS"/>
        <family val="2"/>
      </rPr>
      <t xml:space="preserve">现金</t>
    </r>
    <r>
      <rPr>
        <sz val="10"/>
        <color rgb="FF000000"/>
        <rFont val="Microsoft YaHei"/>
        <family val="0"/>
        <charset val="1"/>
      </rPr>
      <t xml:space="preserve">sweep</t>
    </r>
    <r>
      <rPr>
        <sz val="10"/>
        <color rgb="FF000000"/>
        <rFont val="Arial Unicode MS"/>
        <family val="2"/>
      </rPr>
      <t xml:space="preserve">合计</t>
    </r>
  </si>
  <si>
    <r>
      <rPr>
        <sz val="9"/>
        <color rgb="FF7F7F7F"/>
        <rFont val="Arial Unicode MS"/>
        <family val="2"/>
      </rPr>
      <t xml:space="preserve">＝短借</t>
    </r>
    <r>
      <rPr>
        <sz val="9"/>
        <color rgb="FF7F7F7F"/>
        <rFont val="Microsoft YaHei"/>
        <family val="0"/>
        <charset val="1"/>
      </rPr>
      <t xml:space="preserve">sweep+</t>
    </r>
    <r>
      <rPr>
        <sz val="9"/>
        <color rgb="FF7F7F7F"/>
        <rFont val="Arial Unicode MS"/>
        <family val="2"/>
      </rPr>
      <t xml:space="preserve">长借</t>
    </r>
    <r>
      <rPr>
        <sz val="9"/>
        <color rgb="FF7F7F7F"/>
        <rFont val="Microsoft YaHei"/>
        <family val="0"/>
        <charset val="1"/>
      </rPr>
      <t xml:space="preserve">sweep</t>
    </r>
  </si>
  <si>
    <t xml:space="preserve">溢出资金→购买理财</t>
  </si>
  <si>
    <r>
      <rPr>
        <sz val="9"/>
        <color rgb="FF7F7F7F"/>
        <rFont val="Arial Unicode MS"/>
        <family val="2"/>
      </rPr>
      <t xml:space="preserve">＝可动用现金</t>
    </r>
    <r>
      <rPr>
        <sz val="9"/>
        <color rgb="FF7F7F7F"/>
        <rFont val="Microsoft YaHei"/>
        <family val="0"/>
        <charset val="1"/>
      </rPr>
      <t xml:space="preserve">-sweep</t>
    </r>
    <r>
      <rPr>
        <sz val="9"/>
        <color rgb="FF7F7F7F"/>
        <rFont val="Arial Unicode MS"/>
        <family val="2"/>
      </rPr>
      <t xml:space="preserve">合计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债务清零后剩余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</si>
  <si>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期初交易性金融资产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理财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</si>
  <si>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2026=2025A</t>
    </r>
    <r>
      <rPr>
        <sz val="9"/>
        <color rgb="FF7F7F7F"/>
        <rFont val="Arial Unicode MS"/>
        <family val="2"/>
      </rPr>
      <t xml:space="preserve">末</t>
    </r>
    <r>
      <rPr>
        <sz val="9"/>
        <color rgb="FF7F7F7F"/>
        <rFont val="Microsoft YaHei"/>
        <family val="0"/>
        <charset val="1"/>
      </rPr>
      <t xml:space="preserve">45.31</t>
    </r>
    <r>
      <rPr>
        <sz val="9"/>
        <color rgb="FF7F7F7F"/>
        <rFont val="Arial Unicode MS"/>
        <family val="2"/>
      </rPr>
      <t xml:space="preserve">亿</t>
    </r>
  </si>
  <si>
    <r>
      <rPr>
        <sz val="10"/>
        <color rgb="FF000000"/>
        <rFont val="Arial Unicode MS"/>
        <family val="2"/>
      </rPr>
      <t xml:space="preserve">期末交易性金融资产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理财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</si>
  <si>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溢出购买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简化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缺口年不赎回</t>
    </r>
  </si>
  <si>
    <t xml:space="preserve">理财净变动</t>
  </si>
  <si>
    <r>
      <rPr>
        <sz val="9"/>
        <color rgb="FF7F7F7F"/>
        <rFont val="Arial Unicode MS"/>
        <family val="2"/>
      </rPr>
      <t xml:space="preserve">＝期末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进</t>
    </r>
    <r>
      <rPr>
        <sz val="9"/>
        <color rgb="FF7F7F7F"/>
        <rFont val="Microsoft YaHei"/>
        <family val="0"/>
        <charset val="1"/>
      </rPr>
      <t xml:space="preserve">CF</t>
    </r>
    <r>
      <rPr>
        <sz val="9"/>
        <color rgb="FF7F7F7F"/>
        <rFont val="Arial Unicode MS"/>
        <family val="2"/>
      </rPr>
      <t xml:space="preserve">投资活动</t>
    </r>
  </si>
  <si>
    <r>
      <rPr>
        <b val="true"/>
        <sz val="10"/>
        <color rgb="FF000000"/>
        <rFont val="Arial Unicode MS"/>
        <family val="2"/>
      </rPr>
      <t xml:space="preserve">期末货币资金</t>
    </r>
    <r>
      <rPr>
        <b val="true"/>
        <sz val="10"/>
        <color rgb="FF000000"/>
        <rFont val="Microsoft YaHei"/>
        <family val="0"/>
        <charset val="1"/>
      </rPr>
      <t xml:space="preserve">(=</t>
    </r>
    <r>
      <rPr>
        <b val="true"/>
        <sz val="10"/>
        <color rgb="FF000000"/>
        <rFont val="Arial Unicode MS"/>
        <family val="2"/>
      </rPr>
      <t xml:space="preserve">最低现金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</si>
  <si>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＝融资前结余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新增</t>
    </r>
    <r>
      <rPr>
        <sz val="9"/>
        <color rgb="FF7F7F7F"/>
        <rFont val="Microsoft YaHei"/>
        <family val="0"/>
        <charset val="1"/>
      </rPr>
      <t xml:space="preserve">-sweep-</t>
    </r>
    <r>
      <rPr>
        <sz val="9"/>
        <color rgb="FF7F7F7F"/>
        <rFont val="Arial Unicode MS"/>
        <family val="2"/>
      </rPr>
      <t xml:space="preserve">溢出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恒等于最低现金</t>
    </r>
  </si>
  <si>
    <t xml:space="preserve">利息支出合计</t>
  </si>
  <si>
    <r>
      <rPr>
        <sz val="9"/>
        <color rgb="FF7F7F7F"/>
        <rFont val="Arial Unicode MS"/>
        <family val="2"/>
      </rPr>
      <t xml:space="preserve">＝第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轮迭代展开输出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四档平均余额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利率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上方分档利息行为隐含重算值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差额见残差行</t>
    </r>
  </si>
  <si>
    <t xml:space="preserve">利息收入</t>
  </si>
  <si>
    <r>
      <rPr>
        <sz val="9"/>
        <color rgb="FF7F7F7F"/>
        <rFont val="Arial Unicode MS"/>
        <family val="2"/>
      </rPr>
      <t xml:space="preserve">＝第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轮迭代展开输出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货币资金平均余额</t>
    </r>
    <r>
      <rPr>
        <sz val="9"/>
        <color rgb="FF7F7F7F"/>
        <rFont val="Microsoft YaHei"/>
        <family val="0"/>
        <charset val="1"/>
      </rPr>
      <t xml:space="preserve">×1.2%)</t>
    </r>
  </si>
  <si>
    <t xml:space="preserve">其他财务费用</t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</si>
  <si>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Assumptions 30</t>
    </r>
    <r>
      <rPr>
        <sz val="9"/>
        <color rgb="FF7F7F7F"/>
        <rFont val="Arial Unicode MS"/>
        <family val="2"/>
      </rPr>
      <t xml:space="preserve">百万</t>
    </r>
  </si>
  <si>
    <r>
      <rPr>
        <b val="true"/>
        <sz val="10"/>
        <color rgb="FF000000"/>
        <rFont val="Arial Unicode MS"/>
        <family val="2"/>
      </rPr>
      <t xml:space="preserve">财务费用净额</t>
    </r>
    <r>
      <rPr>
        <b val="true"/>
        <sz val="10"/>
        <color rgb="FF000000"/>
        <rFont val="Microsoft YaHei"/>
        <family val="0"/>
        <charset val="1"/>
      </rPr>
      <t xml:space="preserve">(→IS)</t>
    </r>
  </si>
  <si>
    <r>
      <rPr>
        <sz val="9"/>
        <color rgb="FF7F7F7F"/>
        <rFont val="Arial Unicode MS"/>
        <family val="2"/>
      </rPr>
      <t xml:space="preserve">＝利息支出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利息收入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其他</t>
    </r>
  </si>
  <si>
    <r>
      <rPr>
        <b val="true"/>
        <sz val="10"/>
        <color rgb="FF1F3864"/>
        <rFont val="Arial Unicode MS"/>
        <family val="2"/>
      </rPr>
      <t xml:space="preserve">四、迭代展开 </t>
    </r>
    <r>
      <rPr>
        <b val="true"/>
        <sz val="10"/>
        <color rgb="FF1F3864"/>
        <rFont val="Microsoft YaHei"/>
        <family val="0"/>
        <charset val="1"/>
      </rPr>
      <t xml:space="preserve">(iteration unrolling — </t>
    </r>
    <r>
      <rPr>
        <b val="true"/>
        <sz val="10"/>
        <color rgb="FF1F3864"/>
        <rFont val="Arial Unicode MS"/>
        <family val="2"/>
      </rPr>
      <t xml:space="preserve">循环链表内展开</t>
    </r>
    <r>
      <rPr>
        <b val="true"/>
        <sz val="10"/>
        <color rgb="FF1F3864"/>
        <rFont val="Microsoft YaHei"/>
        <family val="0"/>
        <charset val="1"/>
      </rPr>
      <t xml:space="preserve">, </t>
    </r>
    <r>
      <rPr>
        <b val="true"/>
        <sz val="10"/>
        <color rgb="FF1F3864"/>
        <rFont val="Arial Unicode MS"/>
        <family val="2"/>
      </rPr>
      <t xml:space="preserve">替代</t>
    </r>
    <r>
      <rPr>
        <b val="true"/>
        <sz val="10"/>
        <color rgb="FF1F3864"/>
        <rFont val="Microsoft YaHei"/>
        <family val="0"/>
        <charset val="1"/>
      </rPr>
      <t xml:space="preserve">Excel</t>
    </r>
    <r>
      <rPr>
        <b val="true"/>
        <sz val="10"/>
        <color rgb="FF1F3864"/>
        <rFont val="Arial Unicode MS"/>
        <family val="2"/>
      </rPr>
      <t xml:space="preserve">迭代计算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</si>
  <si>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方法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第</t>
    </r>
    <r>
      <rPr>
        <sz val="9"/>
        <color rgb="FF7F7F7F"/>
        <rFont val="Microsoft YaHei"/>
        <family val="0"/>
        <charset val="1"/>
      </rPr>
      <t xml:space="preserve">1</t>
    </r>
    <r>
      <rPr>
        <sz val="9"/>
        <color rgb="FF7F7F7F"/>
        <rFont val="Arial Unicode MS"/>
        <family val="2"/>
      </rPr>
      <t xml:space="preserve">轮按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期初债务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利率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计息→算期末债务₁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现金₁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第</t>
    </r>
    <r>
      <rPr>
        <sz val="9"/>
        <color rgb="FF7F7F7F"/>
        <rFont val="Microsoft YaHei"/>
        <family val="0"/>
        <charset val="1"/>
      </rPr>
      <t xml:space="preserve">k</t>
    </r>
    <r>
      <rPr>
        <sz val="9"/>
        <color rgb="FF7F7F7F"/>
        <rFont val="Arial Unicode MS"/>
        <family val="2"/>
      </rPr>
      <t xml:space="preserve">轮</t>
    </r>
    <r>
      <rPr>
        <sz val="9"/>
        <color rgb="FF7F7F7F"/>
        <rFont val="Microsoft YaHei"/>
        <family val="0"/>
        <charset val="1"/>
      </rPr>
      <t xml:space="preserve">(k=2..4)</t>
    </r>
    <r>
      <rPr>
        <sz val="9"/>
        <color rgb="FF7F7F7F"/>
        <rFont val="Arial Unicode MS"/>
        <family val="2"/>
      </rPr>
      <t xml:space="preserve">按</t>
    </r>
    <r>
      <rPr>
        <sz val="9"/>
        <color rgb="FF7F7F7F"/>
        <rFont val="Microsoft YaHei"/>
        <family val="0"/>
        <charset val="1"/>
      </rPr>
      <t xml:space="preserve">"(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上轮期末</t>
    </r>
    <r>
      <rPr>
        <sz val="9"/>
        <color rgb="FF7F7F7F"/>
        <rFont val="Microsoft YaHei"/>
        <family val="0"/>
        <charset val="1"/>
      </rPr>
      <t xml:space="preserve">)/2×</t>
    </r>
    <r>
      <rPr>
        <sz val="9"/>
        <color rgb="FF7F7F7F"/>
        <rFont val="Arial Unicode MS"/>
        <family val="2"/>
      </rPr>
      <t xml:space="preserve">利率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重算→期末</t>
    </r>
    <r>
      <rPr>
        <sz val="9"/>
        <color rgb="FF7F7F7F"/>
        <rFont val="Microsoft YaHei"/>
        <family val="0"/>
        <charset val="1"/>
      </rPr>
      <t xml:space="preserve">_k; </t>
    </r>
    <r>
      <rPr>
        <sz val="9"/>
        <color rgb="FF7F7F7F"/>
        <rFont val="Arial Unicode MS"/>
        <family val="2"/>
      </rPr>
      <t xml:space="preserve">第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轮输出回填上方汇总行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利息支出合计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利息收入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财务费用净额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供</t>
    </r>
    <r>
      <rPr>
        <sz val="9"/>
        <color rgb="FF7F7F7F"/>
        <rFont val="Microsoft YaHei"/>
        <family val="0"/>
        <charset val="1"/>
      </rPr>
      <t xml:space="preserve">IS/CF/BS</t>
    </r>
    <r>
      <rPr>
        <sz val="9"/>
        <color rgb="FF7F7F7F"/>
        <rFont val="Arial Unicode MS"/>
        <family val="2"/>
      </rPr>
      <t xml:space="preserve">引用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每轮残差</t>
    </r>
    <r>
      <rPr>
        <sz val="9"/>
        <color rgb="FF7F7F7F"/>
        <rFont val="Microsoft YaHei"/>
        <family val="0"/>
        <charset val="1"/>
      </rPr>
      <t xml:space="preserve">=|Δ</t>
    </r>
    <r>
      <rPr>
        <sz val="9"/>
        <color rgb="FF7F7F7F"/>
        <rFont val="Arial Unicode MS"/>
        <family val="2"/>
      </rPr>
      <t xml:space="preserve">利息支出</t>
    </r>
    <r>
      <rPr>
        <sz val="9"/>
        <color rgb="FF7F7F7F"/>
        <rFont val="Microsoft YaHei"/>
        <family val="0"/>
        <charset val="1"/>
      </rPr>
      <t xml:space="preserve">|+|Δ</t>
    </r>
    <r>
      <rPr>
        <sz val="9"/>
        <color rgb="FF7F7F7F"/>
        <rFont val="Arial Unicode MS"/>
        <family val="2"/>
      </rPr>
      <t xml:space="preserve">利息收入</t>
    </r>
    <r>
      <rPr>
        <sz val="9"/>
        <color rgb="FF7F7F7F"/>
        <rFont val="Microsoft YaHei"/>
        <family val="0"/>
        <charset val="1"/>
      </rPr>
      <t xml:space="preserve">|(</t>
    </r>
    <r>
      <rPr>
        <sz val="9"/>
        <color rgb="FF7F7F7F"/>
        <rFont val="Arial Unicode MS"/>
        <family val="2"/>
      </rPr>
      <t xml:space="preserve">相对上轮</t>
    </r>
    <r>
      <rPr>
        <sz val="9"/>
        <color rgb="FF7F7F7F"/>
        <rFont val="Microsoft YaHei"/>
        <family val="0"/>
        <charset val="1"/>
      </rPr>
      <t xml:space="preserve">), &lt;0.01</t>
    </r>
    <r>
      <rPr>
        <sz val="9"/>
        <color rgb="FF7F7F7F"/>
        <rFont val="Arial Unicode MS"/>
        <family val="2"/>
      </rPr>
      <t xml:space="preserve">即收敛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外部不动点法实测</t>
    </r>
    <r>
      <rPr>
        <sz val="9"/>
        <color rgb="FF7F7F7F"/>
        <rFont val="Microsoft YaHei"/>
        <family val="0"/>
        <charset val="1"/>
      </rPr>
      <t xml:space="preserve">6</t>
    </r>
    <r>
      <rPr>
        <sz val="9"/>
        <color rgb="FF7F7F7F"/>
        <rFont val="Arial Unicode MS"/>
        <family val="2"/>
      </rPr>
      <t xml:space="preserve">轮内收敛至</t>
    </r>
    <r>
      <rPr>
        <sz val="9"/>
        <color rgb="FF7F7F7F"/>
        <rFont val="Microsoft YaHei"/>
        <family val="0"/>
        <charset val="1"/>
      </rPr>
      <t xml:space="preserve">1e-8, 4</t>
    </r>
    <r>
      <rPr>
        <sz val="9"/>
        <color rgb="FF7F7F7F"/>
        <rFont val="Arial Unicode MS"/>
        <family val="2"/>
      </rPr>
      <t xml:space="preserve">轮充足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</si>
  <si>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0"/>
        <color rgb="FF1F3864"/>
        <rFont val="Microsoft YaHei"/>
        <family val="0"/>
        <charset val="1"/>
      </rPr>
      <t xml:space="preserve">· </t>
    </r>
    <r>
      <rPr>
        <b val="true"/>
        <sz val="10"/>
        <color rgb="FF1F3864"/>
        <rFont val="Arial Unicode MS"/>
        <family val="2"/>
      </rPr>
      <t xml:space="preserve">第</t>
    </r>
    <r>
      <rPr>
        <b val="true"/>
        <sz val="10"/>
        <color rgb="FF1F3864"/>
        <rFont val="Microsoft YaHei"/>
        <family val="0"/>
        <charset val="1"/>
      </rPr>
      <t xml:space="preserve">1</t>
    </r>
    <r>
      <rPr>
        <b val="true"/>
        <sz val="10"/>
        <color rgb="FF1F3864"/>
        <rFont val="Arial Unicode MS"/>
        <family val="2"/>
      </rPr>
      <t xml:space="preserve">轮迭代 </t>
    </r>
    <r>
      <rPr>
        <b val="true"/>
        <sz val="10"/>
        <color rgb="FF1F3864"/>
        <rFont val="Microsoft YaHei"/>
        <family val="0"/>
        <charset val="1"/>
      </rPr>
      <t xml:space="preserve">(iter1)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</si>
  <si>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采用利息支出 </t>
    </r>
    <r>
      <rPr>
        <sz val="10"/>
        <color rgb="FF000000"/>
        <rFont val="Microsoft YaHei"/>
        <family val="0"/>
        <charset val="1"/>
      </rPr>
      <t xml:space="preserve">(=</t>
    </r>
    <r>
      <rPr>
        <sz val="10"/>
        <color rgb="FF000000"/>
        <rFont val="Arial Unicode MS"/>
        <family val="2"/>
      </rPr>
      <t xml:space="preserve">期初债务</t>
    </r>
    <r>
      <rPr>
        <sz val="10"/>
        <color rgb="FF000000"/>
        <rFont val="Microsoft YaHei"/>
        <family val="0"/>
        <charset val="1"/>
      </rPr>
      <t xml:space="preserve">×</t>
    </r>
    <r>
      <rPr>
        <sz val="10"/>
        <color rgb="FF000000"/>
        <rFont val="Arial Unicode MS"/>
        <family val="2"/>
      </rPr>
      <t xml:space="preserve">利率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</si>
  <si>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采用利息收入 </t>
    </r>
    <r>
      <rPr>
        <sz val="10"/>
        <color rgb="FF000000"/>
        <rFont val="Microsoft YaHei"/>
        <family val="0"/>
        <charset val="1"/>
      </rPr>
      <t xml:space="preserve">(=</t>
    </r>
    <r>
      <rPr>
        <sz val="10"/>
        <color rgb="FF000000"/>
        <rFont val="Arial Unicode MS"/>
        <family val="2"/>
      </rPr>
      <t xml:space="preserve">期初现金</t>
    </r>
    <r>
      <rPr>
        <sz val="10"/>
        <color rgb="FF000000"/>
        <rFont val="Microsoft YaHei"/>
        <family val="0"/>
        <charset val="1"/>
      </rPr>
      <t xml:space="preserve">×</t>
    </r>
    <r>
      <rPr>
        <sz val="10"/>
        <color rgb="FF000000"/>
        <rFont val="Arial Unicode MS"/>
        <family val="2"/>
      </rPr>
      <t xml:space="preserve">收益率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</si>
  <si>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财务费用净额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采用口径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</si>
  <si>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归母净利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按采用利息重算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</si>
  <si>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经营</t>
    </r>
    <r>
      <rPr>
        <sz val="10"/>
        <color rgb="FF000000"/>
        <rFont val="Microsoft YaHei"/>
        <family val="0"/>
        <charset val="1"/>
      </rPr>
      <t xml:space="preserve">CF(</t>
    </r>
    <r>
      <rPr>
        <sz val="10"/>
        <color rgb="FF000000"/>
        <rFont val="Arial Unicode MS"/>
        <family val="2"/>
      </rPr>
      <t xml:space="preserve">按采用利息重算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</si>
  <si>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融资前现金结余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</si>
  <si>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新增借款</t>
    </r>
    <r>
      <rPr>
        <sz val="10"/>
        <color rgb="FF000000"/>
        <rFont val="Microsoft YaHei"/>
        <family val="0"/>
        <charset val="1"/>
      </rPr>
      <t xml:space="preserve">(revolver)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</si>
  <si>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可动用现金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</si>
  <si>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短期借款期末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</si>
  <si>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长期借款期末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</si>
  <si>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利息支出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按期末余额重算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</si>
  <si>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期末现金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</si>
  <si>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利息收入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按期末现金重算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</si>
  <si>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财务费用净额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</si>
  <si>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iter1: </t>
    </r>
    <r>
      <rPr>
        <b val="true"/>
        <sz val="10"/>
        <color rgb="FF000000"/>
        <rFont val="Arial Unicode MS"/>
        <family val="2"/>
      </rPr>
      <t xml:space="preserve">残差 </t>
    </r>
    <r>
      <rPr>
        <b val="true"/>
        <sz val="10"/>
        <color rgb="FF000000"/>
        <rFont val="Microsoft YaHei"/>
        <family val="0"/>
        <charset val="1"/>
      </rPr>
      <t xml:space="preserve">|Δ</t>
    </r>
    <r>
      <rPr>
        <b val="true"/>
        <sz val="10"/>
        <color rgb="FF000000"/>
        <rFont val="Arial Unicode MS"/>
        <family val="2"/>
      </rPr>
      <t xml:space="preserve">利息支出</t>
    </r>
    <r>
      <rPr>
        <b val="true"/>
        <sz val="10"/>
        <color rgb="FF000000"/>
        <rFont val="Microsoft YaHei"/>
        <family val="0"/>
        <charset val="1"/>
      </rPr>
      <t xml:space="preserve">|+|Δ</t>
    </r>
    <r>
      <rPr>
        <b val="true"/>
        <sz val="10"/>
        <color rgb="FF000000"/>
        <rFont val="Arial Unicode MS"/>
        <family val="2"/>
      </rPr>
      <t xml:space="preserve">利息收入</t>
    </r>
    <r>
      <rPr>
        <b val="true"/>
        <sz val="10"/>
        <color rgb="FF000000"/>
        <rFont val="Microsoft YaHei"/>
        <family val="0"/>
        <charset val="1"/>
      </rPr>
      <t xml:space="preserve">|</t>
    </r>
  </si>
  <si>
    <r>
      <rPr>
        <b val="true"/>
        <sz val="10"/>
        <color rgb="FF1F3864"/>
        <rFont val="Microsoft YaHei"/>
        <family val="0"/>
        <charset val="1"/>
      </rPr>
      <t xml:space="preserve">· </t>
    </r>
    <r>
      <rPr>
        <b val="true"/>
        <sz val="10"/>
        <color rgb="FF1F3864"/>
        <rFont val="Arial Unicode MS"/>
        <family val="2"/>
      </rPr>
      <t xml:space="preserve">第</t>
    </r>
    <r>
      <rPr>
        <b val="true"/>
        <sz val="10"/>
        <color rgb="FF1F3864"/>
        <rFont val="Microsoft YaHei"/>
        <family val="0"/>
        <charset val="1"/>
      </rPr>
      <t xml:space="preserve">2</t>
    </r>
    <r>
      <rPr>
        <b val="true"/>
        <sz val="10"/>
        <color rgb="FF1F3864"/>
        <rFont val="Arial Unicode MS"/>
        <family val="2"/>
      </rPr>
      <t xml:space="preserve">轮迭代 </t>
    </r>
    <r>
      <rPr>
        <b val="true"/>
        <sz val="10"/>
        <color rgb="FF1F3864"/>
        <rFont val="Microsoft YaHei"/>
        <family val="0"/>
        <charset val="1"/>
      </rPr>
      <t xml:space="preserve">(iter2)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</si>
  <si>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采用利息支出 </t>
    </r>
    <r>
      <rPr>
        <sz val="10"/>
        <color rgb="FF000000"/>
        <rFont val="Microsoft YaHei"/>
        <family val="0"/>
        <charset val="1"/>
      </rPr>
      <t xml:space="preserve">(=</t>
    </r>
    <r>
      <rPr>
        <sz val="10"/>
        <color rgb="FF000000"/>
        <rFont val="Arial Unicode MS"/>
        <family val="2"/>
      </rPr>
      <t xml:space="preserve">上轮重算值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</si>
  <si>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采用利息收入 </t>
    </r>
    <r>
      <rPr>
        <sz val="10"/>
        <color rgb="FF000000"/>
        <rFont val="Microsoft YaHei"/>
        <family val="0"/>
        <charset val="1"/>
      </rPr>
      <t xml:space="preserve">(=</t>
    </r>
    <r>
      <rPr>
        <sz val="10"/>
        <color rgb="FF000000"/>
        <rFont val="Arial Unicode MS"/>
        <family val="2"/>
      </rPr>
      <t xml:space="preserve">上轮重算值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</si>
  <si>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财务费用净额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采用口径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</si>
  <si>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归母净利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按采用利息重算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</si>
  <si>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经营</t>
    </r>
    <r>
      <rPr>
        <sz val="10"/>
        <color rgb="FF000000"/>
        <rFont val="Microsoft YaHei"/>
        <family val="0"/>
        <charset val="1"/>
      </rPr>
      <t xml:space="preserve">CF(</t>
    </r>
    <r>
      <rPr>
        <sz val="10"/>
        <color rgb="FF000000"/>
        <rFont val="Arial Unicode MS"/>
        <family val="2"/>
      </rPr>
      <t xml:space="preserve">按采用利息重算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</si>
  <si>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融资前现金结余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</si>
  <si>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新增借款</t>
    </r>
    <r>
      <rPr>
        <sz val="10"/>
        <color rgb="FF000000"/>
        <rFont val="Microsoft YaHei"/>
        <family val="0"/>
        <charset val="1"/>
      </rPr>
      <t xml:space="preserve">(revolver)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</si>
  <si>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可动用现金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</si>
  <si>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短期借款期末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</si>
  <si>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长期借款期末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</si>
  <si>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利息支出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按期末余额重算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</si>
  <si>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期末现金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</si>
  <si>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利息收入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按期末现金重算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</si>
  <si>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财务费用净额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</si>
  <si>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iter2: </t>
    </r>
    <r>
      <rPr>
        <b val="true"/>
        <sz val="10"/>
        <color rgb="FF000000"/>
        <rFont val="Arial Unicode MS"/>
        <family val="2"/>
      </rPr>
      <t xml:space="preserve">残差 </t>
    </r>
    <r>
      <rPr>
        <b val="true"/>
        <sz val="10"/>
        <color rgb="FF000000"/>
        <rFont val="Microsoft YaHei"/>
        <family val="0"/>
        <charset val="1"/>
      </rPr>
      <t xml:space="preserve">|Δ</t>
    </r>
    <r>
      <rPr>
        <b val="true"/>
        <sz val="10"/>
        <color rgb="FF000000"/>
        <rFont val="Arial Unicode MS"/>
        <family val="2"/>
      </rPr>
      <t xml:space="preserve">利息支出</t>
    </r>
    <r>
      <rPr>
        <b val="true"/>
        <sz val="10"/>
        <color rgb="FF000000"/>
        <rFont val="Microsoft YaHei"/>
        <family val="0"/>
        <charset val="1"/>
      </rPr>
      <t xml:space="preserve">|+|Δ</t>
    </r>
    <r>
      <rPr>
        <b val="true"/>
        <sz val="10"/>
        <color rgb="FF000000"/>
        <rFont val="Arial Unicode MS"/>
        <family val="2"/>
      </rPr>
      <t xml:space="preserve">利息收入</t>
    </r>
    <r>
      <rPr>
        <b val="true"/>
        <sz val="10"/>
        <color rgb="FF000000"/>
        <rFont val="Microsoft YaHei"/>
        <family val="0"/>
        <charset val="1"/>
      </rPr>
      <t xml:space="preserve">|</t>
    </r>
  </si>
  <si>
    <r>
      <rPr>
        <b val="true"/>
        <sz val="10"/>
        <color rgb="FF1F3864"/>
        <rFont val="Microsoft YaHei"/>
        <family val="0"/>
        <charset val="1"/>
      </rPr>
      <t xml:space="preserve">· </t>
    </r>
    <r>
      <rPr>
        <b val="true"/>
        <sz val="10"/>
        <color rgb="FF1F3864"/>
        <rFont val="Arial Unicode MS"/>
        <family val="2"/>
      </rPr>
      <t xml:space="preserve">第</t>
    </r>
    <r>
      <rPr>
        <b val="true"/>
        <sz val="10"/>
        <color rgb="FF1F3864"/>
        <rFont val="Microsoft YaHei"/>
        <family val="0"/>
        <charset val="1"/>
      </rPr>
      <t xml:space="preserve">3</t>
    </r>
    <r>
      <rPr>
        <b val="true"/>
        <sz val="10"/>
        <color rgb="FF1F3864"/>
        <rFont val="Arial Unicode MS"/>
        <family val="2"/>
      </rPr>
      <t xml:space="preserve">轮迭代 </t>
    </r>
    <r>
      <rPr>
        <b val="true"/>
        <sz val="10"/>
        <color rgb="FF1F3864"/>
        <rFont val="Microsoft YaHei"/>
        <family val="0"/>
        <charset val="1"/>
      </rPr>
      <t xml:space="preserve">(iter3)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</si>
  <si>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采用利息支出 </t>
    </r>
    <r>
      <rPr>
        <sz val="10"/>
        <color rgb="FF000000"/>
        <rFont val="Microsoft YaHei"/>
        <family val="0"/>
        <charset val="1"/>
      </rPr>
      <t xml:space="preserve">(=</t>
    </r>
    <r>
      <rPr>
        <sz val="10"/>
        <color rgb="FF000000"/>
        <rFont val="Arial Unicode MS"/>
        <family val="2"/>
      </rPr>
      <t xml:space="preserve">上轮重算值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</si>
  <si>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采用利息收入 </t>
    </r>
    <r>
      <rPr>
        <sz val="10"/>
        <color rgb="FF000000"/>
        <rFont val="Microsoft YaHei"/>
        <family val="0"/>
        <charset val="1"/>
      </rPr>
      <t xml:space="preserve">(=</t>
    </r>
    <r>
      <rPr>
        <sz val="10"/>
        <color rgb="FF000000"/>
        <rFont val="Arial Unicode MS"/>
        <family val="2"/>
      </rPr>
      <t xml:space="preserve">上轮重算值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</si>
  <si>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财务费用净额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采用口径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</si>
  <si>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归母净利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按采用利息重算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</si>
  <si>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经营</t>
    </r>
    <r>
      <rPr>
        <sz val="10"/>
        <color rgb="FF000000"/>
        <rFont val="Microsoft YaHei"/>
        <family val="0"/>
        <charset val="1"/>
      </rPr>
      <t xml:space="preserve">CF(</t>
    </r>
    <r>
      <rPr>
        <sz val="10"/>
        <color rgb="FF000000"/>
        <rFont val="Arial Unicode MS"/>
        <family val="2"/>
      </rPr>
      <t xml:space="preserve">按采用利息重算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</si>
  <si>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融资前现金结余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</si>
  <si>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新增借款</t>
    </r>
    <r>
      <rPr>
        <sz val="10"/>
        <color rgb="FF000000"/>
        <rFont val="Microsoft YaHei"/>
        <family val="0"/>
        <charset val="1"/>
      </rPr>
      <t xml:space="preserve">(revolver)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</si>
  <si>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可动用现金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</si>
  <si>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短期借款期末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</si>
  <si>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长期借款期末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</si>
  <si>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利息支出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按期末余额重算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</si>
  <si>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期末现金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</si>
  <si>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利息收入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按期末现金重算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</si>
  <si>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财务费用净额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</si>
  <si>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iter3: </t>
    </r>
    <r>
      <rPr>
        <b val="true"/>
        <sz val="10"/>
        <color rgb="FF000000"/>
        <rFont val="Arial Unicode MS"/>
        <family val="2"/>
      </rPr>
      <t xml:space="preserve">残差 </t>
    </r>
    <r>
      <rPr>
        <b val="true"/>
        <sz val="10"/>
        <color rgb="FF000000"/>
        <rFont val="Microsoft YaHei"/>
        <family val="0"/>
        <charset val="1"/>
      </rPr>
      <t xml:space="preserve">|Δ</t>
    </r>
    <r>
      <rPr>
        <b val="true"/>
        <sz val="10"/>
        <color rgb="FF000000"/>
        <rFont val="Arial Unicode MS"/>
        <family val="2"/>
      </rPr>
      <t xml:space="preserve">利息支出</t>
    </r>
    <r>
      <rPr>
        <b val="true"/>
        <sz val="10"/>
        <color rgb="FF000000"/>
        <rFont val="Microsoft YaHei"/>
        <family val="0"/>
        <charset val="1"/>
      </rPr>
      <t xml:space="preserve">|+|Δ</t>
    </r>
    <r>
      <rPr>
        <b val="true"/>
        <sz val="10"/>
        <color rgb="FF000000"/>
        <rFont val="Arial Unicode MS"/>
        <family val="2"/>
      </rPr>
      <t xml:space="preserve">利息收入</t>
    </r>
    <r>
      <rPr>
        <b val="true"/>
        <sz val="10"/>
        <color rgb="FF000000"/>
        <rFont val="Microsoft YaHei"/>
        <family val="0"/>
        <charset val="1"/>
      </rPr>
      <t xml:space="preserve">|</t>
    </r>
  </si>
  <si>
    <r>
      <rPr>
        <b val="true"/>
        <sz val="10"/>
        <color rgb="FF1F3864"/>
        <rFont val="Microsoft YaHei"/>
        <family val="0"/>
        <charset val="1"/>
      </rPr>
      <t xml:space="preserve">· </t>
    </r>
    <r>
      <rPr>
        <b val="true"/>
        <sz val="10"/>
        <color rgb="FF1F3864"/>
        <rFont val="Arial Unicode MS"/>
        <family val="2"/>
      </rPr>
      <t xml:space="preserve">第</t>
    </r>
    <r>
      <rPr>
        <b val="true"/>
        <sz val="10"/>
        <color rgb="FF1F3864"/>
        <rFont val="Microsoft YaHei"/>
        <family val="0"/>
        <charset val="1"/>
      </rPr>
      <t xml:space="preserve">4</t>
    </r>
    <r>
      <rPr>
        <b val="true"/>
        <sz val="10"/>
        <color rgb="FF1F3864"/>
        <rFont val="Arial Unicode MS"/>
        <family val="2"/>
      </rPr>
      <t xml:space="preserve">轮迭代 </t>
    </r>
    <r>
      <rPr>
        <b val="true"/>
        <sz val="10"/>
        <color rgb="FF1F3864"/>
        <rFont val="Microsoft YaHei"/>
        <family val="0"/>
        <charset val="1"/>
      </rPr>
      <t xml:space="preserve">(iter4)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</si>
  <si>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采用利息支出 </t>
    </r>
    <r>
      <rPr>
        <sz val="10"/>
        <color rgb="FF000000"/>
        <rFont val="Microsoft YaHei"/>
        <family val="0"/>
        <charset val="1"/>
      </rPr>
      <t xml:space="preserve">(=</t>
    </r>
    <r>
      <rPr>
        <sz val="10"/>
        <color rgb="FF000000"/>
        <rFont val="Arial Unicode MS"/>
        <family val="2"/>
      </rPr>
      <t xml:space="preserve">上轮重算值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</si>
  <si>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采用利息收入 </t>
    </r>
    <r>
      <rPr>
        <sz val="10"/>
        <color rgb="FF000000"/>
        <rFont val="Microsoft YaHei"/>
        <family val="0"/>
        <charset val="1"/>
      </rPr>
      <t xml:space="preserve">(=</t>
    </r>
    <r>
      <rPr>
        <sz val="10"/>
        <color rgb="FF000000"/>
        <rFont val="Arial Unicode MS"/>
        <family val="2"/>
      </rPr>
      <t xml:space="preserve">上轮重算值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</si>
  <si>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财务费用净额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采用口径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</si>
  <si>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归母净利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按采用利息重算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</si>
  <si>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经营</t>
    </r>
    <r>
      <rPr>
        <sz val="10"/>
        <color rgb="FF000000"/>
        <rFont val="Microsoft YaHei"/>
        <family val="0"/>
        <charset val="1"/>
      </rPr>
      <t xml:space="preserve">CF(</t>
    </r>
    <r>
      <rPr>
        <sz val="10"/>
        <color rgb="FF000000"/>
        <rFont val="Arial Unicode MS"/>
        <family val="2"/>
      </rPr>
      <t xml:space="preserve">按采用利息重算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</si>
  <si>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融资前现金结余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</si>
  <si>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新增借款</t>
    </r>
    <r>
      <rPr>
        <sz val="10"/>
        <color rgb="FF000000"/>
        <rFont val="Microsoft YaHei"/>
        <family val="0"/>
        <charset val="1"/>
      </rPr>
      <t xml:space="preserve">(revolver)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</si>
  <si>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可动用现金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</si>
  <si>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短期借款期末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</si>
  <si>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长期借款期末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</si>
  <si>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利息支出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按期末余额重算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</si>
  <si>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期末现金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</si>
  <si>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利息收入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按期末现金重算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</si>
  <si>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财务费用净额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</si>
  <si>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iter4: </t>
    </r>
    <r>
      <rPr>
        <b val="true"/>
        <sz val="10"/>
        <color rgb="FF000000"/>
        <rFont val="Arial Unicode MS"/>
        <family val="2"/>
      </rPr>
      <t xml:space="preserve">残差 </t>
    </r>
    <r>
      <rPr>
        <b val="true"/>
        <sz val="10"/>
        <color rgb="FF000000"/>
        <rFont val="Microsoft YaHei"/>
        <family val="0"/>
        <charset val="1"/>
      </rPr>
      <t xml:space="preserve">|Δ</t>
    </r>
    <r>
      <rPr>
        <b val="true"/>
        <sz val="10"/>
        <color rgb="FF000000"/>
        <rFont val="Arial Unicode MS"/>
        <family val="2"/>
      </rPr>
      <t xml:space="preserve">利息支出</t>
    </r>
    <r>
      <rPr>
        <b val="true"/>
        <sz val="10"/>
        <color rgb="FF000000"/>
        <rFont val="Microsoft YaHei"/>
        <family val="0"/>
        <charset val="1"/>
      </rPr>
      <t xml:space="preserve">|+|Δ</t>
    </r>
    <r>
      <rPr>
        <b val="true"/>
        <sz val="10"/>
        <color rgb="FF000000"/>
        <rFont val="Arial Unicode MS"/>
        <family val="2"/>
      </rPr>
      <t xml:space="preserve">利息收入</t>
    </r>
    <r>
      <rPr>
        <b val="true"/>
        <sz val="10"/>
        <color rgb="FF000000"/>
        <rFont val="Microsoft YaHei"/>
        <family val="0"/>
        <charset val="1"/>
      </rPr>
      <t xml:space="preserve">|</t>
    </r>
  </si>
  <si>
    <r>
      <rPr>
        <b val="true"/>
        <sz val="10"/>
        <color rgb="FF1F3864"/>
        <rFont val="Arial Unicode MS"/>
        <family val="2"/>
      </rPr>
      <t xml:space="preserve">五、收敛残差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第</t>
    </r>
    <r>
      <rPr>
        <b val="true"/>
        <sz val="10"/>
        <color rgb="FF1F3864"/>
        <rFont val="Microsoft YaHei"/>
        <family val="0"/>
        <charset val="1"/>
      </rPr>
      <t xml:space="preserve">4</t>
    </r>
    <r>
      <rPr>
        <b val="true"/>
        <sz val="10"/>
        <color rgb="FF1F3864"/>
        <rFont val="Arial Unicode MS"/>
        <family val="2"/>
      </rPr>
      <t xml:space="preserve">轮采用值 </t>
    </r>
    <r>
      <rPr>
        <b val="true"/>
        <sz val="10"/>
        <color rgb="FF1F3864"/>
        <rFont val="Microsoft YaHei"/>
        <family val="0"/>
        <charset val="1"/>
      </rPr>
      <t xml:space="preserve">vs </t>
    </r>
    <r>
      <rPr>
        <b val="true"/>
        <sz val="10"/>
        <color rgb="FF1F3864"/>
        <rFont val="Arial Unicode MS"/>
        <family val="2"/>
      </rPr>
      <t xml:space="preserve">按期末余额重算隐含值</t>
    </r>
    <r>
      <rPr>
        <b val="true"/>
        <sz val="10"/>
        <color rgb="FF1F3864"/>
        <rFont val="Microsoft YaHei"/>
        <family val="0"/>
        <charset val="1"/>
      </rPr>
      <t xml:space="preserve">, &lt;0.01</t>
    </r>
    <r>
      <rPr>
        <b val="true"/>
        <sz val="10"/>
        <color rgb="FF1F3864"/>
        <rFont val="Arial Unicode MS"/>
        <family val="2"/>
      </rPr>
      <t xml:space="preserve">即收敛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</si>
  <si>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残差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利息支出 </t>
    </r>
    <r>
      <rPr>
        <sz val="10"/>
        <color rgb="FF000000"/>
        <rFont val="Microsoft YaHei"/>
        <family val="0"/>
        <charset val="1"/>
      </rPr>
      <t xml:space="preserve">|</t>
    </r>
    <r>
      <rPr>
        <sz val="10"/>
        <color rgb="FF000000"/>
        <rFont val="Arial Unicode MS"/>
        <family val="2"/>
      </rPr>
      <t xml:space="preserve">采用值</t>
    </r>
    <r>
      <rPr>
        <sz val="10"/>
        <color rgb="FF000000"/>
        <rFont val="Microsoft YaHei"/>
        <family val="0"/>
        <charset val="1"/>
      </rPr>
      <t xml:space="preserve">-</t>
    </r>
    <r>
      <rPr>
        <sz val="10"/>
        <color rgb="FF000000"/>
        <rFont val="Arial Unicode MS"/>
        <family val="2"/>
      </rPr>
      <t xml:space="preserve">隐含值</t>
    </r>
    <r>
      <rPr>
        <sz val="10"/>
        <color rgb="FF000000"/>
        <rFont val="Microsoft YaHei"/>
        <family val="0"/>
        <charset val="1"/>
      </rPr>
      <t xml:space="preserve">|</t>
    </r>
  </si>
  <si>
    <r>
      <rPr>
        <sz val="9"/>
        <color rgb="FF7F7F7F"/>
        <rFont val="Arial Unicode MS"/>
        <family val="2"/>
      </rPr>
      <t xml:space="preserve">隐含值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上方四档利息行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按期末余额重算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加总</t>
    </r>
  </si>
  <si>
    <r>
      <rPr>
        <sz val="10"/>
        <color rgb="FF000000"/>
        <rFont val="Arial Unicode MS"/>
        <family val="2"/>
      </rPr>
      <t xml:space="preserve">残差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利息收入 </t>
    </r>
    <r>
      <rPr>
        <sz val="10"/>
        <color rgb="FF000000"/>
        <rFont val="Microsoft YaHei"/>
        <family val="0"/>
        <charset val="1"/>
      </rPr>
      <t xml:space="preserve">|</t>
    </r>
    <r>
      <rPr>
        <sz val="10"/>
        <color rgb="FF000000"/>
        <rFont val="Arial Unicode MS"/>
        <family val="2"/>
      </rPr>
      <t xml:space="preserve">采用值</t>
    </r>
    <r>
      <rPr>
        <sz val="10"/>
        <color rgb="FF000000"/>
        <rFont val="Microsoft YaHei"/>
        <family val="0"/>
        <charset val="1"/>
      </rPr>
      <t xml:space="preserve">-</t>
    </r>
    <r>
      <rPr>
        <sz val="10"/>
        <color rgb="FF000000"/>
        <rFont val="Arial Unicode MS"/>
        <family val="2"/>
      </rPr>
      <t xml:space="preserve">隐含值</t>
    </r>
    <r>
      <rPr>
        <sz val="10"/>
        <color rgb="FF000000"/>
        <rFont val="Microsoft YaHei"/>
        <family val="0"/>
        <charset val="1"/>
      </rPr>
      <t xml:space="preserve">|</t>
    </r>
  </si>
  <si>
    <r>
      <rPr>
        <sz val="9"/>
        <color rgb="FF7F7F7F"/>
        <rFont val="Arial Unicode MS"/>
        <family val="2"/>
      </rPr>
      <t xml:space="preserve">隐含值</t>
    </r>
    <r>
      <rPr>
        <sz val="9"/>
        <color rgb="FF7F7F7F"/>
        <rFont val="Microsoft YaHei"/>
        <family val="0"/>
        <charset val="1"/>
      </rPr>
      <t xml:space="preserve">=(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期末货币资金</t>
    </r>
    <r>
      <rPr>
        <sz val="9"/>
        <color rgb="FF7F7F7F"/>
        <rFont val="Microsoft YaHei"/>
        <family val="0"/>
        <charset val="1"/>
      </rPr>
      <t xml:space="preserve">)/2×1.2%</t>
    </r>
  </si>
  <si>
    <r>
      <rPr>
        <b val="true"/>
        <sz val="10"/>
        <color rgb="FF000000"/>
        <rFont val="Arial Unicode MS"/>
        <family val="2"/>
      </rPr>
      <t xml:space="preserve">残差上限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应</t>
    </r>
    <r>
      <rPr>
        <b val="true"/>
        <sz val="10"/>
        <color rgb="FF000000"/>
        <rFont val="Microsoft YaHei"/>
        <family val="0"/>
        <charset val="1"/>
      </rPr>
      <t xml:space="preserve">&lt;0.01)</t>
    </r>
  </si>
  <si>
    <r>
      <rPr>
        <sz val="9"/>
        <color rgb="FF7F7F7F"/>
        <rFont val="Arial Unicode MS"/>
        <family val="2"/>
      </rPr>
      <t xml:space="preserve">两项取大</t>
    </r>
    <r>
      <rPr>
        <sz val="9"/>
        <color rgb="FF7F7F7F"/>
        <rFont val="Microsoft YaHei"/>
        <family val="0"/>
        <charset val="1"/>
      </rPr>
      <t xml:space="preserve">; Checks</t>
    </r>
    <r>
      <rPr>
        <sz val="9"/>
        <color rgb="FF7F7F7F"/>
        <rFont val="Arial Unicode MS"/>
        <family val="2"/>
      </rPr>
      <t xml:space="preserve">页第</t>
    </r>
    <r>
      <rPr>
        <sz val="9"/>
        <color rgb="FF7F7F7F"/>
        <rFont val="Microsoft YaHei"/>
        <family val="0"/>
        <charset val="1"/>
      </rPr>
      <t xml:space="preserve">11</t>
    </r>
    <r>
      <rPr>
        <sz val="9"/>
        <color rgb="FF7F7F7F"/>
        <rFont val="Arial Unicode MS"/>
        <family val="2"/>
      </rPr>
      <t xml:space="preserve">项汇总校验</t>
    </r>
  </si>
  <si>
    <r>
      <rPr>
        <b val="true"/>
        <sz val="10"/>
        <color rgb="FF000000"/>
        <rFont val="Arial Unicode MS"/>
        <family val="2"/>
      </rPr>
      <t xml:space="preserve">收敛判定 </t>
    </r>
    <r>
      <rPr>
        <b val="true"/>
        <sz val="10"/>
        <color rgb="FF000000"/>
        <rFont val="Microsoft YaHei"/>
        <family val="0"/>
        <charset val="1"/>
      </rPr>
      <t xml:space="preserve">(TRUE=</t>
    </r>
    <r>
      <rPr>
        <b val="true"/>
        <sz val="10"/>
        <color rgb="FF000000"/>
        <rFont val="Arial Unicode MS"/>
        <family val="2"/>
      </rPr>
      <t xml:space="preserve">收敛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</si>
  <si>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3"/>
        <color rgb="FFFFFFFF"/>
        <rFont val="Arial Unicode MS"/>
        <family val="2"/>
      </rPr>
      <t xml:space="preserve">中芯国际 — </t>
    </r>
    <r>
      <rPr>
        <b val="true"/>
        <sz val="13"/>
        <color rgb="FFFFFFFF"/>
        <rFont val="Microsoft YaHei"/>
        <family val="0"/>
        <charset val="1"/>
      </rPr>
      <t xml:space="preserve">Equity_Roll </t>
    </r>
    <r>
      <rPr>
        <b val="true"/>
        <sz val="13"/>
        <color rgb="FFFFFFFF"/>
        <rFont val="Arial Unicode MS"/>
        <family val="2"/>
      </rPr>
      <t xml:space="preserve">所有者权益滚动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</si>
  <si>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美元百万元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财报口径</t>
    </r>
    <r>
      <rPr>
        <sz val="9"/>
        <color rgb="FF7F7F7F"/>
        <rFont val="Microsoft YaHei"/>
        <family val="0"/>
        <charset val="1"/>
      </rPr>
      <t xml:space="preserve">) | </t>
    </r>
    <r>
      <rPr>
        <sz val="9"/>
        <color rgb="FF7F7F7F"/>
        <rFont val="Arial Unicode MS"/>
        <family val="2"/>
      </rPr>
      <t xml:space="preserve">股本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资本公积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库存股</t>
    </r>
    <r>
      <rPr>
        <sz val="9"/>
        <color rgb="FF7F7F7F"/>
        <rFont val="Microsoft YaHei"/>
        <family val="0"/>
        <charset val="1"/>
      </rPr>
      <t xml:space="preserve">/OCI</t>
    </r>
    <r>
      <rPr>
        <sz val="9"/>
        <color rgb="FF7F7F7F"/>
        <rFont val="Arial Unicode MS"/>
        <family val="2"/>
      </rPr>
      <t xml:space="preserve">持平滚动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盈余公积按归母计提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未分配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归母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分红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盈余公积计提</t>
    </r>
  </si>
  <si>
    <r>
      <rPr>
        <sz val="9"/>
        <color rgb="FF7F7F7F"/>
        <rFont val="Arial Unicode MS"/>
        <family val="2"/>
      </rPr>
      <t xml:space="preserve">预测持平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不考虑增发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</si>
  <si>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库存股</t>
    </r>
  </si>
  <si>
    <r>
      <rPr>
        <sz val="9"/>
        <color rgb="FF7F7F7F"/>
        <rFont val="Arial Unicode MS"/>
        <family val="2"/>
      </rPr>
      <t xml:space="preserve">预测持平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汇率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公允变动不预测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</si>
  <si>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盈余公积计提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流量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</si>
  <si>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＝当年归母</t>
    </r>
    <r>
      <rPr>
        <sz val="9"/>
        <color rgb="FF7F7F7F"/>
        <rFont val="Microsoft YaHei"/>
        <family val="0"/>
        <charset val="1"/>
      </rPr>
      <t xml:space="preserve">×0% (Assumptions)</t>
    </r>
  </si>
  <si>
    <r>
      <rPr>
        <sz val="10"/>
        <color rgb="FF000000"/>
        <rFont val="Arial Unicode MS"/>
        <family val="2"/>
      </rPr>
      <t xml:space="preserve">盈余公积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期末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</si>
  <si>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计提</t>
    </r>
  </si>
  <si>
    <r>
      <rPr>
        <sz val="10"/>
        <color rgb="FF000000"/>
        <rFont val="Arial Unicode MS"/>
        <family val="2"/>
      </rPr>
      <t xml:space="preserve">现金分红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流量</t>
    </r>
    <r>
      <rPr>
        <sz val="10"/>
        <color rgb="FF000000"/>
        <rFont val="Microsoft YaHei"/>
        <family val="0"/>
        <charset val="1"/>
      </rPr>
      <t xml:space="preserve">, </t>
    </r>
    <r>
      <rPr>
        <sz val="10"/>
        <color rgb="FF000000"/>
        <rFont val="Arial Unicode MS"/>
        <family val="2"/>
      </rPr>
      <t xml:space="preserve">引用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</si>
  <si>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Schedules</t>
    </r>
  </si>
  <si>
    <r>
      <rPr>
        <sz val="10"/>
        <color rgb="FF000000"/>
        <rFont val="Arial Unicode MS"/>
        <family val="2"/>
      </rPr>
      <t xml:space="preserve">未分配利润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期末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</si>
  <si>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归母净利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分红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盈余公积计提</t>
    </r>
  </si>
  <si>
    <r>
      <rPr>
        <sz val="10"/>
        <color rgb="FF000000"/>
        <rFont val="Arial Unicode MS"/>
        <family val="2"/>
      </rPr>
      <t xml:space="preserve">其他权益项目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轧差</t>
    </r>
    <r>
      <rPr>
        <sz val="10"/>
        <color rgb="FF000000"/>
        <rFont val="Microsoft YaHei"/>
        <family val="0"/>
        <charset val="1"/>
      </rPr>
      <t xml:space="preserve">, </t>
    </r>
    <r>
      <rPr>
        <sz val="10"/>
        <color rgb="FF000000"/>
        <rFont val="Arial Unicode MS"/>
        <family val="2"/>
      </rPr>
      <t xml:space="preserve">引用</t>
    </r>
    <r>
      <rPr>
        <sz val="10"/>
        <color rgb="FF000000"/>
        <rFont val="Microsoft YaHei"/>
        <family val="0"/>
        <charset val="1"/>
      </rPr>
      <t xml:space="preserve">BS)</t>
    </r>
  </si>
  <si>
    <r>
      <rPr>
        <sz val="9"/>
        <color rgb="FF7F7F7F"/>
        <rFont val="Arial Unicode MS"/>
        <family val="2"/>
      </rPr>
      <t xml:space="preserve">含专项储备及换算尾差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持平</t>
    </r>
  </si>
  <si>
    <t xml:space="preserve">稀释股数</t>
  </si>
  <si>
    <r>
      <rPr>
        <sz val="10"/>
        <color rgb="FF000000"/>
        <rFont val="Arial Unicode MS"/>
        <family val="2"/>
      </rPr>
      <t xml:space="preserve">基本股数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总股本</t>
    </r>
    <r>
      <rPr>
        <sz val="10"/>
        <color rgb="FF000000"/>
        <rFont val="Microsoft YaHei"/>
        <family val="0"/>
        <charset val="1"/>
      </rPr>
      <t xml:space="preserve">, </t>
    </r>
    <r>
      <rPr>
        <sz val="10"/>
        <color rgb="FF000000"/>
        <rFont val="Arial Unicode MS"/>
        <family val="2"/>
      </rPr>
      <t xml:space="preserve">百万股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</si>
  <si>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Assumptions</t>
    </r>
    <r>
      <rPr>
        <sz val="9"/>
        <color rgb="FF7F7F7F"/>
        <rFont val="Arial Unicode MS"/>
        <family val="2"/>
      </rPr>
      <t xml:space="preserve">总股本</t>
    </r>
    <r>
      <rPr>
        <sz val="9"/>
        <color rgb="FF7F7F7F"/>
        <rFont val="Microsoft YaHei"/>
        <family val="0"/>
        <charset val="1"/>
      </rPr>
      <t xml:space="preserve">85.61</t>
    </r>
    <r>
      <rPr>
        <sz val="9"/>
        <color rgb="FF7F7F7F"/>
        <rFont val="Arial Unicode MS"/>
        <family val="2"/>
      </rPr>
      <t xml:space="preserve">亿股</t>
    </r>
  </si>
  <si>
    <r>
      <rPr>
        <sz val="10"/>
        <color rgb="FF000000"/>
        <rFont val="Arial Unicode MS"/>
        <family val="2"/>
      </rPr>
      <t xml:space="preserve">稀释工具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可转债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期权等</t>
    </r>
    <r>
      <rPr>
        <sz val="10"/>
        <color rgb="FF000000"/>
        <rFont val="Microsoft YaHei"/>
        <family val="0"/>
        <charset val="1"/>
      </rPr>
      <t xml:space="preserve">, </t>
    </r>
    <r>
      <rPr>
        <sz val="10"/>
        <color rgb="FF000000"/>
        <rFont val="Arial Unicode MS"/>
        <family val="2"/>
      </rPr>
      <t xml:space="preserve">百万股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</si>
  <si>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占位输入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如有流通可转债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期权等稀释工具在此输入</t>
    </r>
  </si>
  <si>
    <r>
      <rPr>
        <b val="true"/>
        <sz val="10"/>
        <color rgb="FF000000"/>
        <rFont val="Arial Unicode MS"/>
        <family val="2"/>
      </rPr>
      <t xml:space="preserve">稀释后股数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百万股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</si>
  <si>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DCF/</t>
    </r>
    <r>
      <rPr>
        <sz val="9"/>
        <color rgb="FF7F7F7F"/>
        <rFont val="Arial Unicode MS"/>
        <family val="2"/>
      </rPr>
      <t xml:space="preserve">相对估值</t>
    </r>
    <r>
      <rPr>
        <sz val="9"/>
        <color rgb="FF7F7F7F"/>
        <rFont val="Microsoft YaHei"/>
        <family val="0"/>
        <charset val="1"/>
      </rPr>
      <t xml:space="preserve">/Scenarios</t>
    </r>
    <r>
      <rPr>
        <sz val="9"/>
        <color rgb="FF7F7F7F"/>
        <rFont val="Arial Unicode MS"/>
        <family val="2"/>
      </rPr>
      <t xml:space="preserve">每股口径统一引用本行</t>
    </r>
  </si>
  <si>
    <r>
      <rPr>
        <b val="true"/>
        <sz val="13"/>
        <color rgb="FFFFFFFF"/>
        <rFont val="Arial Unicode MS"/>
        <family val="2"/>
      </rPr>
      <t xml:space="preserve">中芯国际 — </t>
    </r>
    <r>
      <rPr>
        <b val="true"/>
        <sz val="13"/>
        <color rgb="FFFFFFFF"/>
        <rFont val="Microsoft YaHei"/>
        <family val="0"/>
        <charset val="1"/>
      </rPr>
      <t xml:space="preserve">DCF </t>
    </r>
    <r>
      <rPr>
        <b val="true"/>
        <sz val="13"/>
        <color rgb="FFFFFFFF"/>
        <rFont val="Arial Unicode MS"/>
        <family val="2"/>
      </rPr>
      <t xml:space="preserve">绝对估值 </t>
    </r>
    <r>
      <rPr>
        <b val="true"/>
        <sz val="13"/>
        <color rgb="FFFFFFFF"/>
        <rFont val="Microsoft YaHei"/>
        <family val="0"/>
        <charset val="1"/>
      </rPr>
      <t xml:space="preserve">(FCFF, </t>
    </r>
    <r>
      <rPr>
        <b val="true"/>
        <sz val="13"/>
        <color rgb="FFFFFFFF"/>
        <rFont val="Arial Unicode MS"/>
        <family val="2"/>
      </rPr>
      <t xml:space="preserve">显性期</t>
    </r>
    <r>
      <rPr>
        <b val="true"/>
        <sz val="13"/>
        <color rgb="FFFFFFFF"/>
        <rFont val="Microsoft YaHei"/>
        <family val="0"/>
        <charset val="1"/>
      </rPr>
      <t xml:space="preserve">2026-2030 + Gordon</t>
    </r>
    <r>
      <rPr>
        <b val="true"/>
        <sz val="13"/>
        <color rgb="FFFFFFFF"/>
        <rFont val="Arial Unicode MS"/>
        <family val="2"/>
      </rPr>
      <t xml:space="preserve">终值</t>
    </r>
    <r>
      <rPr>
        <b val="true"/>
        <sz val="13"/>
        <color rgb="FFFFFFFF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</si>
  <si>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美元百万元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财报口径</t>
    </r>
    <r>
      <rPr>
        <sz val="9"/>
        <color rgb="FF7F7F7F"/>
        <rFont val="Microsoft YaHei"/>
        <family val="0"/>
        <charset val="1"/>
      </rPr>
      <t xml:space="preserve">) | </t>
    </r>
    <r>
      <rPr>
        <sz val="9"/>
        <color rgb="FF7F7F7F"/>
        <rFont val="Arial Unicode MS"/>
        <family val="2"/>
      </rPr>
      <t xml:space="preserve">估值基准日</t>
    </r>
    <r>
      <rPr>
        <sz val="9"/>
        <color rgb="FF7F7F7F"/>
        <rFont val="Microsoft YaHei"/>
        <family val="0"/>
        <charset val="1"/>
      </rPr>
      <t xml:space="preserve">2026-08-17, </t>
    </r>
    <r>
      <rPr>
        <sz val="9"/>
        <color rgb="FF7F7F7F"/>
        <rFont val="Arial Unicode MS"/>
        <family val="2"/>
      </rPr>
      <t xml:space="preserve">采用年中折现</t>
    </r>
    <r>
      <rPr>
        <sz val="9"/>
        <color rgb="FF7F7F7F"/>
        <rFont val="Microsoft YaHei"/>
        <family val="0"/>
        <charset val="1"/>
      </rPr>
      <t xml:space="preserve">(mid-year convention: t=0.5/1.5/.../4.5); WACC/g</t>
    </r>
    <r>
      <rPr>
        <sz val="9"/>
        <color rgb="FF7F7F7F"/>
        <rFont val="Arial Unicode MS"/>
        <family val="2"/>
      </rPr>
      <t xml:space="preserve">引用</t>
    </r>
    <r>
      <rPr>
        <sz val="9"/>
        <color rgb="FF7F7F7F"/>
        <rFont val="Microsoft YaHei"/>
        <family val="0"/>
        <charset val="1"/>
      </rPr>
      <t xml:space="preserve">Assumptions(</t>
    </r>
    <r>
      <rPr>
        <sz val="9"/>
        <color rgb="FF7F7F7F"/>
        <rFont val="Arial Unicode MS"/>
        <family val="2"/>
      </rPr>
      <t xml:space="preserve">采用值</t>
    </r>
    <r>
      <rPr>
        <sz val="9"/>
        <color rgb="FF7F7F7F"/>
        <rFont val="Microsoft YaHei"/>
        <family val="0"/>
        <charset val="1"/>
      </rPr>
      <t xml:space="preserve">=IF(override</t>
    </r>
    <r>
      <rPr>
        <sz val="9"/>
        <color rgb="FF7F7F7F"/>
        <rFont val="Arial Unicode MS"/>
        <family val="2"/>
      </rPr>
      <t xml:space="preserve">为空</t>
    </r>
    <r>
      <rPr>
        <sz val="9"/>
        <color rgb="FF7F7F7F"/>
        <rFont val="Microsoft YaHei"/>
        <family val="0"/>
        <charset val="1"/>
      </rPr>
      <t xml:space="preserve">,</t>
    </r>
    <r>
      <rPr>
        <sz val="9"/>
        <color rgb="FF7F7F7F"/>
        <rFont val="Arial Unicode MS"/>
        <family val="2"/>
      </rPr>
      <t xml:space="preserve">计算值</t>
    </r>
    <r>
      <rPr>
        <sz val="9"/>
        <color rgb="FF7F7F7F"/>
        <rFont val="Microsoft YaHei"/>
        <family val="0"/>
        <charset val="1"/>
      </rPr>
      <t xml:space="preserve">,override))</t>
    </r>
  </si>
  <si>
    <t xml:space="preserve">EBIT</t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</si>
  <si>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IS: </t>
    </r>
    <r>
      <rPr>
        <sz val="9"/>
        <color rgb="FF7F7F7F"/>
        <rFont val="Arial Unicode MS"/>
        <family val="2"/>
      </rPr>
      <t xml:space="preserve">利润总额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财务费用</t>
    </r>
  </si>
  <si>
    <t xml:space="preserve">税率</t>
  </si>
  <si>
    <t xml:space="preserve">NOPAT = EBIT×(1-t)</t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</si>
  <si>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D&amp;A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</si>
  <si>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ΔNWC</t>
    </r>
  </si>
  <si>
    <r>
      <rPr>
        <sz val="9"/>
        <color rgb="FF7F7F7F"/>
        <rFont val="Microsoft YaHei"/>
        <family val="0"/>
        <charset val="1"/>
      </rPr>
      <t xml:space="preserve">NWC</t>
    </r>
    <r>
      <rPr>
        <sz val="9"/>
        <color rgb="FF7F7F7F"/>
        <rFont val="Arial Unicode MS"/>
        <family val="2"/>
      </rPr>
      <t xml:space="preserve">增加为现金流出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</si>
  <si>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Capex</t>
    </r>
  </si>
  <si>
    <t xml:space="preserve">FCFF</t>
  </si>
  <si>
    <r>
      <rPr>
        <sz val="10"/>
        <color rgb="FF000000"/>
        <rFont val="Arial Unicode MS"/>
        <family val="2"/>
      </rPr>
      <t xml:space="preserve">折现年序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年中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</si>
  <si>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年中折现</t>
    </r>
    <r>
      <rPr>
        <sz val="9"/>
        <color rgb="FF7F7F7F"/>
        <rFont val="Microsoft YaHei"/>
        <family val="0"/>
        <charset val="1"/>
      </rPr>
      <t xml:space="preserve">(mid-year); </t>
    </r>
    <r>
      <rPr>
        <sz val="9"/>
        <color rgb="FF7F7F7F"/>
        <rFont val="Arial Unicode MS"/>
        <family val="2"/>
      </rPr>
      <t xml:space="preserve">基准日</t>
    </r>
    <r>
      <rPr>
        <sz val="9"/>
        <color rgb="FF7F7F7F"/>
        <rFont val="Microsoft YaHei"/>
        <family val="0"/>
        <charset val="1"/>
      </rPr>
      <t xml:space="preserve">2026-08-17, </t>
    </r>
    <r>
      <rPr>
        <sz val="9"/>
        <color rgb="FF7F7F7F"/>
        <rFont val="Arial Unicode MS"/>
        <family val="2"/>
      </rPr>
      <t xml:space="preserve">近似年中收到现金流</t>
    </r>
  </si>
  <si>
    <t xml:space="preserve">折现因子</t>
  </si>
  <si>
    <t xml:space="preserve">PV(FCFF)</t>
  </si>
  <si>
    <r>
      <rPr>
        <b val="true"/>
        <sz val="10"/>
        <color rgb="FF000000"/>
        <rFont val="Arial Unicode MS"/>
        <family val="2"/>
      </rPr>
      <t xml:space="preserve">显性期</t>
    </r>
    <r>
      <rPr>
        <b val="true"/>
        <sz val="10"/>
        <color rgb="FF000000"/>
        <rFont val="Microsoft YaHei"/>
        <family val="0"/>
        <charset val="1"/>
      </rPr>
      <t xml:space="preserve">PV</t>
    </r>
    <r>
      <rPr>
        <b val="true"/>
        <sz val="10"/>
        <color rgb="FF000000"/>
        <rFont val="Arial Unicode MS"/>
        <family val="2"/>
      </rPr>
      <t xml:space="preserve">合计 </t>
    </r>
    <r>
      <rPr>
        <b val="true"/>
        <sz val="10"/>
        <color rgb="FF000000"/>
        <rFont val="Microsoft YaHei"/>
        <family val="0"/>
        <charset val="1"/>
      </rPr>
      <t xml:space="preserve">(2026-2030)</t>
    </r>
  </si>
  <si>
    <r>
      <rPr>
        <sz val="10"/>
        <color rgb="FF000000"/>
        <rFont val="Arial Unicode MS"/>
        <family val="2"/>
      </rPr>
      <t xml:space="preserve">终值 </t>
    </r>
    <r>
      <rPr>
        <sz val="10"/>
        <color rgb="FF000000"/>
        <rFont val="Microsoft YaHei"/>
        <family val="0"/>
        <charset val="1"/>
      </rPr>
      <t xml:space="preserve">TV (Gordon)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</si>
  <si>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FCFF2030×(1+g)/(WACC-g)</t>
    </r>
  </si>
  <si>
    <r>
      <rPr>
        <sz val="10"/>
        <color rgb="FF000000"/>
        <rFont val="Microsoft YaHei"/>
        <family val="0"/>
        <charset val="1"/>
      </rPr>
      <t xml:space="preserve">PV(</t>
    </r>
    <r>
      <rPr>
        <sz val="10"/>
        <color rgb="FF000000"/>
        <rFont val="Arial Unicode MS"/>
        <family val="2"/>
      </rPr>
      <t xml:space="preserve">终值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</si>
  <si>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终值按</t>
    </r>
    <r>
      <rPr>
        <sz val="9"/>
        <color rgb="FF7F7F7F"/>
        <rFont val="Microsoft YaHei"/>
        <family val="0"/>
        <charset val="1"/>
      </rPr>
      <t xml:space="preserve">t=4.5</t>
    </r>
    <r>
      <rPr>
        <sz val="9"/>
        <color rgb="FF7F7F7F"/>
        <rFont val="Arial Unicode MS"/>
        <family val="2"/>
      </rPr>
      <t xml:space="preserve">折现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与显性期最后一年一致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</si>
  <si>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企业价值 </t>
    </r>
    <r>
      <rPr>
        <b val="true"/>
        <sz val="10"/>
        <color rgb="FF000000"/>
        <rFont val="Microsoft YaHei"/>
        <family val="0"/>
        <charset val="1"/>
      </rPr>
      <t xml:space="preserve">EV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</si>
  <si>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货币资金</t>
    </r>
    <r>
      <rPr>
        <sz val="10"/>
        <color rgb="FF000000"/>
        <rFont val="Microsoft YaHei"/>
        <family val="0"/>
        <charset val="1"/>
      </rPr>
      <t xml:space="preserve">(2025A</t>
    </r>
    <r>
      <rPr>
        <sz val="10"/>
        <color rgb="FF000000"/>
        <rFont val="Arial Unicode MS"/>
        <family val="2"/>
      </rPr>
      <t xml:space="preserve">末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</si>
  <si>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交易性金融资产</t>
    </r>
    <r>
      <rPr>
        <sz val="10"/>
        <color rgb="FF000000"/>
        <rFont val="Microsoft YaHei"/>
        <family val="0"/>
        <charset val="1"/>
      </rPr>
      <t xml:space="preserve">(2025A</t>
    </r>
    <r>
      <rPr>
        <sz val="10"/>
        <color rgb="FF000000"/>
        <rFont val="Arial Unicode MS"/>
        <family val="2"/>
      </rPr>
      <t xml:space="preserve">末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</si>
  <si>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其他权益工具投资</t>
    </r>
    <r>
      <rPr>
        <sz val="10"/>
        <color rgb="FF000000"/>
        <rFont val="Microsoft YaHei"/>
        <family val="0"/>
        <charset val="1"/>
      </rPr>
      <t xml:space="preserve">(2025A</t>
    </r>
    <r>
      <rPr>
        <sz val="10"/>
        <color rgb="FF000000"/>
        <rFont val="Arial Unicode MS"/>
        <family val="2"/>
      </rPr>
      <t xml:space="preserve">末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</si>
  <si>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2025A</t>
    </r>
    <r>
      <rPr>
        <sz val="9"/>
        <color rgb="FF7F7F7F"/>
        <rFont val="Arial Unicode MS"/>
        <family val="2"/>
      </rPr>
      <t xml:space="preserve">末</t>
    </r>
    <r>
      <rPr>
        <sz val="9"/>
        <color rgb="FF7F7F7F"/>
        <rFont val="Microsoft YaHei"/>
        <family val="0"/>
        <charset val="1"/>
      </rPr>
      <t xml:space="preserve">15.3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参股投资按账面值计入股权价值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</si>
  <si>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有息负债</t>
    </r>
    <r>
      <rPr>
        <sz val="10"/>
        <color rgb="FF000000"/>
        <rFont val="Microsoft YaHei"/>
        <family val="0"/>
        <charset val="1"/>
      </rPr>
      <t xml:space="preserve">(2025A</t>
    </r>
    <r>
      <rPr>
        <sz val="10"/>
        <color rgb="FF000000"/>
        <rFont val="Arial Unicode MS"/>
        <family val="2"/>
      </rPr>
      <t xml:space="preserve">末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</si>
  <si>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少数股东权益</t>
    </r>
    <r>
      <rPr>
        <sz val="10"/>
        <color rgb="FF000000"/>
        <rFont val="Microsoft YaHei"/>
        <family val="0"/>
        <charset val="1"/>
      </rPr>
      <t xml:space="preserve">(2025A</t>
    </r>
    <r>
      <rPr>
        <sz val="10"/>
        <color rgb="FF000000"/>
        <rFont val="Arial Unicode MS"/>
        <family val="2"/>
      </rPr>
      <t xml:space="preserve">末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</si>
  <si>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EV</t>
    </r>
    <r>
      <rPr>
        <sz val="9"/>
        <color rgb="FF7F7F7F"/>
        <rFont val="Arial Unicode MS"/>
        <family val="2"/>
      </rPr>
      <t xml:space="preserve">桥得归母口径股权价值须扣少数股东权益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账面值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无少数股东权益的标的为</t>
    </r>
    <r>
      <rPr>
        <sz val="9"/>
        <color rgb="FF7F7F7F"/>
        <rFont val="Microsoft YaHei"/>
        <family val="0"/>
        <charset val="1"/>
      </rPr>
      <t xml:space="preserve">0, </t>
    </r>
    <r>
      <rPr>
        <sz val="9"/>
        <color rgb="FF7F7F7F"/>
        <rFont val="Arial Unicode MS"/>
        <family val="2"/>
      </rPr>
      <t xml:space="preserve">不影响结果</t>
    </r>
  </si>
  <si>
    <t xml:space="preserve">净现金调整合计</t>
  </si>
  <si>
    <r>
      <rPr>
        <sz val="9"/>
        <color rgb="FF7F7F7F"/>
        <rFont val="Arial Unicode MS"/>
        <family val="2"/>
      </rPr>
      <t xml:space="preserve">供</t>
    </r>
    <r>
      <rPr>
        <sz val="9"/>
        <color rgb="FF7F7F7F"/>
        <rFont val="Microsoft YaHei"/>
        <family val="0"/>
        <charset val="1"/>
      </rPr>
      <t xml:space="preserve">Sensitivity/Scenarios</t>
    </r>
    <r>
      <rPr>
        <sz val="9"/>
        <color rgb="FF7F7F7F"/>
        <rFont val="Arial Unicode MS"/>
        <family val="2"/>
      </rPr>
      <t xml:space="preserve">页引用</t>
    </r>
  </si>
  <si>
    <t xml:space="preserve">股权价值</t>
  </si>
  <si>
    <r>
      <rPr>
        <b val="true"/>
        <sz val="10"/>
        <color rgb="FF000000"/>
        <rFont val="Arial Unicode MS"/>
        <family val="2"/>
      </rPr>
      <t xml:space="preserve">每股价值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美元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股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</si>
  <si>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＝股权价值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稀释股数</t>
    </r>
    <r>
      <rPr>
        <sz val="9"/>
        <color rgb="FF7F7F7F"/>
        <rFont val="Microsoft YaHei"/>
        <family val="0"/>
        <charset val="1"/>
      </rPr>
      <t xml:space="preserve">(Equity_Roll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</si>
  <si>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现价 </t>
    </r>
    <r>
      <rPr>
        <sz val="10"/>
        <color rgb="FF000000"/>
        <rFont val="Microsoft YaHei"/>
        <family val="0"/>
        <charset val="1"/>
      </rPr>
      <t xml:space="preserve">(2026-08-17)</t>
    </r>
  </si>
  <si>
    <t xml:space="preserve">隐含涨跌幅</t>
  </si>
  <si>
    <r>
      <rPr>
        <sz val="10"/>
        <color rgb="FF000000"/>
        <rFont val="Arial Unicode MS"/>
        <family val="2"/>
      </rPr>
      <t xml:space="preserve">隐含</t>
    </r>
    <r>
      <rPr>
        <sz val="10"/>
        <color rgb="FF000000"/>
        <rFont val="Microsoft YaHei"/>
        <family val="0"/>
        <charset val="1"/>
      </rPr>
      <t xml:space="preserve">2026E P/E</t>
    </r>
  </si>
  <si>
    <r>
      <rPr>
        <sz val="9"/>
        <color rgb="FF7F7F7F"/>
        <rFont val="Arial Unicode MS"/>
        <family val="2"/>
      </rPr>
      <t xml:space="preserve">＝股权价值</t>
    </r>
    <r>
      <rPr>
        <sz val="9"/>
        <color rgb="FF7F7F7F"/>
        <rFont val="Microsoft YaHei"/>
        <family val="0"/>
        <charset val="1"/>
      </rPr>
      <t xml:space="preserve">/2026E</t>
    </r>
    <r>
      <rPr>
        <sz val="9"/>
        <color rgb="FF7F7F7F"/>
        <rFont val="Arial Unicode MS"/>
        <family val="2"/>
      </rPr>
      <t xml:space="preserve">归母</t>
    </r>
  </si>
  <si>
    <r>
      <rPr>
        <sz val="10"/>
        <color rgb="FF000000"/>
        <rFont val="Arial Unicode MS"/>
        <family val="2"/>
      </rPr>
      <t xml:space="preserve">隐含</t>
    </r>
    <r>
      <rPr>
        <sz val="10"/>
        <color rgb="FF000000"/>
        <rFont val="Microsoft YaHei"/>
        <family val="0"/>
        <charset val="1"/>
      </rPr>
      <t xml:space="preserve">2026E EV/EBITDA</t>
    </r>
  </si>
  <si>
    <r>
      <rPr>
        <sz val="9"/>
        <color rgb="FF7F7F7F"/>
        <rFont val="Arial Unicode MS"/>
        <family val="2"/>
      </rPr>
      <t xml:space="preserve">注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估值基准日</t>
    </r>
    <r>
      <rPr>
        <sz val="9"/>
        <color rgb="FF7F7F7F"/>
        <rFont val="Microsoft YaHei"/>
        <family val="0"/>
        <charset val="1"/>
      </rPr>
      <t xml:space="preserve">2026-08-17, </t>
    </r>
    <r>
      <rPr>
        <sz val="9"/>
        <color rgb="FF7F7F7F"/>
        <rFont val="Arial Unicode MS"/>
        <family val="2"/>
      </rPr>
      <t xml:space="preserve">与</t>
    </r>
    <r>
      <rPr>
        <sz val="9"/>
        <color rgb="FF7F7F7F"/>
        <rFont val="Microsoft YaHei"/>
        <family val="0"/>
        <charset val="1"/>
      </rPr>
      <t xml:space="preserve">2026</t>
    </r>
    <r>
      <rPr>
        <sz val="9"/>
        <color rgb="FF7F7F7F"/>
        <rFont val="Arial Unicode MS"/>
        <family val="2"/>
      </rPr>
      <t xml:space="preserve">财年现金流起点存在时间错位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年中折现</t>
    </r>
    <r>
      <rPr>
        <sz val="9"/>
        <color rgb="FF7F7F7F"/>
        <rFont val="Microsoft YaHei"/>
        <family val="0"/>
        <charset val="1"/>
      </rPr>
      <t xml:space="preserve">(t=0.5</t>
    </r>
    <r>
      <rPr>
        <sz val="9"/>
        <color rgb="FF7F7F7F"/>
        <rFont val="Arial Unicode MS"/>
        <family val="2"/>
      </rPr>
      <t xml:space="preserve">起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为该错位的标准近似处理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不再单独做</t>
    </r>
    <r>
      <rPr>
        <sz val="9"/>
        <color rgb="FF7F7F7F"/>
        <rFont val="Microsoft YaHei"/>
        <family val="0"/>
        <charset val="1"/>
      </rPr>
      <t xml:space="preserve">stub</t>
    </r>
    <r>
      <rPr>
        <sz val="9"/>
        <color rgb="FF7F7F7F"/>
        <rFont val="Arial Unicode MS"/>
        <family val="2"/>
      </rPr>
      <t xml:space="preserve">调整</t>
    </r>
  </si>
  <si>
    <r>
      <rPr>
        <b val="true"/>
        <sz val="13"/>
        <color rgb="FFFFFFFF"/>
        <rFont val="Arial Unicode MS"/>
        <family val="2"/>
      </rPr>
      <t xml:space="preserve">中芯国际 — </t>
    </r>
    <r>
      <rPr>
        <b val="true"/>
        <sz val="13"/>
        <color rgb="FFFFFFFF"/>
        <rFont val="Microsoft YaHei"/>
        <family val="0"/>
        <charset val="1"/>
      </rPr>
      <t xml:space="preserve">FCFE </t>
    </r>
    <r>
      <rPr>
        <b val="true"/>
        <sz val="13"/>
        <color rgb="FFFFFFFF"/>
        <rFont val="Arial Unicode MS"/>
        <family val="2"/>
      </rPr>
      <t xml:space="preserve">股权自由现金流估值 </t>
    </r>
    <r>
      <rPr>
        <b val="true"/>
        <sz val="13"/>
        <color rgb="FFFFFFFF"/>
        <rFont val="Microsoft YaHei"/>
        <family val="0"/>
        <charset val="1"/>
      </rPr>
      <t xml:space="preserve">(Ke</t>
    </r>
    <r>
      <rPr>
        <b val="true"/>
        <sz val="13"/>
        <color rgb="FFFFFFFF"/>
        <rFont val="Arial Unicode MS"/>
        <family val="2"/>
      </rPr>
      <t xml:space="preserve">折现</t>
    </r>
    <r>
      <rPr>
        <b val="true"/>
        <sz val="13"/>
        <color rgb="FFFFFFFF"/>
        <rFont val="Microsoft YaHei"/>
        <family val="0"/>
        <charset val="1"/>
      </rPr>
      <t xml:space="preserve">, </t>
    </r>
    <r>
      <rPr>
        <b val="true"/>
        <sz val="13"/>
        <color rgb="FFFFFFFF"/>
        <rFont val="Arial Unicode MS"/>
        <family val="2"/>
      </rPr>
      <t xml:space="preserve">与</t>
    </r>
    <r>
      <rPr>
        <b val="true"/>
        <sz val="13"/>
        <color rgb="FFFFFFFF"/>
        <rFont val="Microsoft YaHei"/>
        <family val="0"/>
        <charset val="1"/>
      </rPr>
      <t xml:space="preserve">FCFF</t>
    </r>
    <r>
      <rPr>
        <b val="true"/>
        <sz val="13"/>
        <color rgb="FFFFFFFF"/>
        <rFont val="Arial Unicode MS"/>
        <family val="2"/>
      </rPr>
      <t xml:space="preserve">双视图</t>
    </r>
    <r>
      <rPr>
        <b val="true"/>
        <sz val="13"/>
        <color rgb="FFFFFFFF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</si>
  <si>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美元百万元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财报口径</t>
    </r>
    <r>
      <rPr>
        <sz val="9"/>
        <color rgb="FF7F7F7F"/>
        <rFont val="Microsoft YaHei"/>
        <family val="0"/>
        <charset val="1"/>
      </rPr>
      <t xml:space="preserve">) | FCFE=</t>
    </r>
    <r>
      <rPr>
        <sz val="9"/>
        <color rgb="FF7F7F7F"/>
        <rFont val="Arial Unicode MS"/>
        <family val="2"/>
      </rPr>
      <t xml:space="preserve">归母净利</t>
    </r>
    <r>
      <rPr>
        <sz val="9"/>
        <color rgb="FF7F7F7F"/>
        <rFont val="Microsoft YaHei"/>
        <family val="0"/>
        <charset val="1"/>
      </rPr>
      <t xml:space="preserve">+D&amp;A-ΔNWC-Capex+</t>
    </r>
    <r>
      <rPr>
        <sz val="9"/>
        <color rgb="FF7F7F7F"/>
        <rFont val="Arial Unicode MS"/>
        <family val="2"/>
      </rPr>
      <t xml:space="preserve">净新增借款</t>
    </r>
    <r>
      <rPr>
        <sz val="9"/>
        <color rgb="FF7F7F7F"/>
        <rFont val="Microsoft YaHei"/>
        <family val="0"/>
        <charset val="1"/>
      </rPr>
      <t xml:space="preserve">(FIN</t>
    </r>
    <r>
      <rPr>
        <sz val="9"/>
        <color rgb="FF7F7F7F"/>
        <rFont val="Arial Unicode MS"/>
        <family val="2"/>
      </rPr>
      <t xml:space="preserve">页调度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按股权成本</t>
    </r>
    <r>
      <rPr>
        <sz val="9"/>
        <color rgb="FF7F7F7F"/>
        <rFont val="Microsoft YaHei"/>
        <family val="0"/>
        <charset val="1"/>
      </rPr>
      <t xml:space="preserve">Ke</t>
    </r>
    <r>
      <rPr>
        <sz val="9"/>
        <color rgb="FF7F7F7F"/>
        <rFont val="Arial Unicode MS"/>
        <family val="2"/>
      </rPr>
      <t xml:space="preserve">折现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年中口径与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页一致</t>
    </r>
    <r>
      <rPr>
        <sz val="9"/>
        <color rgb="FF7F7F7F"/>
        <rFont val="Microsoft YaHei"/>
        <family val="0"/>
        <charset val="1"/>
      </rPr>
      <t xml:space="preserve">), </t>
    </r>
    <r>
      <rPr>
        <sz val="9"/>
        <color rgb="FF7F7F7F"/>
        <rFont val="Arial Unicode MS"/>
        <family val="2"/>
      </rPr>
      <t xml:space="preserve">直接得归母股权价值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少数股东权益见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EV→Equity</t>
    </r>
    <r>
      <rPr>
        <sz val="9"/>
        <color rgb="FF7F7F7F"/>
        <rFont val="Arial Unicode MS"/>
        <family val="2"/>
      </rPr>
      <t xml:space="preserve">桥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终值取正常化</t>
    </r>
    <r>
      <rPr>
        <sz val="9"/>
        <color rgb="FF7F7F7F"/>
        <rFont val="Microsoft YaHei"/>
        <family val="0"/>
        <charset val="1"/>
      </rPr>
      <t xml:space="preserve">FCFE(</t>
    </r>
    <r>
      <rPr>
        <sz val="9"/>
        <color rgb="FF7F7F7F"/>
        <rFont val="Arial Unicode MS"/>
        <family val="2"/>
      </rPr>
      <t xml:space="preserve">净新增借款按</t>
    </r>
    <r>
      <rPr>
        <sz val="9"/>
        <color rgb="FF7F7F7F"/>
        <rFont val="Microsoft YaHei"/>
        <family val="0"/>
        <charset val="1"/>
      </rPr>
      <t xml:space="preserve">D×g</t>
    </r>
    <r>
      <rPr>
        <sz val="9"/>
        <color rgb="FF7F7F7F"/>
        <rFont val="Arial Unicode MS"/>
        <family val="2"/>
      </rPr>
      <t xml:space="preserve">稳态正常化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</si>
  <si>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IS</t>
    </r>
    <r>
      <rPr>
        <sz val="9"/>
        <color rgb="FF7F7F7F"/>
        <rFont val="Arial Unicode MS"/>
        <family val="2"/>
      </rPr>
      <t xml:space="preserve">归母净利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含</t>
    </r>
    <r>
      <rPr>
        <sz val="9"/>
        <color rgb="FF7F7F7F"/>
        <rFont val="Microsoft YaHei"/>
        <family val="0"/>
        <charset val="1"/>
      </rPr>
      <t xml:space="preserve">FIN</t>
    </r>
    <r>
      <rPr>
        <sz val="9"/>
        <color rgb="FF7F7F7F"/>
        <rFont val="Arial Unicode MS"/>
        <family val="2"/>
      </rPr>
      <t xml:space="preserve">调度后的利息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</si>
  <si>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PP&amp;E</t>
    </r>
    <r>
      <rPr>
        <sz val="9"/>
        <color rgb="FF7F7F7F"/>
        <rFont val="Arial Unicode MS"/>
        <family val="2"/>
      </rPr>
      <t xml:space="preserve">页折旧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无形摊销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</si>
  <si>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Schedules; NWC</t>
    </r>
    <r>
      <rPr>
        <sz val="9"/>
        <color rgb="FF7F7F7F"/>
        <rFont val="Arial Unicode MS"/>
        <family val="2"/>
      </rPr>
      <t xml:space="preserve">增加为现金流出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</si>
  <si>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PP&amp;E</t>
    </r>
    <r>
      <rPr>
        <sz val="9"/>
        <color rgb="FF7F7F7F"/>
        <rFont val="Arial Unicode MS"/>
        <family val="2"/>
      </rPr>
      <t xml:space="preserve">页资本开支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</si>
  <si>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净新增借款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</si>
  <si>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FIN</t>
    </r>
    <r>
      <rPr>
        <sz val="9"/>
        <color rgb="FF7F7F7F"/>
        <rFont val="Arial Unicode MS"/>
        <family val="2"/>
      </rPr>
      <t xml:space="preserve">四档债务期末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(revolver</t>
    </r>
    <r>
      <rPr>
        <sz val="9"/>
        <color rgb="FF7F7F7F"/>
        <rFont val="Arial Unicode MS"/>
        <family val="2"/>
      </rPr>
      <t xml:space="preserve">新增</t>
    </r>
    <r>
      <rPr>
        <sz val="9"/>
        <color rgb="FF7F7F7F"/>
        <rFont val="Microsoft YaHei"/>
        <family val="0"/>
        <charset val="1"/>
      </rPr>
      <t xml:space="preserve">-sweep</t>
    </r>
    <r>
      <rPr>
        <sz val="9"/>
        <color rgb="FF7F7F7F"/>
        <rFont val="Arial Unicode MS"/>
        <family val="2"/>
      </rPr>
      <t xml:space="preserve">偿还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计划还款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股权口径下债务净变动归股东</t>
    </r>
  </si>
  <si>
    <r>
      <rPr>
        <sz val="10"/>
        <color rgb="FF000000"/>
        <rFont val="Arial Unicode MS"/>
        <family val="2"/>
      </rPr>
      <t xml:space="preserve">理财净变动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勾稽参考</t>
    </r>
    <r>
      <rPr>
        <sz val="10"/>
        <color rgb="FF000000"/>
        <rFont val="Microsoft YaHei"/>
        <family val="0"/>
        <charset val="1"/>
      </rPr>
      <t xml:space="preserve">, </t>
    </r>
    <r>
      <rPr>
        <sz val="10"/>
        <color rgb="FF000000"/>
        <rFont val="Arial Unicode MS"/>
        <family val="2"/>
      </rPr>
      <t xml:space="preserve">不计入</t>
    </r>
    <r>
      <rPr>
        <sz val="10"/>
        <color rgb="FF000000"/>
        <rFont val="Microsoft YaHei"/>
        <family val="0"/>
        <charset val="1"/>
      </rPr>
      <t xml:space="preserve">FCFE)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</si>
  <si>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-FIN</t>
    </r>
    <r>
      <rPr>
        <sz val="9"/>
        <color rgb="FF7F7F7F"/>
        <rFont val="Arial Unicode MS"/>
        <family val="2"/>
      </rPr>
      <t xml:space="preserve">理财净变动</t>
    </r>
    <r>
      <rPr>
        <sz val="9"/>
        <color rgb="FF7F7F7F"/>
        <rFont val="Microsoft YaHei"/>
        <family val="0"/>
        <charset val="1"/>
      </rPr>
      <t xml:space="preserve">: sweep</t>
    </r>
    <r>
      <rPr>
        <sz val="9"/>
        <color rgb="FF7F7F7F"/>
        <rFont val="Arial Unicode MS"/>
        <family val="2"/>
      </rPr>
      <t xml:space="preserve">溢出购买理财为现金↔理财的形态转换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资产仍在表内归属股东</t>
    </r>
    <r>
      <rPr>
        <sz val="9"/>
        <color rgb="FF7F7F7F"/>
        <rFont val="Microsoft YaHei"/>
        <family val="0"/>
        <charset val="1"/>
      </rPr>
      <t xml:space="preserve">), </t>
    </r>
    <r>
      <rPr>
        <sz val="9"/>
        <color rgb="FF7F7F7F"/>
        <rFont val="Arial Unicode MS"/>
        <family val="2"/>
      </rPr>
      <t xml:space="preserve">故不计入</t>
    </r>
    <r>
      <rPr>
        <sz val="9"/>
        <color rgb="FF7F7F7F"/>
        <rFont val="Microsoft YaHei"/>
        <family val="0"/>
        <charset val="1"/>
      </rPr>
      <t xml:space="preserve">FCFE; </t>
    </r>
    <r>
      <rPr>
        <sz val="9"/>
        <color rgb="FF7F7F7F"/>
        <rFont val="Arial Unicode MS"/>
        <family val="2"/>
      </rPr>
      <t xml:space="preserve">显性列示供</t>
    </r>
    <r>
      <rPr>
        <sz val="9"/>
        <color rgb="FF7F7F7F"/>
        <rFont val="Microsoft YaHei"/>
        <family val="0"/>
        <charset val="1"/>
      </rPr>
      <t xml:space="preserve">FCFE↔FCFF</t>
    </r>
    <r>
      <rPr>
        <sz val="9"/>
        <color rgb="FF7F7F7F"/>
        <rFont val="Arial Unicode MS"/>
        <family val="2"/>
      </rPr>
      <t xml:space="preserve">差异勾稽</t>
    </r>
    <r>
      <rPr>
        <sz val="9"/>
        <color rgb="FF7F7F7F"/>
        <rFont val="Microsoft YaHei"/>
        <family val="0"/>
        <charset val="1"/>
      </rPr>
      <t xml:space="preserve">(FCFF</t>
    </r>
    <r>
      <rPr>
        <sz val="9"/>
        <color rgb="FF7F7F7F"/>
        <rFont val="Arial Unicode MS"/>
        <family val="2"/>
      </rPr>
      <t xml:space="preserve">也未扣理财购买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两法在此口径一致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</si>
  <si>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FCFE</t>
  </si>
  <si>
    <r>
      <rPr>
        <sz val="9"/>
        <color rgb="FF7F7F7F"/>
        <rFont val="Arial Unicode MS"/>
        <family val="2"/>
      </rPr>
      <t xml:space="preserve">＝归母</t>
    </r>
    <r>
      <rPr>
        <sz val="9"/>
        <color rgb="FF7F7F7F"/>
        <rFont val="Microsoft YaHei"/>
        <family val="0"/>
        <charset val="1"/>
      </rPr>
      <t xml:space="preserve">+D&amp;A-ΔNWC-Capex+</t>
    </r>
    <r>
      <rPr>
        <sz val="9"/>
        <color rgb="FF7F7F7F"/>
        <rFont val="Arial Unicode MS"/>
        <family val="2"/>
      </rPr>
      <t xml:space="preserve">净新增借款</t>
    </r>
  </si>
  <si>
    <r>
      <rPr>
        <sz val="9"/>
        <color rgb="FF7F7F7F"/>
        <rFont val="Arial Unicode MS"/>
        <family val="2"/>
      </rPr>
      <t xml:space="preserve">年中折现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与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页同口径</t>
    </r>
  </si>
  <si>
    <r>
      <rPr>
        <sz val="10"/>
        <color rgb="FF000000"/>
        <rFont val="Arial Unicode MS"/>
        <family val="2"/>
      </rPr>
      <t xml:space="preserve">折现因子 </t>
    </r>
    <r>
      <rPr>
        <sz val="10"/>
        <color rgb="FF000000"/>
        <rFont val="Microsoft YaHei"/>
        <family val="0"/>
        <charset val="1"/>
      </rPr>
      <t xml:space="preserve">(Ke)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</si>
  <si>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1/(1+Ke)^t; Ke</t>
    </r>
    <r>
      <rPr>
        <sz val="9"/>
        <color rgb="FF7F7F7F"/>
        <rFont val="Arial Unicode MS"/>
        <family val="2"/>
      </rPr>
      <t xml:space="preserve">为</t>
    </r>
    <r>
      <rPr>
        <sz val="9"/>
        <color rgb="FF7F7F7F"/>
        <rFont val="Microsoft YaHei"/>
        <family val="0"/>
        <charset val="1"/>
      </rPr>
      <t xml:space="preserve">named range(Assumptions</t>
    </r>
    <r>
      <rPr>
        <sz val="9"/>
        <color rgb="FF7F7F7F"/>
        <rFont val="Arial Unicode MS"/>
        <family val="2"/>
      </rPr>
      <t xml:space="preserve">股权成本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</si>
  <si>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PV(FCFE)</t>
  </si>
  <si>
    <r>
      <rPr>
        <sz val="10"/>
        <color rgb="FF000000"/>
        <rFont val="Arial Unicode MS"/>
        <family val="2"/>
      </rPr>
      <t xml:space="preserve">正常化</t>
    </r>
    <r>
      <rPr>
        <sz val="10"/>
        <color rgb="FF000000"/>
        <rFont val="Microsoft YaHei"/>
        <family val="0"/>
        <charset val="1"/>
      </rPr>
      <t xml:space="preserve">FCFE (2030E, </t>
    </r>
    <r>
      <rPr>
        <sz val="10"/>
        <color rgb="FF000000"/>
        <rFont val="Arial Unicode MS"/>
        <family val="2"/>
      </rPr>
      <t xml:space="preserve">终值口径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</si>
  <si>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终值净借款按</t>
    </r>
    <r>
      <rPr>
        <sz val="9"/>
        <color rgb="FF7F7F7F"/>
        <rFont val="Microsoft YaHei"/>
        <family val="0"/>
        <charset val="1"/>
      </rPr>
      <t xml:space="preserve">D×g</t>
    </r>
    <r>
      <rPr>
        <sz val="9"/>
        <color rgb="FF7F7F7F"/>
        <rFont val="Arial Unicode MS"/>
        <family val="2"/>
      </rPr>
      <t xml:space="preserve">稳态正常化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终值年净新增借款</t>
    </r>
    <r>
      <rPr>
        <sz val="9"/>
        <color rgb="FF7F7F7F"/>
        <rFont val="Microsoft YaHei"/>
        <family val="0"/>
        <charset val="1"/>
      </rPr>
      <t xml:space="preserve">=2030E</t>
    </r>
    <r>
      <rPr>
        <sz val="9"/>
        <color rgb="FF7F7F7F"/>
        <rFont val="Arial Unicode MS"/>
        <family val="2"/>
      </rPr>
      <t xml:space="preserve">期末有息负债</t>
    </r>
    <r>
      <rPr>
        <sz val="9"/>
        <color rgb="FF7F7F7F"/>
        <rFont val="Microsoft YaHei"/>
        <family val="0"/>
        <charset val="1"/>
      </rPr>
      <t xml:space="preserve">×g(</t>
    </r>
    <r>
      <rPr>
        <sz val="9"/>
        <color rgb="FF7F7F7F"/>
        <rFont val="Arial Unicode MS"/>
        <family val="2"/>
      </rPr>
      <t xml:space="preserve">替代实际调度值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对称防止显性期末大额净融资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净偿还被</t>
    </r>
    <r>
      <rPr>
        <sz val="9"/>
        <color rgb="FF7F7F7F"/>
        <rFont val="Microsoft YaHei"/>
        <family val="0"/>
        <charset val="1"/>
      </rPr>
      <t xml:space="preserve">Gordon</t>
    </r>
    <r>
      <rPr>
        <sz val="9"/>
        <color rgb="FF7F7F7F"/>
        <rFont val="Arial Unicode MS"/>
        <family val="2"/>
      </rPr>
      <t xml:space="preserve">公式永续外推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</si>
  <si>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终值 </t>
    </r>
    <r>
      <rPr>
        <sz val="10"/>
        <color rgb="FF000000"/>
        <rFont val="Microsoft YaHei"/>
        <family val="0"/>
        <charset val="1"/>
      </rPr>
      <t xml:space="preserve">TV (Gordon, </t>
    </r>
    <r>
      <rPr>
        <sz val="10"/>
        <color rgb="FF000000"/>
        <rFont val="Arial Unicode MS"/>
        <family val="2"/>
      </rPr>
      <t xml:space="preserve">正常化</t>
    </r>
    <r>
      <rPr>
        <sz val="10"/>
        <color rgb="FF000000"/>
        <rFont val="Microsoft YaHei"/>
        <family val="0"/>
        <charset val="1"/>
      </rPr>
      <t xml:space="preserve">FCFE)</t>
    </r>
  </si>
  <si>
    <r>
      <rPr>
        <sz val="9"/>
        <color rgb="FF7F7F7F"/>
        <rFont val="Arial Unicode MS"/>
        <family val="2"/>
      </rPr>
      <t xml:space="preserve">＝正常化</t>
    </r>
    <r>
      <rPr>
        <sz val="9"/>
        <color rgb="FF7F7F7F"/>
        <rFont val="Microsoft YaHei"/>
        <family val="0"/>
        <charset val="1"/>
      </rPr>
      <t xml:space="preserve">FCFE2030×(1+g)/(Ke-g); Ke/g</t>
    </r>
    <r>
      <rPr>
        <sz val="9"/>
        <color rgb="FF7F7F7F"/>
        <rFont val="Arial Unicode MS"/>
        <family val="2"/>
      </rPr>
      <t xml:space="preserve">均为</t>
    </r>
    <r>
      <rPr>
        <sz val="9"/>
        <color rgb="FF7F7F7F"/>
        <rFont val="Microsoft YaHei"/>
        <family val="0"/>
        <charset val="1"/>
      </rPr>
      <t xml:space="preserve">named range</t>
    </r>
  </si>
  <si>
    <r>
      <rPr>
        <sz val="9"/>
        <color rgb="FF7F7F7F"/>
        <rFont val="Arial Unicode MS"/>
        <family val="2"/>
      </rPr>
      <t xml:space="preserve">终值按</t>
    </r>
    <r>
      <rPr>
        <sz val="9"/>
        <color rgb="FF7F7F7F"/>
        <rFont val="Microsoft YaHei"/>
        <family val="0"/>
        <charset val="1"/>
      </rPr>
      <t xml:space="preserve">t=4.5</t>
    </r>
    <r>
      <rPr>
        <sz val="9"/>
        <color rgb="FF7F7F7F"/>
        <rFont val="Arial Unicode MS"/>
        <family val="2"/>
      </rPr>
      <t xml:space="preserve">折现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与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页一致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</si>
  <si>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股权价值 </t>
    </r>
    <r>
      <rPr>
        <b val="true"/>
        <sz val="10"/>
        <color rgb="FF000000"/>
        <rFont val="Microsoft YaHei"/>
        <family val="0"/>
        <charset val="1"/>
      </rPr>
      <t xml:space="preserve">(FCFE</t>
    </r>
    <r>
      <rPr>
        <b val="true"/>
        <sz val="10"/>
        <color rgb="FF000000"/>
        <rFont val="Arial Unicode MS"/>
        <family val="2"/>
      </rPr>
      <t xml:space="preserve">口径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</si>
  <si>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FCFE</t>
    </r>
    <r>
      <rPr>
        <sz val="9"/>
        <color rgb="FF7F7F7F"/>
        <rFont val="Arial Unicode MS"/>
        <family val="2"/>
      </rPr>
      <t xml:space="preserve">直接折现为股权价值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无需净现金桥</t>
    </r>
  </si>
  <si>
    <r>
      <rPr>
        <sz val="9"/>
        <color rgb="FF7F7F7F"/>
        <rFont val="Arial Unicode MS"/>
        <family val="2"/>
      </rPr>
      <t xml:space="preserve">＝股权价值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稀释股数</t>
    </r>
    <r>
      <rPr>
        <sz val="9"/>
        <color rgb="FF7F7F7F"/>
        <rFont val="Microsoft YaHei"/>
        <family val="0"/>
        <charset val="1"/>
      </rPr>
      <t xml:space="preserve">(named range)</t>
    </r>
  </si>
  <si>
    <r>
      <rPr>
        <sz val="10"/>
        <color rgb="FF000000"/>
        <rFont val="Arial Unicode MS"/>
        <family val="2"/>
      </rPr>
      <t xml:space="preserve">对照</t>
    </r>
    <r>
      <rPr>
        <sz val="10"/>
        <color rgb="FF000000"/>
        <rFont val="Microsoft YaHei"/>
        <family val="0"/>
        <charset val="1"/>
      </rPr>
      <t xml:space="preserve">: FCFF</t>
    </r>
    <r>
      <rPr>
        <sz val="10"/>
        <color rgb="FF000000"/>
        <rFont val="Arial Unicode MS"/>
        <family val="2"/>
      </rPr>
      <t xml:space="preserve">口径每股价值 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美元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股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</si>
  <si>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页主输出</t>
    </r>
  </si>
  <si>
    <r>
      <rPr>
        <b val="true"/>
        <sz val="10"/>
        <color rgb="FF000000"/>
        <rFont val="Arial Unicode MS"/>
        <family val="2"/>
      </rPr>
      <t xml:space="preserve">两法差异 </t>
    </r>
    <r>
      <rPr>
        <b val="true"/>
        <sz val="10"/>
        <color rgb="FF000000"/>
        <rFont val="Microsoft YaHei"/>
        <family val="0"/>
        <charset val="1"/>
      </rPr>
      <t xml:space="preserve">(FCFE/FCFF-1)</t>
    </r>
  </si>
  <si>
    <r>
      <rPr>
        <sz val="9"/>
        <color rgb="FF7F7F7F"/>
        <rFont val="Microsoft YaHei"/>
        <family val="0"/>
        <charset val="1"/>
      </rPr>
      <t xml:space="preserve"> Checks</t>
    </r>
    <r>
      <rPr>
        <sz val="9"/>
        <color rgb="FF7F7F7F"/>
        <rFont val="Arial Unicode MS"/>
        <family val="2"/>
      </rPr>
      <t xml:space="preserve">页含一致性信息行</t>
    </r>
  </si>
  <si>
    <r>
      <rPr>
        <sz val="9"/>
        <color rgb="FF7F7F7F"/>
        <rFont val="Arial Unicode MS"/>
        <family val="2"/>
      </rPr>
      <t xml:space="preserve">该状态为估值口径复核警报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不替代两种方法各自的模型校验</t>
    </r>
  </si>
  <si>
    <t xml:space="preserve">两法差异原因</t>
  </si>
  <si>
    <r>
      <rPr>
        <sz val="9"/>
        <color rgb="FF7F7F7F"/>
        <rFont val="Arial Unicode MS"/>
        <family val="2"/>
      </rPr>
      <t xml:space="preserve">①折现率不同</t>
    </r>
    <r>
      <rPr>
        <sz val="9"/>
        <color rgb="FF7F7F7F"/>
        <rFont val="Microsoft YaHei"/>
        <family val="0"/>
        <charset val="1"/>
      </rPr>
      <t xml:space="preserve">: FCFF</t>
    </r>
    <r>
      <rPr>
        <sz val="9"/>
        <color rgb="FF7F7F7F"/>
        <rFont val="Arial Unicode MS"/>
        <family val="2"/>
      </rPr>
      <t xml:space="preserve">按</t>
    </r>
    <r>
      <rPr>
        <sz val="9"/>
        <color rgb="FF7F7F7F"/>
        <rFont val="Microsoft YaHei"/>
        <family val="0"/>
        <charset val="1"/>
      </rPr>
      <t xml:space="preserve">WACC(</t>
    </r>
    <r>
      <rPr>
        <sz val="9"/>
        <color rgb="FF7F7F7F"/>
        <rFont val="Arial Unicode MS"/>
        <family val="2"/>
      </rPr>
      <t xml:space="preserve">全资本成本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税盾在分母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折现</t>
    </r>
    <r>
      <rPr>
        <sz val="9"/>
        <color rgb="FF7F7F7F"/>
        <rFont val="Microsoft YaHei"/>
        <family val="0"/>
        <charset val="1"/>
      </rPr>
      <t xml:space="preserve">, FCFE</t>
    </r>
    <r>
      <rPr>
        <sz val="9"/>
        <color rgb="FF7F7F7F"/>
        <rFont val="Arial Unicode MS"/>
        <family val="2"/>
      </rPr>
      <t xml:space="preserve">按</t>
    </r>
    <r>
      <rPr>
        <sz val="9"/>
        <color rgb="FF7F7F7F"/>
        <rFont val="Microsoft YaHei"/>
        <family val="0"/>
        <charset val="1"/>
      </rPr>
      <t xml:space="preserve">Ke(</t>
    </r>
    <r>
      <rPr>
        <sz val="9"/>
        <color rgb="FF7F7F7F"/>
        <rFont val="Arial Unicode MS"/>
        <family val="2"/>
      </rPr>
      <t xml:space="preserve">纯股权成本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折现</t>
    </r>
    <r>
      <rPr>
        <sz val="9"/>
        <color rgb="FF7F7F7F"/>
        <rFont val="Microsoft YaHei"/>
        <family val="0"/>
        <charset val="1"/>
      </rPr>
      <t xml:space="preserve">; ②</t>
    </r>
    <r>
      <rPr>
        <sz val="9"/>
        <color rgb="FF7F7F7F"/>
        <rFont val="Arial Unicode MS"/>
        <family val="2"/>
      </rPr>
      <t xml:space="preserve">口径不同</t>
    </r>
    <r>
      <rPr>
        <sz val="9"/>
        <color rgb="FF7F7F7F"/>
        <rFont val="Microsoft YaHei"/>
        <family val="0"/>
        <charset val="1"/>
      </rPr>
      <t xml:space="preserve">: FCFF</t>
    </r>
    <r>
      <rPr>
        <sz val="9"/>
        <color rgb="FF7F7F7F"/>
        <rFont val="Arial Unicode MS"/>
        <family val="2"/>
      </rPr>
      <t xml:space="preserve">为企业自由现金流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须经</t>
    </r>
    <r>
      <rPr>
        <sz val="9"/>
        <color rgb="FF7F7F7F"/>
        <rFont val="Microsoft YaHei"/>
        <family val="0"/>
        <charset val="1"/>
      </rPr>
      <t xml:space="preserve">EV→Equity</t>
    </r>
    <r>
      <rPr>
        <sz val="9"/>
        <color rgb="FF7F7F7F"/>
        <rFont val="Arial Unicode MS"/>
        <family val="2"/>
      </rPr>
      <t xml:space="preserve">桥加回净现金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扣有息负债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扣少数股东权益</t>
    </r>
    <r>
      <rPr>
        <sz val="9"/>
        <color rgb="FF7F7F7F"/>
        <rFont val="Microsoft YaHei"/>
        <family val="0"/>
        <charset val="1"/>
      </rPr>
      <t xml:space="preserve">, FCFE</t>
    </r>
    <r>
      <rPr>
        <sz val="9"/>
        <color rgb="FF7F7F7F"/>
        <rFont val="Arial Unicode MS"/>
        <family val="2"/>
      </rPr>
      <t xml:space="preserve">基于归母净利折现、直接对应归母股权价值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少数股东权益已在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EV→Equity</t>
    </r>
    <r>
      <rPr>
        <sz val="9"/>
        <color rgb="FF7F7F7F"/>
        <rFont val="Arial Unicode MS"/>
        <family val="2"/>
      </rPr>
      <t xml:space="preserve">桥扣除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本页无需再扣</t>
    </r>
    <r>
      <rPr>
        <sz val="9"/>
        <color rgb="FF7F7F7F"/>
        <rFont val="Microsoft YaHei"/>
        <family val="0"/>
        <charset val="1"/>
      </rPr>
      <t xml:space="preserve">; ③</t>
    </r>
    <r>
      <rPr>
        <sz val="9"/>
        <color rgb="FF7F7F7F"/>
        <rFont val="Arial Unicode MS"/>
        <family val="2"/>
      </rPr>
      <t xml:space="preserve">杠杆路径不同</t>
    </r>
    <r>
      <rPr>
        <sz val="9"/>
        <color rgb="FF7F7F7F"/>
        <rFont val="Microsoft YaHei"/>
        <family val="0"/>
        <charset val="1"/>
      </rPr>
      <t xml:space="preserve">: FCFE</t>
    </r>
    <r>
      <rPr>
        <sz val="9"/>
        <color rgb="FF7F7F7F"/>
        <rFont val="Arial Unicode MS"/>
        <family val="2"/>
      </rPr>
      <t xml:space="preserve">逐年反映</t>
    </r>
    <r>
      <rPr>
        <sz val="9"/>
        <color rgb="FF7F7F7F"/>
        <rFont val="Microsoft YaHei"/>
        <family val="0"/>
        <charset val="1"/>
      </rPr>
      <t xml:space="preserve">FIN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revolver/sweep</t>
    </r>
    <r>
      <rPr>
        <sz val="9"/>
        <color rgb="FF7F7F7F"/>
        <rFont val="Arial Unicode MS"/>
        <family val="2"/>
      </rPr>
      <t xml:space="preserve">实际债务调度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资本结构动态变化</t>
    </r>
    <r>
      <rPr>
        <sz val="9"/>
        <color rgb="FF7F7F7F"/>
        <rFont val="Microsoft YaHei"/>
        <family val="0"/>
        <charset val="1"/>
      </rPr>
      <t xml:space="preserve">), FCFF</t>
    </r>
    <r>
      <rPr>
        <sz val="9"/>
        <color rgb="FF7F7F7F"/>
        <rFont val="Arial Unicode MS"/>
        <family val="2"/>
      </rPr>
      <t xml:space="preserve">隐含目标结构</t>
    </r>
    <r>
      <rPr>
        <sz val="9"/>
        <color rgb="FF7F7F7F"/>
        <rFont val="Microsoft YaHei"/>
        <family val="0"/>
        <charset val="1"/>
      </rPr>
      <t xml:space="preserve">(Wd)</t>
    </r>
    <r>
      <rPr>
        <sz val="9"/>
        <color rgb="FF7F7F7F"/>
        <rFont val="Arial Unicode MS"/>
        <family val="2"/>
      </rPr>
      <t xml:space="preserve">恒定</t>
    </r>
    <r>
      <rPr>
        <sz val="9"/>
        <color rgb="FF7F7F7F"/>
        <rFont val="Microsoft YaHei"/>
        <family val="0"/>
        <charset val="1"/>
      </rPr>
      <t xml:space="preserve">; ④</t>
    </r>
    <r>
      <rPr>
        <sz val="9"/>
        <color rgb="FF7F7F7F"/>
        <rFont val="Arial Unicode MS"/>
        <family val="2"/>
      </rPr>
      <t xml:space="preserve">理财净变动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上行勾稽参考行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为现金形态转换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两法均未计入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不构成差异来源</t>
    </r>
    <r>
      <rPr>
        <sz val="9"/>
        <color rgb="FF7F7F7F"/>
        <rFont val="Microsoft YaHei"/>
        <family val="0"/>
        <charset val="1"/>
      </rPr>
      <t xml:space="preserve">; ⑤</t>
    </r>
    <r>
      <rPr>
        <sz val="9"/>
        <color rgb="FF7F7F7F"/>
        <rFont val="Arial Unicode MS"/>
        <family val="2"/>
      </rPr>
      <t xml:space="preserve">两法在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恒定资本结构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一致税盾处理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下理论等价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实务差异主要来自债务调度时点、净现金桥与折现率差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差异幅度大时应复查融资假设</t>
    </r>
  </si>
  <si>
    <r>
      <rPr>
        <b val="true"/>
        <sz val="13"/>
        <color rgb="FFFFFFFF"/>
        <rFont val="Arial Unicode MS"/>
        <family val="2"/>
      </rPr>
      <t xml:space="preserve">中芯国际 — </t>
    </r>
    <r>
      <rPr>
        <b val="true"/>
        <sz val="13"/>
        <color rgb="FFFFFFFF"/>
        <rFont val="Microsoft YaHei"/>
        <family val="0"/>
        <charset val="1"/>
      </rPr>
      <t xml:space="preserve">Relative_Val </t>
    </r>
    <r>
      <rPr>
        <b val="true"/>
        <sz val="13"/>
        <color rgb="FFFFFFFF"/>
        <rFont val="Arial Unicode MS"/>
        <family val="2"/>
      </rPr>
      <t xml:space="preserve">可比公司相对估值 </t>
    </r>
    <r>
      <rPr>
        <b val="true"/>
        <sz val="13"/>
        <color rgb="FFFFFFFF"/>
        <rFont val="Microsoft YaHei"/>
        <family val="0"/>
        <charset val="1"/>
      </rPr>
      <t xml:space="preserve">+ Beta unlever/relever</t>
    </r>
  </si>
  <si>
    <r>
      <rPr>
        <sz val="9"/>
        <color rgb="FF7F7F7F"/>
        <rFont val="Arial Unicode MS"/>
        <family val="2"/>
      </rPr>
      <t xml:space="preserve">市值</t>
    </r>
    <r>
      <rPr>
        <sz val="9"/>
        <color rgb="FF7F7F7F"/>
        <rFont val="Microsoft YaHei"/>
        <family val="0"/>
        <charset val="1"/>
      </rPr>
      <t xml:space="preserve">/PE-TTM</t>
    </r>
    <r>
      <rPr>
        <sz val="9"/>
        <color rgb="FF7F7F7F"/>
        <rFont val="Arial Unicode MS"/>
        <family val="2"/>
      </rPr>
      <t xml:space="preserve">为</t>
    </r>
    <r>
      <rPr>
        <sz val="9"/>
        <color rgb="FF7F7F7F"/>
        <rFont val="Microsoft YaHei"/>
        <family val="0"/>
        <charset val="1"/>
      </rPr>
      <t xml:space="preserve">2026-08-17</t>
    </r>
    <r>
      <rPr>
        <sz val="9"/>
        <color rgb="FF7F7F7F"/>
        <rFont val="Arial Unicode MS"/>
        <family val="2"/>
      </rPr>
      <t xml:space="preserve">收盘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腾讯行情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预测归母为模型自动外推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分析师输入</t>
    </r>
    <r>
      <rPr>
        <sz val="9"/>
        <color rgb="FF7F7F7F"/>
        <rFont val="Microsoft YaHei"/>
        <family val="0"/>
        <charset val="1"/>
      </rPr>
      <t xml:space="preserve">; L-O</t>
    </r>
    <r>
      <rPr>
        <sz val="9"/>
        <color rgb="FF7F7F7F"/>
        <rFont val="Arial Unicode MS"/>
        <family val="2"/>
      </rPr>
      <t xml:space="preserve">列</t>
    </r>
    <r>
      <rPr>
        <sz val="9"/>
        <color rgb="FF7F7F7F"/>
        <rFont val="Microsoft YaHei"/>
        <family val="0"/>
        <charset val="1"/>
      </rPr>
      <t xml:space="preserve">: βl/(1+(1-t)D/E) unlever</t>
    </r>
    <r>
      <rPr>
        <sz val="9"/>
        <color rgb="FF7F7F7F"/>
        <rFont val="Arial Unicode MS"/>
        <family val="2"/>
      </rPr>
      <t xml:space="preserve">取中位→</t>
    </r>
    <r>
      <rPr>
        <sz val="9"/>
        <color rgb="FF7F7F7F"/>
        <rFont val="Microsoft YaHei"/>
        <family val="0"/>
        <charset val="1"/>
      </rPr>
      <t xml:space="preserve">Assumptions</t>
    </r>
    <r>
      <rPr>
        <sz val="9"/>
        <color rgb="FF7F7F7F"/>
        <rFont val="Arial Unicode MS"/>
        <family val="2"/>
      </rPr>
      <t xml:space="preserve">按目标结构</t>
    </r>
    <r>
      <rPr>
        <sz val="9"/>
        <color rgb="FF7F7F7F"/>
        <rFont val="Microsoft YaHei"/>
        <family val="0"/>
        <charset val="1"/>
      </rPr>
      <t xml:space="preserve">relever</t>
    </r>
  </si>
  <si>
    <t xml:space="preserve">公司</t>
  </si>
  <si>
    <t xml:space="preserve">代码</t>
  </si>
  <si>
    <r>
      <rPr>
        <b val="true"/>
        <sz val="10"/>
        <color rgb="FF000000"/>
        <rFont val="Arial Unicode MS"/>
        <family val="2"/>
      </rPr>
      <t xml:space="preserve">市值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亿元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</si>
  <si>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t xml:space="preserve">PE-TTM</t>
  </si>
  <si>
    <r>
      <rPr>
        <b val="true"/>
        <sz val="10"/>
        <color rgb="FF000000"/>
        <rFont val="Microsoft YaHei"/>
        <family val="0"/>
        <charset val="1"/>
      </rPr>
      <t xml:space="preserve">2026E</t>
    </r>
    <r>
      <rPr>
        <b val="true"/>
        <sz val="10"/>
        <color rgb="FF000000"/>
        <rFont val="Arial Unicode MS"/>
        <family val="2"/>
      </rPr>
      <t xml:space="preserve">归母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亿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</si>
  <si>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t xml:space="preserve">2026E PE</t>
  </si>
  <si>
    <r>
      <rPr>
        <b val="true"/>
        <sz val="10"/>
        <color rgb="FF000000"/>
        <rFont val="Microsoft YaHei"/>
        <family val="0"/>
        <charset val="1"/>
      </rPr>
      <t xml:space="preserve">2027E</t>
    </r>
    <r>
      <rPr>
        <b val="true"/>
        <sz val="10"/>
        <color rgb="FF000000"/>
        <rFont val="Arial Unicode MS"/>
        <family val="2"/>
      </rPr>
      <t xml:space="preserve">归母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亿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</si>
  <si>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t xml:space="preserve">2027E PE</t>
  </si>
  <si>
    <r>
      <rPr>
        <b val="true"/>
        <sz val="10"/>
        <color rgb="FF000000"/>
        <rFont val="Microsoft YaHei"/>
        <family val="0"/>
        <charset val="1"/>
      </rPr>
      <t xml:space="preserve">26→27</t>
    </r>
    <r>
      <rPr>
        <b val="true"/>
        <sz val="10"/>
        <color rgb="FF000000"/>
        <rFont val="Arial Unicode MS"/>
        <family val="2"/>
      </rPr>
      <t xml:space="preserve">增速</t>
    </r>
  </si>
  <si>
    <t xml:space="preserve">PEG</t>
  </si>
  <si>
    <r>
      <rPr>
        <b val="true"/>
        <sz val="10"/>
        <color rgb="FF000000"/>
        <rFont val="Arial Unicode MS"/>
        <family val="2"/>
      </rPr>
      <t xml:space="preserve">数据来源 </t>
    </r>
    <r>
      <rPr>
        <b val="true"/>
        <sz val="10"/>
        <color rgb="FF000000"/>
        <rFont val="Microsoft YaHei"/>
        <family val="0"/>
        <charset val="1"/>
      </rPr>
      <t xml:space="preserve">/ </t>
    </r>
    <r>
      <rPr>
        <b val="true"/>
        <sz val="10"/>
        <color rgb="FF000000"/>
        <rFont val="Arial Unicode MS"/>
        <family val="2"/>
      </rPr>
      <t xml:space="preserve">备注</t>
    </r>
  </si>
  <si>
    <r>
      <rPr>
        <b val="true"/>
        <sz val="10"/>
        <color rgb="FF000000"/>
        <rFont val="Microsoft YaHei"/>
        <family val="0"/>
        <charset val="1"/>
      </rPr>
      <t xml:space="preserve">βl(</t>
    </r>
    <r>
      <rPr>
        <b val="true"/>
        <sz val="10"/>
        <color rgb="FF000000"/>
        <rFont val="Arial Unicode MS"/>
        <family val="2"/>
      </rPr>
      <t xml:space="preserve">输入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</si>
  <si>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D/E(</t>
    </r>
    <r>
      <rPr>
        <b val="true"/>
        <sz val="10"/>
        <color rgb="FF000000"/>
        <rFont val="Arial Unicode MS"/>
        <family val="2"/>
      </rPr>
      <t xml:space="preserve">输入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</si>
  <si>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税率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输入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</si>
  <si>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βu(</t>
    </r>
    <r>
      <rPr>
        <b val="true"/>
        <sz val="10"/>
        <color rgb="FF000000"/>
        <rFont val="Arial Unicode MS"/>
        <family val="2"/>
      </rPr>
      <t xml:space="preserve">公式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</si>
  <si>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可比中位数</t>
    </r>
    <r>
      <rPr>
        <b val="true"/>
        <sz val="10"/>
        <color rgb="FF000000"/>
        <rFont val="Microsoft YaHei"/>
        <family val="0"/>
        <charset val="1"/>
      </rPr>
      <t xml:space="preserve">(A</t>
    </r>
    <r>
      <rPr>
        <b val="true"/>
        <sz val="10"/>
        <color rgb="FF000000"/>
        <rFont val="Arial Unicode MS"/>
        <family val="2"/>
      </rPr>
      <t xml:space="preserve">股</t>
    </r>
    <r>
      <rPr>
        <b val="true"/>
        <sz val="10"/>
        <color rgb="FF000000"/>
        <rFont val="Microsoft YaHei"/>
        <family val="0"/>
        <charset val="1"/>
      </rPr>
      <t xml:space="preserve">0</t>
    </r>
    <r>
      <rPr>
        <b val="true"/>
        <sz val="10"/>
        <color rgb="FF000000"/>
        <rFont val="Arial Unicode MS"/>
        <family val="2"/>
      </rPr>
      <t xml:space="preserve">家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</si>
  <si>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无可比公司配置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兜底模式</t>
    </r>
    <r>
      <rPr>
        <sz val="9"/>
        <color rgb="FF7F7F7F"/>
        <rFont val="Microsoft YaHei"/>
        <family val="0"/>
        <charset val="1"/>
      </rPr>
      <t xml:space="preserve">): βu</t>
    </r>
    <r>
      <rPr>
        <sz val="9"/>
        <color rgb="FF7F7F7F"/>
        <rFont val="Arial Unicode MS"/>
        <family val="2"/>
      </rPr>
      <t xml:space="preserve">走</t>
    </r>
    <r>
      <rPr>
        <sz val="9"/>
        <color rgb="FF7F7F7F"/>
        <rFont val="Microsoft YaHei"/>
        <family val="0"/>
        <charset val="1"/>
      </rPr>
      <t xml:space="preserve">Assumptions</t>
    </r>
    <r>
      <rPr>
        <sz val="9"/>
        <color rgb="FF7F7F7F"/>
        <rFont val="Arial Unicode MS"/>
        <family val="2"/>
      </rPr>
      <t xml:space="preserve">蓝色输入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相对估值上下限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目标</t>
    </r>
    <r>
      <rPr>
        <sz val="9"/>
        <color rgb="FF7F7F7F"/>
        <rFont val="Microsoft YaHei"/>
        <family val="0"/>
        <charset val="1"/>
      </rPr>
      <t xml:space="preserve">PE</t>
    </r>
    <r>
      <rPr>
        <sz val="9"/>
        <color rgb="FF7F7F7F"/>
        <rFont val="Arial Unicode MS"/>
        <family val="2"/>
      </rPr>
      <t xml:space="preserve">下限</t>
    </r>
  </si>
  <si>
    <r>
      <rPr>
        <b val="true"/>
        <sz val="10"/>
        <color rgb="FF000000"/>
        <rFont val="Arial Unicode MS"/>
        <family val="2"/>
      </rPr>
      <t xml:space="preserve">中芯国际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现价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</si>
  <si>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t xml:space="preserve">00981.HK</t>
  </si>
  <si>
    <r>
      <rPr>
        <sz val="9"/>
        <color rgb="FF7F7F7F"/>
        <rFont val="Microsoft YaHei"/>
        <family val="0"/>
        <charset val="1"/>
      </rPr>
      <t xml:space="preserve">2026E/2027E</t>
    </r>
    <r>
      <rPr>
        <sz val="9"/>
        <color rgb="FF7F7F7F"/>
        <rFont val="Arial Unicode MS"/>
        <family val="2"/>
      </rPr>
      <t xml:space="preserve">归母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模型自动外推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腾讯行情</t>
    </r>
    <r>
      <rPr>
        <sz val="9"/>
        <color rgb="FF7F7F7F"/>
        <rFont val="Microsoft YaHei"/>
        <family val="0"/>
        <charset val="1"/>
      </rPr>
      <t xml:space="preserve">PE-TTM(</t>
    </r>
    <r>
      <rPr>
        <sz val="9"/>
        <color rgb="FF7F7F7F"/>
        <rFont val="Arial Unicode MS"/>
        <family val="2"/>
      </rPr>
      <t xml:space="preserve">港元口径</t>
    </r>
    <r>
      <rPr>
        <sz val="9"/>
        <color rgb="FF7F7F7F"/>
        <rFont val="Microsoft YaHei"/>
        <family val="0"/>
        <charset val="1"/>
      </rPr>
      <t xml:space="preserve">, 2026-08-17)</t>
    </r>
  </si>
  <si>
    <r>
      <rPr>
        <b val="true"/>
        <sz val="10"/>
        <color rgb="FF1F3864"/>
        <rFont val="Arial Unicode MS"/>
        <family val="2"/>
      </rPr>
      <t xml:space="preserve">中芯国际定价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基于模型基准</t>
    </r>
    <r>
      <rPr>
        <b val="true"/>
        <sz val="10"/>
        <color rgb="FF1F3864"/>
        <rFont val="Microsoft YaHei"/>
        <family val="0"/>
        <charset val="1"/>
      </rPr>
      <t xml:space="preserve">2026E</t>
    </r>
    <r>
      <rPr>
        <b val="true"/>
        <sz val="10"/>
        <color rgb="FF1F3864"/>
        <rFont val="Arial Unicode MS"/>
        <family val="2"/>
      </rPr>
      <t xml:space="preserve">归母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</si>
  <si>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目标</t>
    </r>
    <r>
      <rPr>
        <sz val="10"/>
        <color rgb="FF000000"/>
        <rFont val="Microsoft YaHei"/>
        <family val="0"/>
        <charset val="1"/>
      </rPr>
      <t xml:space="preserve">PE</t>
    </r>
    <r>
      <rPr>
        <sz val="10"/>
        <color rgb="FF000000"/>
        <rFont val="Arial Unicode MS"/>
        <family val="2"/>
      </rPr>
      <t xml:space="preserve">下限</t>
    </r>
  </si>
  <si>
    <r>
      <rPr>
        <sz val="9"/>
        <color rgb="FF7F7F7F"/>
        <rFont val="Arial Unicode MS"/>
        <family val="2"/>
      </rPr>
      <t xml:space="preserve">兜底默认</t>
    </r>
    <r>
      <rPr>
        <sz val="9"/>
        <color rgb="FF7F7F7F"/>
        <rFont val="Microsoft YaHei"/>
        <family val="0"/>
        <charset val="1"/>
      </rPr>
      <t xml:space="preserve">: 25x(</t>
    </r>
    <r>
      <rPr>
        <sz val="9"/>
        <color rgb="FF7F7F7F"/>
        <rFont val="Arial Unicode MS"/>
        <family val="2"/>
      </rPr>
      <t xml:space="preserve">无可比清单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建议补</t>
    </r>
    <r>
      <rPr>
        <sz val="9"/>
        <color rgb="FF7F7F7F"/>
        <rFont val="Microsoft YaHei"/>
        <family val="0"/>
        <charset val="1"/>
      </rPr>
      <t xml:space="preserve">comps</t>
    </r>
    <r>
      <rPr>
        <sz val="9"/>
        <color rgb="FF7F7F7F"/>
        <rFont val="Arial Unicode MS"/>
        <family val="2"/>
      </rPr>
      <t xml:space="preserve">后取可比中位数为上界</t>
    </r>
  </si>
  <si>
    <r>
      <rPr>
        <sz val="10"/>
        <color rgb="FF000000"/>
        <rFont val="Arial Unicode MS"/>
        <family val="2"/>
      </rPr>
      <t xml:space="preserve">目标</t>
    </r>
    <r>
      <rPr>
        <sz val="10"/>
        <color rgb="FF000000"/>
        <rFont val="Microsoft YaHei"/>
        <family val="0"/>
        <charset val="1"/>
      </rPr>
      <t xml:space="preserve">PE</t>
    </r>
    <r>
      <rPr>
        <sz val="10"/>
        <color rgb="FF000000"/>
        <rFont val="Arial Unicode MS"/>
        <family val="2"/>
      </rPr>
      <t xml:space="preserve">上限</t>
    </r>
  </si>
  <si>
    <r>
      <rPr>
        <sz val="9"/>
        <color rgb="FF7F7F7F"/>
        <rFont val="Arial Unicode MS"/>
        <family val="2"/>
      </rPr>
      <t xml:space="preserve">＝目标</t>
    </r>
    <r>
      <rPr>
        <sz val="9"/>
        <color rgb="FF7F7F7F"/>
        <rFont val="Microsoft YaHei"/>
        <family val="0"/>
        <charset val="1"/>
      </rPr>
      <t xml:space="preserve">PE</t>
    </r>
    <r>
      <rPr>
        <sz val="9"/>
        <color rgb="FF7F7F7F"/>
        <rFont val="Arial Unicode MS"/>
        <family val="2"/>
      </rPr>
      <t xml:space="preserve">下限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无可比公司配置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兜底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</si>
  <si>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模型基准</t>
    </r>
    <r>
      <rPr>
        <sz val="10"/>
        <color rgb="FF000000"/>
        <rFont val="Microsoft YaHei"/>
        <family val="0"/>
        <charset val="1"/>
      </rPr>
      <t xml:space="preserve">2026E</t>
    </r>
    <r>
      <rPr>
        <sz val="10"/>
        <color rgb="FF000000"/>
        <rFont val="Arial Unicode MS"/>
        <family val="2"/>
      </rPr>
      <t xml:space="preserve">归母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百万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</si>
  <si>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对应股价下限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美元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</si>
  <si>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对应股价上限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美元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</si>
  <si>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以模型自动外推</t>
    </r>
    <r>
      <rPr>
        <sz val="10"/>
        <color rgb="FF000000"/>
        <rFont val="Microsoft YaHei"/>
        <family val="0"/>
        <charset val="1"/>
      </rPr>
      <t xml:space="preserve">2026E</t>
    </r>
    <r>
      <rPr>
        <sz val="10"/>
        <color rgb="FF000000"/>
        <rFont val="Arial Unicode MS"/>
        <family val="2"/>
      </rPr>
      <t xml:space="preserve">归母</t>
    </r>
    <r>
      <rPr>
        <sz val="10"/>
        <color rgb="FF000000"/>
        <rFont val="Microsoft YaHei"/>
        <family val="0"/>
        <charset val="1"/>
      </rPr>
      <t xml:space="preserve">8.0</t>
    </r>
    <r>
      <rPr>
        <sz val="10"/>
        <color rgb="FF000000"/>
        <rFont val="Arial Unicode MS"/>
        <family val="2"/>
      </rPr>
      <t xml:space="preserve">亿计股价区间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美元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</si>
  <si>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左</t>
    </r>
    <r>
      <rPr>
        <sz val="9"/>
        <color rgb="FF7F7F7F"/>
        <rFont val="Microsoft YaHei"/>
        <family val="0"/>
        <charset val="1"/>
      </rPr>
      <t xml:space="preserve">=PE</t>
    </r>
    <r>
      <rPr>
        <sz val="9"/>
        <color rgb="FF7F7F7F"/>
        <rFont val="Arial Unicode MS"/>
        <family val="2"/>
      </rPr>
      <t xml:space="preserve">下限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右</t>
    </r>
    <r>
      <rPr>
        <sz val="9"/>
        <color rgb="FF7F7F7F"/>
        <rFont val="Microsoft YaHei"/>
        <family val="0"/>
        <charset val="1"/>
      </rPr>
      <t xml:space="preserve">=PE</t>
    </r>
    <r>
      <rPr>
        <sz val="9"/>
        <color rgb="FF7F7F7F"/>
        <rFont val="Arial Unicode MS"/>
        <family val="2"/>
      </rPr>
      <t xml:space="preserve">上限</t>
    </r>
  </si>
  <si>
    <r>
      <rPr>
        <sz val="10"/>
        <color rgb="FF000000"/>
        <rFont val="Arial Unicode MS"/>
        <family val="2"/>
      </rPr>
      <t xml:space="preserve">相对现价</t>
    </r>
    <r>
      <rPr>
        <sz val="10"/>
        <color rgb="FF000000"/>
        <rFont val="Microsoft YaHei"/>
        <family val="0"/>
        <charset val="1"/>
      </rPr>
      <t xml:space="preserve">9.6667</t>
    </r>
    <r>
      <rPr>
        <sz val="10"/>
        <color rgb="FF000000"/>
        <rFont val="Arial Unicode MS"/>
        <family val="2"/>
      </rPr>
      <t xml:space="preserve">美元空间</t>
    </r>
  </si>
  <si>
    <r>
      <rPr>
        <b val="true"/>
        <sz val="13"/>
        <color rgb="FFFFFFFF"/>
        <rFont val="Arial Unicode MS"/>
        <family val="2"/>
      </rPr>
      <t xml:space="preserve">中芯国际 — </t>
    </r>
    <r>
      <rPr>
        <b val="true"/>
        <sz val="13"/>
        <color rgb="FFFFFFFF"/>
        <rFont val="Microsoft YaHei"/>
        <family val="0"/>
        <charset val="1"/>
      </rPr>
      <t xml:space="preserve">Sensitivity </t>
    </r>
    <r>
      <rPr>
        <b val="true"/>
        <sz val="13"/>
        <color rgb="FFFFFFFF"/>
        <rFont val="Arial Unicode MS"/>
        <family val="2"/>
      </rPr>
      <t xml:space="preserve">敏感性分析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</si>
  <si>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美元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股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矩阵轴为公式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自动对中</t>
    </r>
    <r>
      <rPr>
        <sz val="9"/>
        <color rgb="FF7F7F7F"/>
        <rFont val="Microsoft YaHei"/>
        <family val="0"/>
        <charset val="1"/>
      </rPr>
      <t xml:space="preserve">WACC</t>
    </r>
    <r>
      <rPr>
        <sz val="9"/>
        <color rgb="FF7F7F7F"/>
        <rFont val="Arial Unicode MS"/>
        <family val="2"/>
      </rPr>
      <t xml:space="preserve">采用值</t>
    </r>
    <r>
      <rPr>
        <sz val="9"/>
        <color rgb="FF7F7F7F"/>
        <rFont val="Microsoft YaHei"/>
        <family val="0"/>
        <charset val="1"/>
      </rPr>
      <t xml:space="preserve">/g), </t>
    </r>
    <r>
      <rPr>
        <sz val="9"/>
        <color rgb="FF7F7F7F"/>
        <rFont val="Arial Unicode MS"/>
        <family val="2"/>
      </rPr>
      <t xml:space="preserve">两矩阵引用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FCFF</t>
    </r>
    <r>
      <rPr>
        <sz val="9"/>
        <color rgb="FF7F7F7F"/>
        <rFont val="Arial Unicode MS"/>
        <family val="2"/>
      </rPr>
      <t xml:space="preserve">与</t>
    </r>
    <r>
      <rPr>
        <sz val="9"/>
        <color rgb="FF7F7F7F"/>
        <rFont val="Microsoft YaHei"/>
        <family val="0"/>
        <charset val="1"/>
      </rPr>
      <t xml:space="preserve">Equity_Roll</t>
    </r>
    <r>
      <rPr>
        <sz val="9"/>
        <color rgb="FF7F7F7F"/>
        <rFont val="Arial Unicode MS"/>
        <family val="2"/>
      </rPr>
      <t xml:space="preserve">稀释股数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另附</t>
    </r>
    <r>
      <rPr>
        <sz val="9"/>
        <color rgb="FF7F7F7F"/>
        <rFont val="Microsoft YaHei"/>
        <family val="0"/>
        <charset val="1"/>
      </rPr>
      <t xml:space="preserve">DPO</t>
    </r>
    <r>
      <rPr>
        <sz val="9"/>
        <color rgb="FF7F7F7F"/>
        <rFont val="Arial Unicode MS"/>
        <family val="2"/>
      </rPr>
      <t xml:space="preserve">单维敏感性</t>
    </r>
  </si>
  <si>
    <r>
      <rPr>
        <b val="true"/>
        <sz val="10"/>
        <color rgb="FF1F3864"/>
        <rFont val="Arial Unicode MS"/>
        <family val="2"/>
      </rPr>
      <t xml:space="preserve">矩阵一</t>
    </r>
    <r>
      <rPr>
        <b val="true"/>
        <sz val="10"/>
        <color rgb="FF1F3864"/>
        <rFont val="Microsoft YaHei"/>
        <family val="0"/>
        <charset val="1"/>
      </rPr>
      <t xml:space="preserve">: DCF</t>
    </r>
    <r>
      <rPr>
        <b val="true"/>
        <sz val="10"/>
        <color rgb="FF1F3864"/>
        <rFont val="Arial Unicode MS"/>
        <family val="2"/>
      </rPr>
      <t xml:space="preserve">每股价值 — </t>
    </r>
    <r>
      <rPr>
        <b val="true"/>
        <sz val="10"/>
        <color rgb="FF1F3864"/>
        <rFont val="Microsoft YaHei"/>
        <family val="0"/>
        <charset val="1"/>
      </rPr>
      <t xml:space="preserve">WACC × </t>
    </r>
    <r>
      <rPr>
        <b val="true"/>
        <sz val="10"/>
        <color rgb="FF1F3864"/>
        <rFont val="Arial Unicode MS"/>
        <family val="2"/>
      </rPr>
      <t xml:space="preserve">永续增长率</t>
    </r>
    <r>
      <rPr>
        <b val="true"/>
        <sz val="10"/>
        <color rgb="FF1F3864"/>
        <rFont val="Microsoft YaHei"/>
        <family val="0"/>
        <charset val="1"/>
      </rPr>
      <t xml:space="preserve">g (</t>
    </r>
    <r>
      <rPr>
        <b val="true"/>
        <sz val="10"/>
        <color rgb="FF1F3864"/>
        <rFont val="Arial Unicode MS"/>
        <family val="2"/>
      </rPr>
      <t xml:space="preserve">年中折现</t>
    </r>
    <r>
      <rPr>
        <b val="true"/>
        <sz val="10"/>
        <color rgb="FF1F3864"/>
        <rFont val="Microsoft YaHei"/>
        <family val="0"/>
        <charset val="1"/>
      </rPr>
      <t xml:space="preserve">, </t>
    </r>
    <r>
      <rPr>
        <b val="true"/>
        <sz val="10"/>
        <color rgb="FF1F3864"/>
        <rFont val="Arial Unicode MS"/>
        <family val="2"/>
      </rPr>
      <t xml:space="preserve">与</t>
    </r>
    <r>
      <rPr>
        <b val="true"/>
        <sz val="10"/>
        <color rgb="FF1F3864"/>
        <rFont val="Microsoft YaHei"/>
        <family val="0"/>
        <charset val="1"/>
      </rPr>
      <t xml:space="preserve">DCF</t>
    </r>
    <r>
      <rPr>
        <b val="true"/>
        <sz val="10"/>
        <color rgb="FF1F3864"/>
        <rFont val="Arial Unicode MS"/>
        <family val="2"/>
      </rPr>
      <t xml:space="preserve">页同口径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</si>
  <si>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t xml:space="preserve">WACC \ g</t>
  </si>
  <si>
    <r>
      <rPr>
        <sz val="9"/>
        <color rgb="FF7F7F7F"/>
        <rFont val="Arial Unicode MS"/>
        <family val="2"/>
      </rPr>
      <t xml:space="preserve">高亮格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当前采用值</t>
    </r>
    <r>
      <rPr>
        <sz val="9"/>
        <color rgb="FF7F7F7F"/>
        <rFont val="Microsoft YaHei"/>
        <family val="0"/>
        <charset val="1"/>
      </rPr>
      <t xml:space="preserve">(WACC/g</t>
    </r>
    <r>
      <rPr>
        <sz val="9"/>
        <color rgb="FF7F7F7F"/>
        <rFont val="Arial Unicode MS"/>
        <family val="2"/>
      </rPr>
      <t xml:space="preserve">轴自动对中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与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页同为年中折现口径</t>
    </r>
  </si>
  <si>
    <r>
      <rPr>
        <b val="true"/>
        <sz val="10"/>
        <color rgb="FF1F3864"/>
        <rFont val="Arial Unicode MS"/>
        <family val="2"/>
      </rPr>
      <t xml:space="preserve">矩阵二</t>
    </r>
    <r>
      <rPr>
        <b val="true"/>
        <sz val="10"/>
        <color rgb="FF1F3864"/>
        <rFont val="Microsoft YaHei"/>
        <family val="0"/>
        <charset val="1"/>
      </rPr>
      <t xml:space="preserve">: </t>
    </r>
    <r>
      <rPr>
        <b val="true"/>
        <sz val="10"/>
        <color rgb="FF1F3864"/>
        <rFont val="Arial Unicode MS"/>
        <family val="2"/>
      </rPr>
      <t xml:space="preserve">股价 — </t>
    </r>
    <r>
      <rPr>
        <b val="true"/>
        <sz val="10"/>
        <color rgb="FF1F3864"/>
        <rFont val="Microsoft YaHei"/>
        <family val="0"/>
        <charset val="1"/>
      </rPr>
      <t xml:space="preserve">2026E</t>
    </r>
    <r>
      <rPr>
        <b val="true"/>
        <sz val="10"/>
        <color rgb="FF1F3864"/>
        <rFont val="Arial Unicode MS"/>
        <family val="2"/>
      </rPr>
      <t xml:space="preserve">归母增速 </t>
    </r>
    <r>
      <rPr>
        <b val="true"/>
        <sz val="10"/>
        <color rgb="FF1F3864"/>
        <rFont val="Microsoft YaHei"/>
        <family val="0"/>
        <charset val="1"/>
      </rPr>
      <t xml:space="preserve">× </t>
    </r>
    <r>
      <rPr>
        <b val="true"/>
        <sz val="10"/>
        <color rgb="FF1F3864"/>
        <rFont val="Arial Unicode MS"/>
        <family val="2"/>
      </rPr>
      <t xml:space="preserve">目标</t>
    </r>
    <r>
      <rPr>
        <b val="true"/>
        <sz val="10"/>
        <color rgb="FF1F3864"/>
        <rFont val="Microsoft YaHei"/>
        <family val="0"/>
        <charset val="1"/>
      </rPr>
      <t xml:space="preserve">PE (2025A</t>
    </r>
    <r>
      <rPr>
        <b val="true"/>
        <sz val="10"/>
        <color rgb="FF1F3864"/>
        <rFont val="Arial Unicode MS"/>
        <family val="2"/>
      </rPr>
      <t xml:space="preserve">归母</t>
    </r>
    <r>
      <rPr>
        <b val="true"/>
        <sz val="10"/>
        <color rgb="FF1F3864"/>
        <rFont val="Microsoft YaHei"/>
        <family val="0"/>
        <charset val="1"/>
      </rPr>
      <t xml:space="preserve">685</t>
    </r>
    <r>
      <rPr>
        <b val="true"/>
        <sz val="10"/>
        <color rgb="FF1F3864"/>
        <rFont val="Arial Unicode MS"/>
        <family val="2"/>
      </rPr>
      <t xml:space="preserve">百万为基数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</si>
  <si>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2026E</t>
    </r>
    <r>
      <rPr>
        <b val="true"/>
        <sz val="10"/>
        <color rgb="FF000000"/>
        <rFont val="Arial Unicode MS"/>
        <family val="2"/>
      </rPr>
      <t xml:space="preserve">归母增速 </t>
    </r>
    <r>
      <rPr>
        <b val="true"/>
        <sz val="10"/>
        <color rgb="FF000000"/>
        <rFont val="Microsoft YaHei"/>
        <family val="0"/>
        <charset val="1"/>
      </rPr>
      <t xml:space="preserve">\ PE</t>
    </r>
  </si>
  <si>
    <r>
      <rPr>
        <sz val="9"/>
        <color rgb="FF7F7F7F"/>
        <rFont val="Arial Unicode MS"/>
        <family val="2"/>
      </rPr>
      <t xml:space="preserve">高亮行≈模型自动外推增速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矩阵与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独立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供交叉验证</t>
    </r>
  </si>
  <si>
    <r>
      <rPr>
        <b val="true"/>
        <sz val="10"/>
        <color rgb="FF1F3864"/>
        <rFont val="Arial Unicode MS"/>
        <family val="2"/>
      </rPr>
      <t xml:space="preserve">矩阵三</t>
    </r>
    <r>
      <rPr>
        <b val="true"/>
        <sz val="10"/>
        <color rgb="FF1F3864"/>
        <rFont val="Microsoft YaHei"/>
        <family val="0"/>
        <charset val="1"/>
      </rPr>
      <t xml:space="preserve">: DPO</t>
    </r>
    <r>
      <rPr>
        <b val="true"/>
        <sz val="10"/>
        <color rgb="FF1F3864"/>
        <rFont val="Arial Unicode MS"/>
        <family val="2"/>
      </rPr>
      <t xml:space="preserve">单维敏感性 — 应付天数变动 </t>
    </r>
    <r>
      <rPr>
        <b val="true"/>
        <sz val="10"/>
        <color rgb="FF1F3864"/>
        <rFont val="Microsoft YaHei"/>
        <family val="0"/>
        <charset val="1"/>
      </rPr>
      <t xml:space="preserve">× DCF</t>
    </r>
    <r>
      <rPr>
        <b val="true"/>
        <sz val="10"/>
        <color rgb="FF1F3864"/>
        <rFont val="Arial Unicode MS"/>
        <family val="2"/>
      </rPr>
      <t xml:space="preserve">每股价值</t>
    </r>
  </si>
  <si>
    <r>
      <rPr>
        <b val="true"/>
        <sz val="10"/>
        <color rgb="FF000000"/>
        <rFont val="Microsoft YaHei"/>
        <family val="0"/>
        <charset val="1"/>
      </rPr>
      <t xml:space="preserve">DPO</t>
    </r>
    <r>
      <rPr>
        <b val="true"/>
        <sz val="10"/>
        <color rgb="FF000000"/>
        <rFont val="Arial Unicode MS"/>
        <family val="2"/>
      </rPr>
      <t xml:space="preserve">变动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天</t>
    </r>
    <r>
      <rPr>
        <b val="true"/>
        <sz val="10"/>
        <color rgb="FF000000"/>
        <rFont val="Microsoft YaHei"/>
        <family val="0"/>
        <charset val="1"/>
      </rPr>
      <t xml:space="preserve">) \ </t>
    </r>
    <r>
      <rPr>
        <b val="true"/>
        <sz val="10"/>
        <color rgb="FF000000"/>
        <rFont val="Arial Unicode MS"/>
        <family val="2"/>
      </rPr>
      <t xml:space="preserve">每股价值</t>
    </r>
  </si>
  <si>
    <r>
      <rPr>
        <b val="true"/>
        <sz val="10"/>
        <color rgb="FF000000"/>
        <rFont val="Arial Unicode MS"/>
        <family val="2"/>
      </rPr>
      <t xml:space="preserve">每股价值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美元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股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</si>
  <si>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vs</t>
    </r>
    <r>
      <rPr>
        <b val="true"/>
        <sz val="10"/>
        <color rgb="FF000000"/>
        <rFont val="Arial Unicode MS"/>
        <family val="2"/>
      </rPr>
      <t xml:space="preserve">基准</t>
    </r>
  </si>
  <si>
    <r>
      <rPr>
        <sz val="9"/>
        <color rgb="FF7F7F7F"/>
        <rFont val="Arial Unicode MS"/>
        <family val="2"/>
      </rPr>
      <t xml:space="preserve">机制</t>
    </r>
    <r>
      <rPr>
        <sz val="9"/>
        <color rgb="FF7F7F7F"/>
        <rFont val="Microsoft YaHei"/>
        <family val="0"/>
        <charset val="1"/>
      </rPr>
      <t xml:space="preserve">: DPO</t>
    </r>
    <r>
      <rPr>
        <sz val="9"/>
        <color rgb="FF7F7F7F"/>
        <rFont val="Arial Unicode MS"/>
        <family val="2"/>
      </rPr>
      <t xml:space="preserve">变动</t>
    </r>
    <r>
      <rPr>
        <sz val="9"/>
        <color rgb="FF7F7F7F"/>
        <rFont val="Microsoft YaHei"/>
        <family val="0"/>
        <charset val="1"/>
      </rPr>
      <t xml:space="preserve">δ→</t>
    </r>
    <r>
      <rPr>
        <sz val="9"/>
        <color rgb="FF7F7F7F"/>
        <rFont val="Arial Unicode MS"/>
        <family val="2"/>
      </rPr>
      <t xml:space="preserve">应付变动→</t>
    </r>
    <r>
      <rPr>
        <sz val="9"/>
        <color rgb="FF7F7F7F"/>
        <rFont val="Microsoft YaHei"/>
        <family val="0"/>
        <charset val="1"/>
      </rPr>
      <t xml:space="preserve">ΔNWC</t>
    </r>
    <r>
      <rPr>
        <sz val="9"/>
        <color rgb="FF7F7F7F"/>
        <rFont val="Arial Unicode MS"/>
        <family val="2"/>
      </rPr>
      <t xml:space="preserve">变动→</t>
    </r>
    <r>
      <rPr>
        <sz val="9"/>
        <color rgb="FF7F7F7F"/>
        <rFont val="Microsoft YaHei"/>
        <family val="0"/>
        <charset val="1"/>
      </rPr>
      <t xml:space="preserve">FCFF</t>
    </r>
    <r>
      <rPr>
        <sz val="9"/>
        <color rgb="FF7F7F7F"/>
        <rFont val="Arial Unicode MS"/>
        <family val="2"/>
      </rPr>
      <t xml:space="preserve">一阶调整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首年按全额</t>
    </r>
    <r>
      <rPr>
        <sz val="9"/>
        <color rgb="FF7F7F7F"/>
        <rFont val="Microsoft YaHei"/>
        <family val="0"/>
        <charset val="1"/>
      </rPr>
      <t xml:space="preserve">COGS</t>
    </r>
    <r>
      <rPr>
        <sz val="9"/>
        <color rgb="FF7F7F7F"/>
        <rFont val="Arial Unicode MS"/>
        <family val="2"/>
      </rPr>
      <t xml:space="preserve">重定价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以后年按</t>
    </r>
    <r>
      <rPr>
        <sz val="9"/>
        <color rgb="FF7F7F7F"/>
        <rFont val="Microsoft YaHei"/>
        <family val="0"/>
        <charset val="1"/>
      </rPr>
      <t xml:space="preserve">ΔCOGS; </t>
    </r>
    <r>
      <rPr>
        <sz val="9"/>
        <color rgb="FF7F7F7F"/>
        <rFont val="Arial Unicode MS"/>
        <family val="2"/>
      </rPr>
      <t xml:space="preserve">未反映利息二阶效应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金额小</t>
    </r>
    <r>
      <rPr>
        <sz val="9"/>
        <color rgb="FF7F7F7F"/>
        <rFont val="Microsoft YaHei"/>
        <family val="0"/>
        <charset val="1"/>
      </rPr>
      <t xml:space="preserve">); δ=0</t>
    </r>
    <r>
      <rPr>
        <sz val="9"/>
        <color rgb="FF7F7F7F"/>
        <rFont val="Arial Unicode MS"/>
        <family val="2"/>
      </rPr>
      <t xml:space="preserve">格</t>
    </r>
    <r>
      <rPr>
        <sz val="9"/>
        <color rgb="FF7F7F7F"/>
        <rFont val="Microsoft YaHei"/>
        <family val="0"/>
        <charset val="1"/>
      </rPr>
      <t xml:space="preserve">=DCF</t>
    </r>
    <r>
      <rPr>
        <sz val="9"/>
        <color rgb="FF7F7F7F"/>
        <rFont val="Arial Unicode MS"/>
        <family val="2"/>
      </rPr>
      <t xml:space="preserve">基准</t>
    </r>
  </si>
  <si>
    <r>
      <rPr>
        <sz val="9"/>
        <color rgb="FF7F7F7F"/>
        <rFont val="Microsoft YaHei"/>
        <family val="0"/>
        <charset val="1"/>
      </rPr>
      <t xml:space="preserve">DPO</t>
    </r>
    <r>
      <rPr>
        <sz val="9"/>
        <color rgb="FF7F7F7F"/>
        <rFont val="Arial Unicode MS"/>
        <family val="2"/>
      </rPr>
      <t xml:space="preserve">每</t>
    </r>
    <r>
      <rPr>
        <sz val="9"/>
        <color rgb="FF7F7F7F"/>
        <rFont val="Microsoft YaHei"/>
        <family val="0"/>
        <charset val="1"/>
      </rPr>
      <t xml:space="preserve">±20</t>
    </r>
    <r>
      <rPr>
        <sz val="9"/>
        <color rgb="FF7F7F7F"/>
        <rFont val="Arial Unicode MS"/>
        <family val="2"/>
      </rPr>
      <t xml:space="preserve">天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首年≈</t>
    </r>
    <r>
      <rPr>
        <sz val="9"/>
        <color rgb="FF7F7F7F"/>
        <rFont val="Microsoft YaHei"/>
        <family val="0"/>
        <charset val="1"/>
      </rPr>
      <t xml:space="preserve">FCFF±(</t>
    </r>
    <r>
      <rPr>
        <sz val="9"/>
        <color rgb="FF7F7F7F"/>
        <rFont val="Arial Unicode MS"/>
        <family val="2"/>
      </rPr>
      <t xml:space="preserve">营业成本</t>
    </r>
    <r>
      <rPr>
        <sz val="9"/>
        <color rgb="FF7F7F7F"/>
        <rFont val="Microsoft YaHei"/>
        <family val="0"/>
        <charset val="1"/>
      </rPr>
      <t xml:space="preserve">×20/365), </t>
    </r>
    <r>
      <rPr>
        <sz val="9"/>
        <color rgb="FF7F7F7F"/>
        <rFont val="Arial Unicode MS"/>
        <family val="2"/>
      </rPr>
      <t xml:space="preserve">以后年≈</t>
    </r>
    <r>
      <rPr>
        <sz val="9"/>
        <color rgb="FF7F7F7F"/>
        <rFont val="Microsoft YaHei"/>
        <family val="0"/>
        <charset val="1"/>
      </rPr>
      <t xml:space="preserve">±(Δ</t>
    </r>
    <r>
      <rPr>
        <sz val="9"/>
        <color rgb="FF7F7F7F"/>
        <rFont val="Arial Unicode MS"/>
        <family val="2"/>
      </rPr>
      <t xml:space="preserve">营业成本</t>
    </r>
    <r>
      <rPr>
        <sz val="9"/>
        <color rgb="FF7F7F7F"/>
        <rFont val="Microsoft YaHei"/>
        <family val="0"/>
        <charset val="1"/>
      </rPr>
      <t xml:space="preserve">×20/365); </t>
    </r>
    <r>
      <rPr>
        <sz val="9"/>
        <color rgb="FF7F7F7F"/>
        <rFont val="Arial Unicode MS"/>
        <family val="2"/>
      </rPr>
      <t xml:space="preserve">基准</t>
    </r>
    <r>
      <rPr>
        <sz val="9"/>
        <color rgb="FF7F7F7F"/>
        <rFont val="Microsoft YaHei"/>
        <family val="0"/>
        <charset val="1"/>
      </rPr>
      <t xml:space="preserve">DPO</t>
    </r>
    <r>
      <rPr>
        <sz val="9"/>
        <color rgb="FF7F7F7F"/>
        <rFont val="Arial Unicode MS"/>
        <family val="2"/>
      </rPr>
      <t xml:space="preserve">路径见</t>
    </r>
    <r>
      <rPr>
        <sz val="9"/>
        <color rgb="FF7F7F7F"/>
        <rFont val="Microsoft YaHei"/>
        <family val="0"/>
        <charset val="1"/>
      </rPr>
      <t xml:space="preserve">Assumptions(147→147</t>
    </r>
    <r>
      <rPr>
        <sz val="9"/>
        <color rgb="FF7F7F7F"/>
        <rFont val="Arial Unicode MS"/>
        <family val="2"/>
      </rPr>
      <t xml:space="preserve">天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</si>
  <si>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3"/>
        <color rgb="FFFFFFFF"/>
        <rFont val="Arial Unicode MS"/>
        <family val="2"/>
      </rPr>
      <t xml:space="preserve">中芯国际 — </t>
    </r>
    <r>
      <rPr>
        <b val="true"/>
        <sz val="13"/>
        <color rgb="FFFFFFFF"/>
        <rFont val="Microsoft YaHei"/>
        <family val="0"/>
        <charset val="1"/>
      </rPr>
      <t xml:space="preserve">Scenarios </t>
    </r>
    <r>
      <rPr>
        <b val="true"/>
        <sz val="13"/>
        <color rgb="FFFFFFFF"/>
        <rFont val="Arial Unicode MS"/>
        <family val="2"/>
      </rPr>
      <t xml:space="preserve">熊</t>
    </r>
    <r>
      <rPr>
        <b val="true"/>
        <sz val="13"/>
        <color rgb="FFFFFFFF"/>
        <rFont val="Microsoft YaHei"/>
        <family val="0"/>
        <charset val="1"/>
      </rPr>
      <t xml:space="preserve">/</t>
    </r>
    <r>
      <rPr>
        <b val="true"/>
        <sz val="13"/>
        <color rgb="FFFFFFFF"/>
        <rFont val="Arial Unicode MS"/>
        <family val="2"/>
      </rPr>
      <t xml:space="preserve">基</t>
    </r>
    <r>
      <rPr>
        <b val="true"/>
        <sz val="13"/>
        <color rgb="FFFFFFFF"/>
        <rFont val="Microsoft YaHei"/>
        <family val="0"/>
        <charset val="1"/>
      </rPr>
      <t xml:space="preserve">/</t>
    </r>
    <r>
      <rPr>
        <b val="true"/>
        <sz val="13"/>
        <color rgb="FFFFFFFF"/>
        <rFont val="Arial Unicode MS"/>
        <family val="2"/>
      </rPr>
      <t xml:space="preserve">牛三情景估值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</si>
  <si>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美元百万元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财报口径</t>
    </r>
    <r>
      <rPr>
        <sz val="9"/>
        <color rgb="FF7F7F7F"/>
        <rFont val="Microsoft YaHei"/>
        <family val="0"/>
        <charset val="1"/>
      </rPr>
      <t xml:space="preserve">) | </t>
    </r>
    <r>
      <rPr>
        <sz val="9"/>
        <color rgb="FF7F7F7F"/>
        <rFont val="Arial Unicode MS"/>
        <family val="2"/>
      </rPr>
      <t xml:space="preserve">基准估值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主模型输出</t>
    </r>
    <r>
      <rPr>
        <sz val="9"/>
        <color rgb="FF7F7F7F"/>
        <rFont val="Microsoft YaHei"/>
        <family val="0"/>
        <charset val="1"/>
      </rPr>
      <t xml:space="preserve">(DCF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/IS</t>
    </r>
    <r>
      <rPr>
        <sz val="9"/>
        <color rgb="FF7F7F7F"/>
        <rFont val="Arial Unicode MS"/>
        <family val="2"/>
      </rPr>
      <t xml:space="preserve">页直接引用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熊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牛保留简化净利率法并附桥接说明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折现为年中口径与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一致</t>
    </r>
  </si>
  <si>
    <t xml:space="preserve">情景开关当前值</t>
  </si>
  <si>
    <r>
      <rPr>
        <sz val="9"/>
        <color rgb="FF7F7F7F"/>
        <rFont val="Arial Unicode MS"/>
        <family val="2"/>
      </rPr>
      <t xml:space="preserve">主模型</t>
    </r>
    <r>
      <rPr>
        <sz val="9"/>
        <color rgb="FF7F7F7F"/>
        <rFont val="Microsoft YaHei"/>
        <family val="0"/>
        <charset val="1"/>
      </rPr>
      <t xml:space="preserve">(IS/BS/CF/FIN/DCF)</t>
    </r>
    <r>
      <rPr>
        <sz val="9"/>
        <color rgb="FF7F7F7F"/>
        <rFont val="Arial Unicode MS"/>
        <family val="2"/>
      </rPr>
      <t xml:space="preserve">随开关切换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本页熊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基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牛横向比较全部采用同一简化引擎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主模型另列桥接</t>
    </r>
  </si>
  <si>
    <r>
      <rPr>
        <sz val="10"/>
        <color rgb="FF000000"/>
        <rFont val="Arial Unicode MS"/>
        <family val="2"/>
      </rPr>
      <t xml:space="preserve">基准</t>
    </r>
    <r>
      <rPr>
        <sz val="10"/>
        <color rgb="FF000000"/>
        <rFont val="Microsoft YaHei"/>
        <family val="0"/>
        <charset val="1"/>
      </rPr>
      <t xml:space="preserve">NWC/</t>
    </r>
    <r>
      <rPr>
        <sz val="10"/>
        <color rgb="FF000000"/>
        <rFont val="Arial Unicode MS"/>
        <family val="2"/>
      </rPr>
      <t xml:space="preserve">收入密度</t>
    </r>
    <r>
      <rPr>
        <sz val="10"/>
        <color rgb="FF000000"/>
        <rFont val="Microsoft YaHei"/>
        <family val="0"/>
        <charset val="1"/>
      </rPr>
      <t xml:space="preserve">ρ</t>
    </r>
  </si>
  <si>
    <r>
      <rPr>
        <sz val="9"/>
        <color rgb="FF7F7F7F"/>
        <rFont val="Arial Unicode MS"/>
        <family val="2"/>
      </rPr>
      <t xml:space="preserve">情景页</t>
    </r>
    <r>
      <rPr>
        <sz val="9"/>
        <color rgb="FF7F7F7F"/>
        <rFont val="Microsoft YaHei"/>
        <family val="0"/>
        <charset val="1"/>
      </rPr>
      <t xml:space="preserve">ΔNWC=</t>
    </r>
    <r>
      <rPr>
        <sz val="9"/>
        <color rgb="FF7F7F7F"/>
        <rFont val="Arial Unicode MS"/>
        <family val="2"/>
      </rPr>
      <t xml:space="preserve">收入增量</t>
    </r>
    <r>
      <rPr>
        <sz val="9"/>
        <color rgb="FF7F7F7F"/>
        <rFont val="Microsoft YaHei"/>
        <family val="0"/>
        <charset val="1"/>
      </rPr>
      <t xml:space="preserve">×ρ(</t>
    </r>
    <r>
      <rPr>
        <sz val="9"/>
        <color rgb="FF7F7F7F"/>
        <rFont val="Arial Unicode MS"/>
        <family val="2"/>
      </rPr>
      <t xml:space="preserve">负密度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现金流来源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熊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基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牛同一简化引擎均使用</t>
    </r>
  </si>
  <si>
    <r>
      <rPr>
        <b val="true"/>
        <sz val="10"/>
        <color rgb="FF1F3864"/>
        <rFont val="Arial Unicode MS"/>
        <family val="2"/>
      </rPr>
      <t xml:space="preserve">熊市 </t>
    </r>
    <r>
      <rPr>
        <b val="true"/>
        <sz val="10"/>
        <color rgb="FF1F3864"/>
        <rFont val="Microsoft YaHei"/>
        <family val="0"/>
        <charset val="1"/>
      </rPr>
      <t xml:space="preserve">Bear — </t>
    </r>
    <r>
      <rPr>
        <b val="true"/>
        <sz val="10"/>
        <color rgb="FF1F3864"/>
        <rFont val="Arial Unicode MS"/>
        <family val="2"/>
      </rPr>
      <t xml:space="preserve">收入增速调整</t>
    </r>
    <r>
      <rPr>
        <b val="true"/>
        <sz val="10"/>
        <color rgb="FF1F3864"/>
        <rFont val="Microsoft YaHei"/>
        <family val="0"/>
        <charset val="1"/>
      </rPr>
      <t xml:space="preserve">/</t>
    </r>
    <r>
      <rPr>
        <b val="true"/>
        <sz val="10"/>
        <color rgb="FF1F3864"/>
        <rFont val="Arial Unicode MS"/>
        <family val="2"/>
      </rPr>
      <t xml:space="preserve">净利率调整引用</t>
    </r>
    <r>
      <rPr>
        <b val="true"/>
        <sz val="10"/>
        <color rgb="FF1F3864"/>
        <rFont val="Microsoft YaHei"/>
        <family val="0"/>
        <charset val="1"/>
      </rPr>
      <t xml:space="preserve">Assumptions</t>
    </r>
    <r>
      <rPr>
        <b val="true"/>
        <sz val="10"/>
        <color rgb="FF1F3864"/>
        <rFont val="Arial Unicode MS"/>
        <family val="2"/>
      </rPr>
      <t xml:space="preserve">第</t>
    </r>
    <r>
      <rPr>
        <b val="true"/>
        <sz val="10"/>
        <color rgb="FF1F3864"/>
        <rFont val="Microsoft YaHei"/>
        <family val="0"/>
        <charset val="1"/>
      </rPr>
      <t xml:space="preserve">88</t>
    </r>
    <r>
      <rPr>
        <b val="true"/>
        <sz val="10"/>
        <color rgb="FF1F3864"/>
        <rFont val="Arial Unicode MS"/>
        <family val="2"/>
      </rPr>
      <t xml:space="preserve">行</t>
    </r>
  </si>
  <si>
    <t xml:space="preserve">归母净利率</t>
  </si>
  <si>
    <r>
      <rPr>
        <sz val="10"/>
        <color rgb="FF000000"/>
        <rFont val="Microsoft YaHei"/>
        <family val="0"/>
        <charset val="1"/>
      </rPr>
      <t xml:space="preserve">FCFF (</t>
    </r>
    <r>
      <rPr>
        <sz val="10"/>
        <color rgb="FF000000"/>
        <rFont val="Arial Unicode MS"/>
        <family val="2"/>
      </rPr>
      <t xml:space="preserve">简化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</si>
  <si>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DCF</t>
    </r>
    <r>
      <rPr>
        <b val="true"/>
        <sz val="10"/>
        <color rgb="FF000000"/>
        <rFont val="Arial Unicode MS"/>
        <family val="2"/>
      </rPr>
      <t xml:space="preserve">每股价值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美元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股</t>
    </r>
    <r>
      <rPr>
        <b val="true"/>
        <sz val="10"/>
        <color rgb="FF000000"/>
        <rFont val="Microsoft YaHei"/>
        <family val="0"/>
        <charset val="1"/>
      </rPr>
      <t xml:space="preserve">, </t>
    </r>
    <r>
      <rPr>
        <b val="true"/>
        <sz val="10"/>
        <color rgb="FF000000"/>
        <rFont val="Arial Unicode MS"/>
        <family val="2"/>
      </rPr>
      <t xml:space="preserve">简化法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</si>
  <si>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简化净利率法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年中折现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熊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基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牛均使用相同</t>
    </r>
    <r>
      <rPr>
        <sz val="9"/>
        <color rgb="FF7F7F7F"/>
        <rFont val="Microsoft YaHei"/>
        <family val="0"/>
        <charset val="1"/>
      </rPr>
      <t xml:space="preserve">FCFF</t>
    </r>
    <r>
      <rPr>
        <sz val="9"/>
        <color rgb="FF7F7F7F"/>
        <rFont val="Arial Unicode MS"/>
        <family val="2"/>
      </rPr>
      <t xml:space="preserve">、</t>
    </r>
    <r>
      <rPr>
        <sz val="9"/>
        <color rgb="FF7F7F7F"/>
        <rFont val="Microsoft YaHei"/>
        <family val="0"/>
        <charset val="1"/>
      </rPr>
      <t xml:space="preserve">WACC/g</t>
    </r>
    <r>
      <rPr>
        <sz val="9"/>
        <color rgb="FF7F7F7F"/>
        <rFont val="Arial Unicode MS"/>
        <family val="2"/>
      </rPr>
      <t xml:space="preserve">及净现金桥口径</t>
    </r>
  </si>
  <si>
    <r>
      <rPr>
        <b val="true"/>
        <sz val="10"/>
        <color rgb="FF000000"/>
        <rFont val="Arial Unicode MS"/>
        <family val="2"/>
      </rPr>
      <t xml:space="preserve">相对估值股价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美元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股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</si>
  <si>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＝情景</t>
    </r>
    <r>
      <rPr>
        <sz val="9"/>
        <color rgb="FF7F7F7F"/>
        <rFont val="Microsoft YaHei"/>
        <family val="0"/>
        <charset val="1"/>
      </rPr>
      <t xml:space="preserve">2026E</t>
    </r>
    <r>
      <rPr>
        <sz val="9"/>
        <color rgb="FF7F7F7F"/>
        <rFont val="Arial Unicode MS"/>
        <family val="2"/>
      </rPr>
      <t xml:space="preserve">归母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计价可比中位</t>
    </r>
    <r>
      <rPr>
        <sz val="9"/>
        <color rgb="FF7F7F7F"/>
        <rFont val="Microsoft YaHei"/>
        <family val="0"/>
        <charset val="1"/>
      </rPr>
      <t xml:space="preserve">2026E PE/</t>
    </r>
    <r>
      <rPr>
        <sz val="9"/>
        <color rgb="FF7F7F7F"/>
        <rFont val="Arial Unicode MS"/>
        <family val="2"/>
      </rPr>
      <t xml:space="preserve">稀释股数</t>
    </r>
  </si>
  <si>
    <r>
      <rPr>
        <b val="true"/>
        <sz val="10"/>
        <color rgb="FF1F3864"/>
        <rFont val="Arial Unicode MS"/>
        <family val="2"/>
      </rPr>
      <t xml:space="preserve">基准 </t>
    </r>
    <r>
      <rPr>
        <b val="true"/>
        <sz val="10"/>
        <color rgb="FF1F3864"/>
        <rFont val="Microsoft YaHei"/>
        <family val="0"/>
        <charset val="1"/>
      </rPr>
      <t xml:space="preserve">Base — </t>
    </r>
    <r>
      <rPr>
        <b val="true"/>
        <sz val="10"/>
        <color rgb="FF1F3864"/>
        <rFont val="Arial Unicode MS"/>
        <family val="2"/>
      </rPr>
      <t xml:space="preserve">收入增速调整</t>
    </r>
    <r>
      <rPr>
        <b val="true"/>
        <sz val="10"/>
        <color rgb="FF1F3864"/>
        <rFont val="Microsoft YaHei"/>
        <family val="0"/>
        <charset val="1"/>
      </rPr>
      <t xml:space="preserve">/</t>
    </r>
    <r>
      <rPr>
        <b val="true"/>
        <sz val="10"/>
        <color rgb="FF1F3864"/>
        <rFont val="Arial Unicode MS"/>
        <family val="2"/>
      </rPr>
      <t xml:space="preserve">净利率调整引用</t>
    </r>
    <r>
      <rPr>
        <b val="true"/>
        <sz val="10"/>
        <color rgb="FF1F3864"/>
        <rFont val="Microsoft YaHei"/>
        <family val="0"/>
        <charset val="1"/>
      </rPr>
      <t xml:space="preserve">Assumptions</t>
    </r>
    <r>
      <rPr>
        <b val="true"/>
        <sz val="10"/>
        <color rgb="FF1F3864"/>
        <rFont val="Arial Unicode MS"/>
        <family val="2"/>
      </rPr>
      <t xml:space="preserve">第</t>
    </r>
    <r>
      <rPr>
        <b val="true"/>
        <sz val="10"/>
        <color rgb="FF1F3864"/>
        <rFont val="Microsoft YaHei"/>
        <family val="0"/>
        <charset val="1"/>
      </rPr>
      <t xml:space="preserve">89</t>
    </r>
    <r>
      <rPr>
        <b val="true"/>
        <sz val="10"/>
        <color rgb="FF1F3864"/>
        <rFont val="Arial Unicode MS"/>
        <family val="2"/>
      </rPr>
      <t xml:space="preserve">行</t>
    </r>
  </si>
  <si>
    <r>
      <rPr>
        <b val="true"/>
        <sz val="10"/>
        <color rgb="FF1F3864"/>
        <rFont val="Arial Unicode MS"/>
        <family val="2"/>
      </rPr>
      <t xml:space="preserve">牛市 </t>
    </r>
    <r>
      <rPr>
        <b val="true"/>
        <sz val="10"/>
        <color rgb="FF1F3864"/>
        <rFont val="Microsoft YaHei"/>
        <family val="0"/>
        <charset val="1"/>
      </rPr>
      <t xml:space="preserve">Bull — </t>
    </r>
    <r>
      <rPr>
        <b val="true"/>
        <sz val="10"/>
        <color rgb="FF1F3864"/>
        <rFont val="Arial Unicode MS"/>
        <family val="2"/>
      </rPr>
      <t xml:space="preserve">收入增速调整</t>
    </r>
    <r>
      <rPr>
        <b val="true"/>
        <sz val="10"/>
        <color rgb="FF1F3864"/>
        <rFont val="Microsoft YaHei"/>
        <family val="0"/>
        <charset val="1"/>
      </rPr>
      <t xml:space="preserve">/</t>
    </r>
    <r>
      <rPr>
        <b val="true"/>
        <sz val="10"/>
        <color rgb="FF1F3864"/>
        <rFont val="Arial Unicode MS"/>
        <family val="2"/>
      </rPr>
      <t xml:space="preserve">净利率调整引用</t>
    </r>
    <r>
      <rPr>
        <b val="true"/>
        <sz val="10"/>
        <color rgb="FF1F3864"/>
        <rFont val="Microsoft YaHei"/>
        <family val="0"/>
        <charset val="1"/>
      </rPr>
      <t xml:space="preserve">Assumptions</t>
    </r>
    <r>
      <rPr>
        <b val="true"/>
        <sz val="10"/>
        <color rgb="FF1F3864"/>
        <rFont val="Arial Unicode MS"/>
        <family val="2"/>
      </rPr>
      <t xml:space="preserve">第</t>
    </r>
    <r>
      <rPr>
        <b val="true"/>
        <sz val="10"/>
        <color rgb="FF1F3864"/>
        <rFont val="Microsoft YaHei"/>
        <family val="0"/>
        <charset val="1"/>
      </rPr>
      <t xml:space="preserve">90</t>
    </r>
    <r>
      <rPr>
        <b val="true"/>
        <sz val="10"/>
        <color rgb="FF1F3864"/>
        <rFont val="Arial Unicode MS"/>
        <family val="2"/>
      </rPr>
      <t xml:space="preserve">行</t>
    </r>
  </si>
  <si>
    <r>
      <rPr>
        <b val="true"/>
        <sz val="10"/>
        <color rgb="FF1F3864"/>
        <rFont val="Arial Unicode MS"/>
        <family val="2"/>
      </rPr>
      <t xml:space="preserve">主模型桥接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不参与熊</t>
    </r>
    <r>
      <rPr>
        <b val="true"/>
        <sz val="10"/>
        <color rgb="FF1F3864"/>
        <rFont val="Microsoft YaHei"/>
        <family val="0"/>
        <charset val="1"/>
      </rPr>
      <t xml:space="preserve">/</t>
    </r>
    <r>
      <rPr>
        <b val="true"/>
        <sz val="10"/>
        <color rgb="FF1F3864"/>
        <rFont val="Arial Unicode MS"/>
        <family val="2"/>
      </rPr>
      <t xml:space="preserve">基</t>
    </r>
    <r>
      <rPr>
        <b val="true"/>
        <sz val="10"/>
        <color rgb="FF1F3864"/>
        <rFont val="Microsoft YaHei"/>
        <family val="0"/>
        <charset val="1"/>
      </rPr>
      <t xml:space="preserve">/</t>
    </r>
    <r>
      <rPr>
        <b val="true"/>
        <sz val="10"/>
        <color rgb="FF1F3864"/>
        <rFont val="Arial Unicode MS"/>
        <family val="2"/>
      </rPr>
      <t xml:space="preserve">牛同引擎横向替代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</si>
  <si>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主模型当前</t>
    </r>
    <r>
      <rPr>
        <b val="true"/>
        <sz val="10"/>
        <color rgb="FF000000"/>
        <rFont val="Microsoft YaHei"/>
        <family val="0"/>
        <charset val="1"/>
      </rPr>
      <t xml:space="preserve">DCF (</t>
    </r>
    <r>
      <rPr>
        <b val="true"/>
        <sz val="10"/>
        <color rgb="FF000000"/>
        <rFont val="Arial Unicode MS"/>
        <family val="2"/>
      </rPr>
      <t xml:space="preserve">美元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股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</si>
  <si>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完整三表</t>
    </r>
    <r>
      <rPr>
        <sz val="9"/>
        <color rgb="FF7F7F7F"/>
        <rFont val="Microsoft YaHei"/>
        <family val="0"/>
        <charset val="1"/>
      </rPr>
      <t xml:space="preserve">/FIN/FCFF</t>
    </r>
    <r>
      <rPr>
        <sz val="9"/>
        <color rgb="FF7F7F7F"/>
        <rFont val="Arial Unicode MS"/>
        <family val="2"/>
      </rPr>
      <t xml:space="preserve">主模型输出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当前情景由</t>
    </r>
    <r>
      <rPr>
        <sz val="9"/>
        <color rgb="FF7F7F7F"/>
        <rFont val="Microsoft YaHei"/>
        <family val="0"/>
        <charset val="1"/>
      </rPr>
      <t xml:space="preserve">Assumptions</t>
    </r>
    <r>
      <rPr>
        <sz val="9"/>
        <color rgb="FF7F7F7F"/>
        <rFont val="Arial Unicode MS"/>
        <family val="2"/>
      </rPr>
      <t xml:space="preserve">开关决定</t>
    </r>
  </si>
  <si>
    <r>
      <rPr>
        <sz val="10"/>
        <color rgb="FF000000"/>
        <rFont val="Arial Unicode MS"/>
        <family val="2"/>
      </rPr>
      <t xml:space="preserve">同引擎基准</t>
    </r>
    <r>
      <rPr>
        <sz val="10"/>
        <color rgb="FF000000"/>
        <rFont val="Microsoft YaHei"/>
        <family val="0"/>
        <charset val="1"/>
      </rPr>
      <t xml:space="preserve">DCF (</t>
    </r>
    <r>
      <rPr>
        <sz val="10"/>
        <color rgb="FF000000"/>
        <rFont val="Arial Unicode MS"/>
        <family val="2"/>
      </rPr>
      <t xml:space="preserve">美元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股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</si>
  <si>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主模型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同引擎基准 比值</t>
    </r>
  </si>
  <si>
    <r>
      <rPr>
        <sz val="9"/>
        <color rgb="FF7F7F7F"/>
        <rFont val="Arial Unicode MS"/>
        <family val="2"/>
      </rPr>
      <t xml:space="preserve">桥接差异来自</t>
    </r>
    <r>
      <rPr>
        <sz val="9"/>
        <color rgb="FF7F7F7F"/>
        <rFont val="Microsoft YaHei"/>
        <family val="0"/>
        <charset val="1"/>
      </rPr>
      <t xml:space="preserve">FIN</t>
    </r>
    <r>
      <rPr>
        <sz val="9"/>
        <color rgb="FF7F7F7F"/>
        <rFont val="Arial Unicode MS"/>
        <family val="2"/>
      </rPr>
      <t xml:space="preserve">计息、逐项营运资本与完整税务口径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不覆盖三情景简化法基准</t>
    </r>
  </si>
  <si>
    <r>
      <rPr>
        <sz val="10"/>
        <color rgb="FF000000"/>
        <rFont val="Arial Unicode MS"/>
        <family val="2"/>
      </rPr>
      <t xml:space="preserve">主模型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同引擎基准 控制状态</t>
    </r>
  </si>
  <si>
    <t xml:space="preserve">三情景汇总</t>
  </si>
  <si>
    <t xml:space="preserve">指标</t>
  </si>
  <si>
    <t xml:space="preserve">熊市</t>
  </si>
  <si>
    <t xml:space="preserve">基准</t>
  </si>
  <si>
    <t xml:space="preserve">牛市</t>
  </si>
  <si>
    <r>
      <rPr>
        <b val="true"/>
        <sz val="10"/>
        <color rgb="FF000000"/>
        <rFont val="Arial Unicode MS"/>
        <family val="2"/>
      </rPr>
      <t xml:space="preserve">熊</t>
    </r>
    <r>
      <rPr>
        <b val="true"/>
        <sz val="10"/>
        <color rgb="FF000000"/>
        <rFont val="Microsoft YaHei"/>
        <family val="0"/>
        <charset val="1"/>
      </rPr>
      <t xml:space="preserve">vs</t>
    </r>
    <r>
      <rPr>
        <b val="true"/>
        <sz val="10"/>
        <color rgb="FF000000"/>
        <rFont val="Arial Unicode MS"/>
        <family val="2"/>
      </rPr>
      <t xml:space="preserve">现价</t>
    </r>
  </si>
  <si>
    <r>
      <rPr>
        <b val="true"/>
        <sz val="10"/>
        <color rgb="FF000000"/>
        <rFont val="Arial Unicode MS"/>
        <family val="2"/>
      </rPr>
      <t xml:space="preserve">基</t>
    </r>
    <r>
      <rPr>
        <b val="true"/>
        <sz val="10"/>
        <color rgb="FF000000"/>
        <rFont val="Microsoft YaHei"/>
        <family val="0"/>
        <charset val="1"/>
      </rPr>
      <t xml:space="preserve">vs</t>
    </r>
    <r>
      <rPr>
        <b val="true"/>
        <sz val="10"/>
        <color rgb="FF000000"/>
        <rFont val="Arial Unicode MS"/>
        <family val="2"/>
      </rPr>
      <t xml:space="preserve">现价</t>
    </r>
  </si>
  <si>
    <r>
      <rPr>
        <b val="true"/>
        <sz val="10"/>
        <color rgb="FF000000"/>
        <rFont val="Arial Unicode MS"/>
        <family val="2"/>
      </rPr>
      <t xml:space="preserve">牛</t>
    </r>
    <r>
      <rPr>
        <b val="true"/>
        <sz val="10"/>
        <color rgb="FF000000"/>
        <rFont val="Microsoft YaHei"/>
        <family val="0"/>
        <charset val="1"/>
      </rPr>
      <t xml:space="preserve">vs</t>
    </r>
    <r>
      <rPr>
        <b val="true"/>
        <sz val="10"/>
        <color rgb="FF000000"/>
        <rFont val="Arial Unicode MS"/>
        <family val="2"/>
      </rPr>
      <t xml:space="preserve">现价</t>
    </r>
  </si>
  <si>
    <r>
      <rPr>
        <sz val="10"/>
        <color rgb="FF000000"/>
        <rFont val="Microsoft YaHei"/>
        <family val="0"/>
        <charset val="1"/>
      </rPr>
      <t xml:space="preserve">DCF</t>
    </r>
    <r>
      <rPr>
        <sz val="10"/>
        <color rgb="FF000000"/>
        <rFont val="Arial Unicode MS"/>
        <family val="2"/>
      </rPr>
      <t xml:space="preserve">每股价值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美元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股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</si>
  <si>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相对估值股价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美元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股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</si>
  <si>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2026E</t>
    </r>
    <r>
      <rPr>
        <sz val="10"/>
        <color rgb="FF000000"/>
        <rFont val="Arial Unicode MS"/>
        <family val="2"/>
      </rPr>
      <t xml:space="preserve">归母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百万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</si>
  <si>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3"/>
        <color rgb="FFFFFFFF"/>
        <rFont val="Arial Unicode MS"/>
        <family val="2"/>
      </rPr>
      <t xml:space="preserve">中芯国际 — </t>
    </r>
    <r>
      <rPr>
        <b val="true"/>
        <sz val="13"/>
        <color rgb="FFFFFFFF"/>
        <rFont val="Microsoft YaHei"/>
        <family val="0"/>
        <charset val="1"/>
      </rPr>
      <t xml:space="preserve">Checks </t>
    </r>
    <r>
      <rPr>
        <b val="true"/>
        <sz val="13"/>
        <color rgb="FFFFFFFF"/>
        <rFont val="Arial Unicode MS"/>
        <family val="2"/>
      </rPr>
      <t xml:space="preserve">自动校验</t>
    </r>
  </si>
  <si>
    <r>
      <rPr>
        <sz val="9"/>
        <color rgb="FF7F7F7F"/>
        <rFont val="Arial Unicode MS"/>
        <family val="2"/>
      </rPr>
      <t xml:space="preserve">所有校验为公式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应全部显示</t>
    </r>
    <r>
      <rPr>
        <sz val="9"/>
        <color rgb="FF7F7F7F"/>
        <rFont val="Microsoft YaHei"/>
        <family val="0"/>
        <charset val="1"/>
      </rPr>
      <t xml:space="preserve">TRUE; </t>
    </r>
    <r>
      <rPr>
        <sz val="9"/>
        <color rgb="FF7F7F7F"/>
        <rFont val="Arial Unicode MS"/>
        <family val="2"/>
      </rPr>
      <t xml:space="preserve">任一</t>
    </r>
    <r>
      <rPr>
        <sz val="9"/>
        <color rgb="FF7F7F7F"/>
        <rFont val="Microsoft YaHei"/>
        <family val="0"/>
        <charset val="1"/>
      </rPr>
      <t xml:space="preserve">FALSE</t>
    </r>
    <r>
      <rPr>
        <sz val="9"/>
        <color rgb="FF7F7F7F"/>
        <rFont val="Arial Unicode MS"/>
        <family val="2"/>
      </rPr>
      <t xml:space="preserve">请检查模型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容差</t>
    </r>
    <r>
      <rPr>
        <sz val="9"/>
        <color rgb="FF7F7F7F"/>
        <rFont val="Microsoft YaHei"/>
        <family val="0"/>
        <charset val="1"/>
      </rPr>
      <t xml:space="preserve">0.01</t>
    </r>
  </si>
  <si>
    <t xml:space="preserve">校验项</t>
  </si>
  <si>
    <t xml:space="preserve">说明</t>
  </si>
  <si>
    <r>
      <rPr>
        <sz val="10"/>
        <color rgb="FF000000"/>
        <rFont val="Microsoft YaHei"/>
        <family val="0"/>
        <charset val="1"/>
      </rPr>
      <t xml:space="preserve">1. BS</t>
    </r>
    <r>
      <rPr>
        <sz val="10"/>
        <color rgb="FF000000"/>
        <rFont val="Arial Unicode MS"/>
        <family val="2"/>
      </rPr>
      <t xml:space="preserve">配平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资产</t>
    </r>
    <r>
      <rPr>
        <sz val="10"/>
        <color rgb="FF000000"/>
        <rFont val="Microsoft YaHei"/>
        <family val="0"/>
        <charset val="1"/>
      </rPr>
      <t xml:space="preserve">=</t>
    </r>
    <r>
      <rPr>
        <sz val="10"/>
        <color rgb="FF000000"/>
        <rFont val="Arial Unicode MS"/>
        <family val="2"/>
      </rPr>
      <t xml:space="preserve">负债</t>
    </r>
    <r>
      <rPr>
        <sz val="10"/>
        <color rgb="FF000000"/>
        <rFont val="Microsoft YaHei"/>
        <family val="0"/>
        <charset val="1"/>
      </rPr>
      <t xml:space="preserve">+</t>
    </r>
    <r>
      <rPr>
        <sz val="10"/>
        <color rgb="FF000000"/>
        <rFont val="Arial Unicode MS"/>
        <family val="2"/>
      </rPr>
      <t xml:space="preserve">权益 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差额</t>
    </r>
    <r>
      <rPr>
        <sz val="10"/>
        <color rgb="FF000000"/>
        <rFont val="Microsoft YaHei"/>
        <family val="0"/>
        <charset val="1"/>
      </rPr>
      <t xml:space="preserve">&lt;0.01)</t>
    </r>
  </si>
  <si>
    <r>
      <rPr>
        <sz val="9"/>
        <color rgb="FF7F7F7F"/>
        <rFont val="Arial Unicode MS"/>
        <family val="2"/>
      </rPr>
      <t xml:space="preserve">差额检查行见</t>
    </r>
    <r>
      <rPr>
        <sz val="9"/>
        <color rgb="FF7F7F7F"/>
        <rFont val="Microsoft YaHei"/>
        <family val="0"/>
        <charset val="1"/>
      </rPr>
      <t xml:space="preserve">BS</t>
    </r>
    <r>
      <rPr>
        <sz val="9"/>
        <color rgb="FF7F7F7F"/>
        <rFont val="Arial Unicode MS"/>
        <family val="2"/>
      </rPr>
      <t xml:space="preserve">底部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历史尾差已清零</t>
    </r>
  </si>
  <si>
    <r>
      <rPr>
        <sz val="10"/>
        <color rgb="FF000000"/>
        <rFont val="Microsoft YaHei"/>
        <family val="0"/>
        <charset val="1"/>
      </rPr>
      <t xml:space="preserve">2. CF</t>
    </r>
    <r>
      <rPr>
        <sz val="10"/>
        <color rgb="FF000000"/>
        <rFont val="Arial Unicode MS"/>
        <family val="2"/>
      </rPr>
      <t xml:space="preserve">期末现金</t>
    </r>
    <r>
      <rPr>
        <sz val="10"/>
        <color rgb="FF000000"/>
        <rFont val="Microsoft YaHei"/>
        <family val="0"/>
        <charset val="1"/>
      </rPr>
      <t xml:space="preserve">=BS</t>
    </r>
    <r>
      <rPr>
        <sz val="10"/>
        <color rgb="FF000000"/>
        <rFont val="Arial Unicode MS"/>
        <family val="2"/>
      </rPr>
      <t xml:space="preserve">货币资金 </t>
    </r>
    <r>
      <rPr>
        <sz val="10"/>
        <color rgb="FF000000"/>
        <rFont val="Microsoft YaHei"/>
        <family val="0"/>
        <charset val="1"/>
      </rPr>
      <t xml:space="preserve">(&lt;0.01)</t>
    </r>
  </si>
  <si>
    <r>
      <rPr>
        <sz val="9"/>
        <color rgb="FF7F7F7F"/>
        <rFont val="Arial Unicode MS"/>
        <family val="2"/>
      </rPr>
      <t xml:space="preserve">预测期逐年勾稽</t>
    </r>
    <r>
      <rPr>
        <sz val="9"/>
        <color rgb="FF7F7F7F"/>
        <rFont val="Microsoft YaHei"/>
        <family val="0"/>
        <charset val="1"/>
      </rPr>
      <t xml:space="preserve">; BS</t>
    </r>
    <r>
      <rPr>
        <sz val="9"/>
        <color rgb="FF7F7F7F"/>
        <rFont val="Arial Unicode MS"/>
        <family val="2"/>
      </rPr>
      <t xml:space="preserve">现金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期末现金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最低现金</t>
    </r>
  </si>
  <si>
    <r>
      <rPr>
        <sz val="10"/>
        <color rgb="FF000000"/>
        <rFont val="Microsoft YaHei"/>
        <family val="0"/>
        <charset val="1"/>
      </rPr>
      <t xml:space="preserve">3. </t>
    </r>
    <r>
      <rPr>
        <sz val="10"/>
        <color rgb="FF000000"/>
        <rFont val="Arial Unicode MS"/>
        <family val="2"/>
      </rPr>
      <t xml:space="preserve">未分配利润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期末</t>
    </r>
    <r>
      <rPr>
        <sz val="10"/>
        <color rgb="FF000000"/>
        <rFont val="Microsoft YaHei"/>
        <family val="0"/>
        <charset val="1"/>
      </rPr>
      <t xml:space="preserve">=</t>
    </r>
    <r>
      <rPr>
        <sz val="10"/>
        <color rgb="FF000000"/>
        <rFont val="Arial Unicode MS"/>
        <family val="2"/>
      </rPr>
      <t xml:space="preserve">期初</t>
    </r>
    <r>
      <rPr>
        <sz val="10"/>
        <color rgb="FF000000"/>
        <rFont val="Microsoft YaHei"/>
        <family val="0"/>
        <charset val="1"/>
      </rPr>
      <t xml:space="preserve">+</t>
    </r>
    <r>
      <rPr>
        <sz val="10"/>
        <color rgb="FF000000"/>
        <rFont val="Arial Unicode MS"/>
        <family val="2"/>
      </rPr>
      <t xml:space="preserve">归母</t>
    </r>
    <r>
      <rPr>
        <sz val="10"/>
        <color rgb="FF000000"/>
        <rFont val="Microsoft YaHei"/>
        <family val="0"/>
        <charset val="1"/>
      </rPr>
      <t xml:space="preserve">-</t>
    </r>
    <r>
      <rPr>
        <sz val="10"/>
        <color rgb="FF000000"/>
        <rFont val="Arial Unicode MS"/>
        <family val="2"/>
      </rPr>
      <t xml:space="preserve">分红</t>
    </r>
    <r>
      <rPr>
        <sz val="10"/>
        <color rgb="FF000000"/>
        <rFont val="Microsoft YaHei"/>
        <family val="0"/>
        <charset val="1"/>
      </rPr>
      <t xml:space="preserve">-</t>
    </r>
    <r>
      <rPr>
        <sz val="10"/>
        <color rgb="FF000000"/>
        <rFont val="Arial Unicode MS"/>
        <family val="2"/>
      </rPr>
      <t xml:space="preserve">盈余公积计提</t>
    </r>
  </si>
  <si>
    <r>
      <rPr>
        <sz val="9"/>
        <color rgb="FF7F7F7F"/>
        <rFont val="Microsoft YaHei"/>
        <family val="0"/>
        <charset val="1"/>
      </rPr>
      <t xml:space="preserve">Equity_Roll</t>
    </r>
    <r>
      <rPr>
        <sz val="9"/>
        <color rgb="FF7F7F7F"/>
        <rFont val="Arial Unicode MS"/>
        <family val="2"/>
      </rPr>
      <t xml:space="preserve">滚动勾稽</t>
    </r>
  </si>
  <si>
    <r>
      <rPr>
        <sz val="10"/>
        <color rgb="FF000000"/>
        <rFont val="Microsoft YaHei"/>
        <family val="0"/>
        <charset val="1"/>
      </rPr>
      <t xml:space="preserve">4. IS</t>
    </r>
    <r>
      <rPr>
        <sz val="10"/>
        <color rgb="FF000000"/>
        <rFont val="Arial Unicode MS"/>
        <family val="2"/>
      </rPr>
      <t xml:space="preserve">收入</t>
    </r>
    <r>
      <rPr>
        <sz val="10"/>
        <color rgb="FF000000"/>
        <rFont val="Microsoft YaHei"/>
        <family val="0"/>
        <charset val="1"/>
      </rPr>
      <t xml:space="preserve">=Revenue_Segments</t>
    </r>
    <r>
      <rPr>
        <sz val="10"/>
        <color rgb="FF000000"/>
        <rFont val="Arial Unicode MS"/>
        <family val="2"/>
      </rPr>
      <t xml:space="preserve">合计</t>
    </r>
  </si>
  <si>
    <r>
      <rPr>
        <sz val="9"/>
        <color rgb="FF7F7F7F"/>
        <rFont val="Arial Unicode MS"/>
        <family val="2"/>
      </rPr>
      <t xml:space="preserve">分部合计自动汇总进</t>
    </r>
    <r>
      <rPr>
        <sz val="9"/>
        <color rgb="FF7F7F7F"/>
        <rFont val="Microsoft YaHei"/>
        <family val="0"/>
        <charset val="1"/>
      </rPr>
      <t xml:space="preserve">IS</t>
    </r>
  </si>
  <si>
    <r>
      <rPr>
        <sz val="10"/>
        <color rgb="FF000000"/>
        <rFont val="Microsoft YaHei"/>
        <family val="0"/>
        <charset val="1"/>
      </rPr>
      <t xml:space="preserve">5. </t>
    </r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不闸门</t>
    </r>
    <r>
      <rPr>
        <sz val="10"/>
        <color rgb="FF000000"/>
        <rFont val="Microsoft YaHei"/>
        <family val="0"/>
        <charset val="1"/>
      </rPr>
      <t xml:space="preserve">): </t>
    </r>
    <r>
      <rPr>
        <sz val="10"/>
        <color rgb="FF000000"/>
        <rFont val="Arial Unicode MS"/>
        <family val="2"/>
      </rPr>
      <t xml:space="preserve">毛利率处于</t>
    </r>
    <r>
      <rPr>
        <sz val="10"/>
        <color rgb="FF000000"/>
        <rFont val="Microsoft YaHei"/>
        <family val="0"/>
        <charset val="1"/>
      </rPr>
      <t xml:space="preserve">(0%,60%)</t>
    </r>
    <r>
      <rPr>
        <sz val="10"/>
        <color rgb="FF000000"/>
        <rFont val="Arial Unicode MS"/>
        <family val="2"/>
      </rPr>
      <t xml:space="preserve">区间</t>
    </r>
  </si>
  <si>
    <r>
      <rPr>
        <sz val="9"/>
        <color rgb="FF7F7F7F"/>
        <rFont val="Arial Unicode MS"/>
        <family val="2"/>
      </rPr>
      <t xml:space="preserve">信息行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不参与布尔汇总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越界仅提示复核毛利率假设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区间可经</t>
    </r>
    <r>
      <rPr>
        <sz val="9"/>
        <color rgb="FF7F7F7F"/>
        <rFont val="Microsoft YaHei"/>
        <family val="0"/>
        <charset val="1"/>
      </rPr>
      <t xml:space="preserve">checks.gm_band</t>
    </r>
    <r>
      <rPr>
        <sz val="9"/>
        <color rgb="FF7F7F7F"/>
        <rFont val="Arial Unicode MS"/>
        <family val="2"/>
      </rPr>
      <t xml:space="preserve">配置</t>
    </r>
  </si>
  <si>
    <r>
      <rPr>
        <sz val="10"/>
        <color rgb="FF000000"/>
        <rFont val="Microsoft YaHei"/>
        <family val="0"/>
        <charset val="1"/>
      </rPr>
      <t xml:space="preserve">6. DCF</t>
    </r>
    <r>
      <rPr>
        <sz val="10"/>
        <color rgb="FF000000"/>
        <rFont val="Arial Unicode MS"/>
        <family val="2"/>
      </rPr>
      <t xml:space="preserve">每股价值</t>
    </r>
    <r>
      <rPr>
        <sz val="10"/>
        <color rgb="FF000000"/>
        <rFont val="Microsoft YaHei"/>
        <family val="0"/>
        <charset val="1"/>
      </rPr>
      <t xml:space="preserve">&gt;0</t>
    </r>
  </si>
  <si>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页引用校验</t>
    </r>
  </si>
  <si>
    <r>
      <rPr>
        <sz val="10"/>
        <color rgb="FF000000"/>
        <rFont val="Microsoft YaHei"/>
        <family val="0"/>
        <charset val="1"/>
      </rPr>
      <t xml:space="preserve">7. Sensitivity</t>
    </r>
    <r>
      <rPr>
        <sz val="10"/>
        <color rgb="FF000000"/>
        <rFont val="Arial Unicode MS"/>
        <family val="2"/>
      </rPr>
      <t xml:space="preserve">矩阵一中心格</t>
    </r>
    <r>
      <rPr>
        <sz val="10"/>
        <color rgb="FF000000"/>
        <rFont val="Microsoft YaHei"/>
        <family val="0"/>
        <charset val="1"/>
      </rPr>
      <t xml:space="preserve">=DCF</t>
    </r>
    <r>
      <rPr>
        <sz val="10"/>
        <color rgb="FF000000"/>
        <rFont val="Arial Unicode MS"/>
        <family val="2"/>
      </rPr>
      <t xml:space="preserve">每股价值</t>
    </r>
  </si>
  <si>
    <r>
      <rPr>
        <sz val="9"/>
        <color rgb="FF7F7F7F"/>
        <rFont val="Arial Unicode MS"/>
        <family val="2"/>
      </rPr>
      <t xml:space="preserve">矩阵轴自动对中</t>
    </r>
    <r>
      <rPr>
        <sz val="9"/>
        <color rgb="FF7F7F7F"/>
        <rFont val="Microsoft YaHei"/>
        <family val="0"/>
        <charset val="1"/>
      </rPr>
      <t xml:space="preserve">WACC</t>
    </r>
    <r>
      <rPr>
        <sz val="9"/>
        <color rgb="FF7F7F7F"/>
        <rFont val="Arial Unicode MS"/>
        <family val="2"/>
      </rPr>
      <t xml:space="preserve">采用值</t>
    </r>
    <r>
      <rPr>
        <sz val="9"/>
        <color rgb="FF7F7F7F"/>
        <rFont val="Microsoft YaHei"/>
        <family val="0"/>
        <charset val="1"/>
      </rPr>
      <t xml:space="preserve">/g, </t>
    </r>
    <r>
      <rPr>
        <sz val="9"/>
        <color rgb="FF7F7F7F"/>
        <rFont val="Arial Unicode MS"/>
        <family val="2"/>
      </rPr>
      <t xml:space="preserve">中心格恒等于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输出</t>
    </r>
  </si>
  <si>
    <r>
      <rPr>
        <sz val="10"/>
        <color rgb="FF000000"/>
        <rFont val="Microsoft YaHei"/>
        <family val="0"/>
        <charset val="1"/>
      </rPr>
      <t xml:space="preserve">8. WACC</t>
    </r>
    <r>
      <rPr>
        <sz val="10"/>
        <color rgb="FF000000"/>
        <rFont val="Arial Unicode MS"/>
        <family val="2"/>
      </rPr>
      <t xml:space="preserve">采用值</t>
    </r>
    <r>
      <rPr>
        <sz val="10"/>
        <color rgb="FF000000"/>
        <rFont val="Microsoft YaHei"/>
        <family val="0"/>
        <charset val="1"/>
      </rPr>
      <t xml:space="preserve">=</t>
    </r>
    <r>
      <rPr>
        <sz val="10"/>
        <color rgb="FF000000"/>
        <rFont val="Arial Unicode MS"/>
        <family val="2"/>
      </rPr>
      <t xml:space="preserve">计算值 或 </t>
    </r>
    <r>
      <rPr>
        <sz val="10"/>
        <color rgb="FF000000"/>
        <rFont val="Microsoft YaHei"/>
        <family val="0"/>
        <charset val="1"/>
      </rPr>
      <t xml:space="preserve">override</t>
    </r>
    <r>
      <rPr>
        <sz val="10"/>
        <color rgb="FF000000"/>
        <rFont val="Arial Unicode MS"/>
        <family val="2"/>
      </rPr>
      <t xml:space="preserve">非空</t>
    </r>
  </si>
  <si>
    <r>
      <rPr>
        <sz val="9"/>
        <color rgb="FF7F7F7F"/>
        <rFont val="Arial Unicode MS"/>
        <family val="2"/>
      </rPr>
      <t xml:space="preserve">采用值</t>
    </r>
    <r>
      <rPr>
        <sz val="9"/>
        <color rgb="FF7F7F7F"/>
        <rFont val="Microsoft YaHei"/>
        <family val="0"/>
        <charset val="1"/>
      </rPr>
      <t xml:space="preserve">=IF(override="",</t>
    </r>
    <r>
      <rPr>
        <sz val="9"/>
        <color rgb="FF7F7F7F"/>
        <rFont val="Arial Unicode MS"/>
        <family val="2"/>
      </rPr>
      <t xml:space="preserve">计算值</t>
    </r>
    <r>
      <rPr>
        <sz val="9"/>
        <color rgb="FF7F7F7F"/>
        <rFont val="Microsoft YaHei"/>
        <family val="0"/>
        <charset val="1"/>
      </rPr>
      <t xml:space="preserve">,override)</t>
    </r>
    <r>
      <rPr>
        <sz val="9"/>
        <color rgb="FF7F7F7F"/>
        <rFont val="Arial Unicode MS"/>
        <family val="2"/>
      </rPr>
      <t xml:space="preserve">的逻辑校验</t>
    </r>
  </si>
  <si>
    <r>
      <rPr>
        <sz val="10"/>
        <color rgb="FF000000"/>
        <rFont val="Microsoft YaHei"/>
        <family val="0"/>
        <charset val="1"/>
      </rPr>
      <t xml:space="preserve">9. </t>
    </r>
    <r>
      <rPr>
        <sz val="10"/>
        <color rgb="FF000000"/>
        <rFont val="Arial Unicode MS"/>
        <family val="2"/>
      </rPr>
      <t xml:space="preserve">货币资金</t>
    </r>
    <r>
      <rPr>
        <sz val="10"/>
        <color rgb="FF000000"/>
        <rFont val="Microsoft YaHei"/>
        <family val="0"/>
        <charset val="1"/>
      </rPr>
      <t xml:space="preserve">&gt;0</t>
    </r>
  </si>
  <si>
    <r>
      <rPr>
        <sz val="9"/>
        <color rgb="FF7F7F7F"/>
        <rFont val="Microsoft YaHei"/>
        <family val="0"/>
        <charset val="1"/>
      </rPr>
      <t xml:space="preserve">FIN</t>
    </r>
    <r>
      <rPr>
        <sz val="9"/>
        <color rgb="FF7F7F7F"/>
        <rFont val="Arial Unicode MS"/>
        <family val="2"/>
      </rPr>
      <t xml:space="preserve">调度下现金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最低现金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最低现金占比</t>
    </r>
    <r>
      <rPr>
        <sz val="9"/>
        <color rgb="FF7F7F7F"/>
        <rFont val="Microsoft YaHei"/>
        <family val="0"/>
        <charset val="1"/>
      </rPr>
      <t xml:space="preserve">), </t>
    </r>
    <r>
      <rPr>
        <sz val="9"/>
        <color rgb="FF7F7F7F"/>
        <rFont val="Arial Unicode MS"/>
        <family val="2"/>
      </rPr>
      <t xml:space="preserve">恒正</t>
    </r>
  </si>
  <si>
    <r>
      <rPr>
        <sz val="10"/>
        <color rgb="FF000000"/>
        <rFont val="Microsoft YaHei"/>
        <family val="0"/>
        <charset val="1"/>
      </rPr>
      <t xml:space="preserve">10. </t>
    </r>
    <r>
      <rPr>
        <sz val="10"/>
        <color rgb="FF000000"/>
        <rFont val="Arial Unicode MS"/>
        <family val="2"/>
      </rPr>
      <t xml:space="preserve">四档债务余额≥</t>
    </r>
    <r>
      <rPr>
        <sz val="10"/>
        <color rgb="FF000000"/>
        <rFont val="Microsoft YaHei"/>
        <family val="0"/>
        <charset val="1"/>
      </rPr>
      <t xml:space="preserve">0</t>
    </r>
  </si>
  <si>
    <r>
      <rPr>
        <sz val="9"/>
        <color rgb="FF7F7F7F"/>
        <rFont val="Microsoft YaHei"/>
        <family val="0"/>
        <charset val="1"/>
      </rPr>
      <t xml:space="preserve">sweep/</t>
    </r>
    <r>
      <rPr>
        <sz val="9"/>
        <color rgb="FF7F7F7F"/>
        <rFont val="Arial Unicode MS"/>
        <family val="2"/>
      </rPr>
      <t xml:space="preserve">还款均以</t>
    </r>
    <r>
      <rPr>
        <sz val="9"/>
        <color rgb="FF7F7F7F"/>
        <rFont val="Microsoft YaHei"/>
        <family val="0"/>
        <charset val="1"/>
      </rPr>
      <t xml:space="preserve">MAX(0,·)</t>
    </r>
    <r>
      <rPr>
        <sz val="9"/>
        <color rgb="FF7F7F7F"/>
        <rFont val="Arial Unicode MS"/>
        <family val="2"/>
      </rPr>
      <t xml:space="preserve">兜底</t>
    </r>
  </si>
  <si>
    <r>
      <rPr>
        <sz val="10"/>
        <color rgb="FF000000"/>
        <rFont val="Microsoft YaHei"/>
        <family val="0"/>
        <charset val="1"/>
      </rPr>
      <t xml:space="preserve">11. FIN</t>
    </r>
    <r>
      <rPr>
        <sz val="10"/>
        <color rgb="FF000000"/>
        <rFont val="Arial Unicode MS"/>
        <family val="2"/>
      </rPr>
      <t xml:space="preserve">迭代残差</t>
    </r>
    <r>
      <rPr>
        <sz val="10"/>
        <color rgb="FF000000"/>
        <rFont val="Microsoft YaHei"/>
        <family val="0"/>
        <charset val="1"/>
      </rPr>
      <t xml:space="preserve">&lt;0.01 (</t>
    </r>
    <r>
      <rPr>
        <sz val="10"/>
        <color rgb="FF000000"/>
        <rFont val="Arial Unicode MS"/>
        <family val="2"/>
      </rPr>
      <t xml:space="preserve">迭代展开收敛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</si>
  <si>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第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轮采用值 </t>
    </r>
    <r>
      <rPr>
        <sz val="9"/>
        <color rgb="FF7F7F7F"/>
        <rFont val="Microsoft YaHei"/>
        <family val="0"/>
        <charset val="1"/>
      </rPr>
      <t xml:space="preserve">vs </t>
    </r>
    <r>
      <rPr>
        <sz val="9"/>
        <color rgb="FF7F7F7F"/>
        <rFont val="Arial Unicode MS"/>
        <family val="2"/>
      </rPr>
      <t xml:space="preserve">按期末余额重算隐含值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全簿无循环引用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无需开启迭代计算</t>
    </r>
  </si>
  <si>
    <r>
      <rPr>
        <sz val="10"/>
        <color rgb="FF000000"/>
        <rFont val="Microsoft YaHei"/>
        <family val="0"/>
        <charset val="1"/>
      </rPr>
      <t xml:space="preserve">12. Named ranges</t>
    </r>
    <r>
      <rPr>
        <sz val="10"/>
        <color rgb="FF000000"/>
        <rFont val="Arial Unicode MS"/>
        <family val="2"/>
      </rPr>
      <t xml:space="preserve">存在性 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审计轨迹</t>
    </r>
    <r>
      <rPr>
        <sz val="10"/>
        <color rgb="FF000000"/>
        <rFont val="Microsoft YaHei"/>
        <family val="0"/>
        <charset val="1"/>
      </rPr>
      <t xml:space="preserve">, 15</t>
    </r>
    <r>
      <rPr>
        <sz val="10"/>
        <color rgb="FF000000"/>
        <rFont val="Arial Unicode MS"/>
        <family val="2"/>
      </rPr>
      <t xml:space="preserve">个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</si>
  <si>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WACC</t>
    </r>
    <r>
      <rPr>
        <sz val="9"/>
        <color rgb="FF7F7F7F"/>
        <rFont val="Arial Unicode MS"/>
        <family val="2"/>
      </rPr>
      <t xml:space="preserve">采用值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永续</t>
    </r>
    <r>
      <rPr>
        <sz val="9"/>
        <color rgb="FF7F7F7F"/>
        <rFont val="Microsoft YaHei"/>
        <family val="0"/>
        <charset val="1"/>
      </rPr>
      <t xml:space="preserve">g/Ke/Kd/rf/ERP/βu/</t>
    </r>
    <r>
      <rPr>
        <sz val="9"/>
        <color rgb="FF7F7F7F"/>
        <rFont val="Arial Unicode MS"/>
        <family val="2"/>
      </rPr>
      <t xml:space="preserve">税率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股利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最低现金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情景开关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稀释股数</t>
    </r>
    <r>
      <rPr>
        <sz val="9"/>
        <color rgb="FF7F7F7F"/>
        <rFont val="Microsoft YaHei"/>
        <family val="0"/>
        <charset val="1"/>
      </rPr>
      <t xml:space="preserve">/DCF&amp;FCFE</t>
    </r>
    <r>
      <rPr>
        <sz val="9"/>
        <color rgb="FF7F7F7F"/>
        <rFont val="Arial Unicode MS"/>
        <family val="2"/>
      </rPr>
      <t xml:space="preserve">每股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任一</t>
    </r>
    <r>
      <rPr>
        <sz val="9"/>
        <color rgb="FF7F7F7F"/>
        <rFont val="Microsoft YaHei"/>
        <family val="0"/>
        <charset val="1"/>
      </rPr>
      <t xml:space="preserve">named range</t>
    </r>
    <r>
      <rPr>
        <sz val="9"/>
        <color rgb="FF7F7F7F"/>
        <rFont val="Arial Unicode MS"/>
        <family val="2"/>
      </rPr>
      <t xml:space="preserve">被删则</t>
    </r>
    <r>
      <rPr>
        <sz val="9"/>
        <color rgb="FF7F7F7F"/>
        <rFont val="Microsoft YaHei"/>
        <family val="0"/>
        <charset val="1"/>
      </rPr>
      <t xml:space="preserve">FALSE</t>
    </r>
  </si>
  <si>
    <r>
      <rPr>
        <sz val="10"/>
        <color rgb="FF000000"/>
        <rFont val="Microsoft YaHei"/>
        <family val="0"/>
        <charset val="1"/>
      </rPr>
      <t xml:space="preserve">13. </t>
    </r>
    <r>
      <rPr>
        <sz val="10"/>
        <color rgb="FF000000"/>
        <rFont val="Arial Unicode MS"/>
        <family val="2"/>
      </rPr>
      <t xml:space="preserve">三情景同引擎估值单调性</t>
    </r>
  </si>
  <si>
    <r>
      <rPr>
        <sz val="9"/>
        <color rgb="FF7F7F7F"/>
        <rFont val="Arial Unicode MS"/>
        <family val="2"/>
      </rPr>
      <t xml:space="preserve">配置层已强制熊≤基≤牛调整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此处确保同一简化引擎的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与相对估值输出保持单调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</si>
  <si>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隐含折旧率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折旧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期初固资净值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</si>
  <si>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信息行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合理带宽</t>
    </r>
    <r>
      <rPr>
        <sz val="9"/>
        <color rgb="FF7F7F7F"/>
        <rFont val="Microsoft YaHei"/>
        <family val="0"/>
        <charset val="1"/>
      </rPr>
      <t xml:space="preserve">8%-18%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</si>
  <si>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2026E</t>
    </r>
    <r>
      <rPr>
        <sz val="10"/>
        <color rgb="FF000000"/>
        <rFont val="Arial Unicode MS"/>
        <family val="2"/>
      </rPr>
      <t xml:space="preserve">模型收入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模型自动外推</t>
    </r>
  </si>
  <si>
    <r>
      <rPr>
        <sz val="9"/>
        <color rgb="FF7F7F7F"/>
        <rFont val="Arial Unicode MS"/>
        <family val="2"/>
      </rPr>
      <t xml:space="preserve">接近</t>
    </r>
    <r>
      <rPr>
        <sz val="9"/>
        <color rgb="FF7F7F7F"/>
        <rFont val="Microsoft YaHei"/>
        <family val="0"/>
        <charset val="1"/>
      </rPr>
      <t xml:space="preserve">100%</t>
    </r>
    <r>
      <rPr>
        <sz val="9"/>
        <color rgb="FF7F7F7F"/>
        <rFont val="Arial Unicode MS"/>
        <family val="2"/>
      </rPr>
      <t xml:space="preserve">即基准贴合模型自动外推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</si>
  <si>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2026E</t>
    </r>
    <r>
      <rPr>
        <sz val="10"/>
        <color rgb="FF000000"/>
        <rFont val="Arial Unicode MS"/>
        <family val="2"/>
      </rPr>
      <t xml:space="preserve">模型归母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模型自动外推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</si>
  <si>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WACC</t>
    </r>
    <r>
      <rPr>
        <sz val="10"/>
        <color rgb="FF000000"/>
        <rFont val="Arial Unicode MS"/>
        <family val="2"/>
      </rPr>
      <t xml:space="preserve">计算值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采用值</t>
    </r>
  </si>
  <si>
    <r>
      <rPr>
        <sz val="9"/>
        <color rgb="FF7F7F7F"/>
        <rFont val="Arial Unicode MS"/>
        <family val="2"/>
      </rPr>
      <t xml:space="preserve">左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计算值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右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采用值</t>
    </r>
    <r>
      <rPr>
        <sz val="9"/>
        <color rgb="FF7F7F7F"/>
        <rFont val="Microsoft YaHei"/>
        <family val="0"/>
        <charset val="1"/>
      </rPr>
      <t xml:space="preserve">(override</t>
    </r>
    <r>
      <rPr>
        <sz val="9"/>
        <color rgb="FF7F7F7F"/>
        <rFont val="Arial Unicode MS"/>
        <family val="2"/>
      </rPr>
      <t xml:space="preserve">为空时两者相等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</si>
  <si>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FCFE/FCFF</t>
    </r>
    <r>
      <rPr>
        <sz val="10"/>
        <color rgb="FF000000"/>
        <rFont val="Arial Unicode MS"/>
        <family val="2"/>
      </rPr>
      <t xml:space="preserve">每股价值比</t>
    </r>
  </si>
  <si>
    <r>
      <rPr>
        <sz val="9"/>
        <color rgb="FF7F7F7F"/>
        <rFont val="Arial Unicode MS"/>
        <family val="2"/>
      </rPr>
      <t xml:space="preserve">左</t>
    </r>
    <r>
      <rPr>
        <sz val="9"/>
        <color rgb="FF7F7F7F"/>
        <rFont val="Microsoft YaHei"/>
        <family val="0"/>
        <charset val="1"/>
      </rPr>
      <t xml:space="preserve">=FCFE/FCFF</t>
    </r>
    <r>
      <rPr>
        <sz val="9"/>
        <color rgb="FF7F7F7F"/>
        <rFont val="Arial Unicode MS"/>
        <family val="2"/>
      </rPr>
      <t xml:space="preserve">比值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右</t>
    </r>
    <r>
      <rPr>
        <sz val="9"/>
        <color rgb="FF7F7F7F"/>
        <rFont val="Microsoft YaHei"/>
        <family val="0"/>
        <charset val="1"/>
      </rPr>
      <t xml:space="preserve">=FCFE</t>
    </r>
    <r>
      <rPr>
        <sz val="9"/>
        <color rgb="FF7F7F7F"/>
        <rFont val="Arial Unicode MS"/>
        <family val="2"/>
      </rPr>
      <t xml:space="preserve">每股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美元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股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两法差异原因见</t>
    </r>
    <r>
      <rPr>
        <sz val="9"/>
        <color rgb="FF7F7F7F"/>
        <rFont val="Microsoft YaHei"/>
        <family val="0"/>
        <charset val="1"/>
      </rPr>
      <t xml:space="preserve">FCFE</t>
    </r>
    <r>
      <rPr>
        <sz val="9"/>
        <color rgb="FF7F7F7F"/>
        <rFont val="Arial Unicode MS"/>
        <family val="2"/>
      </rPr>
      <t xml:space="preserve">页底部注记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</si>
  <si>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FCFE/FCFF</t>
    </r>
    <r>
      <rPr>
        <sz val="10"/>
        <color rgb="FF000000"/>
        <rFont val="Arial Unicode MS"/>
        <family val="2"/>
      </rPr>
      <t xml:space="preserve">差异控制 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阈值</t>
    </r>
    <r>
      <rPr>
        <sz val="10"/>
        <color rgb="FF000000"/>
        <rFont val="Microsoft YaHei"/>
        <family val="0"/>
        <charset val="1"/>
      </rPr>
      <t xml:space="preserve">30%)</t>
    </r>
  </si>
  <si>
    <r>
      <rPr>
        <sz val="9"/>
        <color rgb="FF7F7F7F"/>
        <rFont val="Arial Unicode MS"/>
        <family val="2"/>
      </rPr>
      <t xml:space="preserve">信息警报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不加入布尔汇总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避免把方法论差异误判为机械勾稽失败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</si>
  <si>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完整主模型 </t>
    </r>
    <r>
      <rPr>
        <sz val="10"/>
        <color rgb="FF000000"/>
        <rFont val="Microsoft YaHei"/>
        <family val="0"/>
        <charset val="1"/>
      </rPr>
      <t xml:space="preserve">/ </t>
    </r>
    <r>
      <rPr>
        <sz val="10"/>
        <color rgb="FF000000"/>
        <rFont val="Arial Unicode MS"/>
        <family val="2"/>
      </rPr>
      <t xml:space="preserve">同引擎基准桥接</t>
    </r>
  </si>
  <si>
    <r>
      <rPr>
        <sz val="9"/>
        <color rgb="FF7F7F7F"/>
        <rFont val="Arial Unicode MS"/>
        <family val="2"/>
      </rPr>
      <t xml:space="preserve">左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完整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简化基准比值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右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完整主模型每股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美元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股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差异说明见</t>
    </r>
    <r>
      <rPr>
        <sz val="9"/>
        <color rgb="FF7F7F7F"/>
        <rFont val="Microsoft YaHei"/>
        <family val="0"/>
        <charset val="1"/>
      </rPr>
      <t xml:space="preserve">Scenarios</t>
    </r>
    <r>
      <rPr>
        <sz val="9"/>
        <color rgb="FF7F7F7F"/>
        <rFont val="Arial Unicode MS"/>
        <family val="2"/>
      </rPr>
      <t xml:space="preserve">桥接区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</si>
  <si>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主模型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同引擎基准控制 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阈值</t>
    </r>
    <r>
      <rPr>
        <sz val="10"/>
        <color rgb="FF000000"/>
        <rFont val="Microsoft YaHei"/>
        <family val="0"/>
        <charset val="1"/>
      </rPr>
      <t xml:space="preserve">30%)</t>
    </r>
  </si>
  <si>
    <r>
      <rPr>
        <sz val="9"/>
        <color rgb="FF7F7F7F"/>
        <rFont val="Arial Unicode MS"/>
        <family val="2"/>
      </rPr>
      <t xml:space="preserve">信息警报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不加入布尔汇总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</si>
  <si>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2030E</t>
    </r>
    <r>
      <rPr>
        <sz val="10"/>
        <color rgb="FF000000"/>
        <rFont val="Arial Unicode MS"/>
        <family val="2"/>
      </rPr>
      <t xml:space="preserve">现金 </t>
    </r>
    <r>
      <rPr>
        <sz val="10"/>
        <color rgb="FF000000"/>
        <rFont val="Microsoft YaHei"/>
        <family val="0"/>
        <charset val="1"/>
      </rPr>
      <t xml:space="preserve">vs </t>
    </r>
    <r>
      <rPr>
        <sz val="10"/>
        <color rgb="FF000000"/>
        <rFont val="Arial Unicode MS"/>
        <family val="2"/>
      </rPr>
      <t xml:space="preserve">最低现金</t>
    </r>
  </si>
  <si>
    <r>
      <rPr>
        <sz val="9"/>
        <color rgb="FF7F7F7F"/>
        <rFont val="Arial Unicode MS"/>
        <family val="2"/>
      </rPr>
      <t xml:space="preserve">两者应相等</t>
    </r>
    <r>
      <rPr>
        <sz val="9"/>
        <color rgb="FF7F7F7F"/>
        <rFont val="Microsoft YaHei"/>
        <family val="0"/>
        <charset val="1"/>
      </rPr>
      <t xml:space="preserve">(sweep</t>
    </r>
    <r>
      <rPr>
        <sz val="9"/>
        <color rgb="FF7F7F7F"/>
        <rFont val="Arial Unicode MS"/>
        <family val="2"/>
      </rPr>
      <t xml:space="preserve">后现金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最低现金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溢出去理财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</si>
  <si>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4"/>
        <color rgb="FF000000"/>
        <rFont val="Arial Unicode MS"/>
        <family val="2"/>
      </rPr>
      <t xml:space="preserve">汇总</t>
    </r>
    <r>
      <rPr>
        <b val="true"/>
        <sz val="14"/>
        <color rgb="FF000000"/>
        <rFont val="Microsoft YaHei"/>
        <family val="0"/>
        <charset val="1"/>
      </rPr>
      <t xml:space="preserve">: </t>
    </r>
    <r>
      <rPr>
        <b val="true"/>
        <sz val="14"/>
        <color rgb="FF000000"/>
        <rFont val="Arial Unicode MS"/>
        <family val="2"/>
      </rPr>
      <t xml:space="preserve">全部通过 </t>
    </r>
    <r>
      <rPr>
        <b val="true"/>
        <sz val="14"/>
        <color rgb="FF000000"/>
        <rFont val="Microsoft YaHei"/>
        <family val="0"/>
        <charset val="1"/>
      </rPr>
      <t xml:space="preserve">= </t>
    </r>
  </si>
  <si>
    <t xml:space="preserve">布尔汇总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</si>
</sst>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0"/>
    <numFmt numFmtId="166" formatCode="#,##0.0"/>
    <numFmt numFmtId="167" formatCode="0.0%"/>
    <numFmt numFmtId="168" formatCode="0"/>
    <numFmt numFmtId="169" formatCode="#,##0"/>
    <numFmt numFmtId="170" formatCode="0.000"/>
    <numFmt numFmtId="171" formatCode="0.0\年"/>
    <numFmt numFmtId="172" formatCode="0.0000"/>
    <numFmt numFmtId="173" formatCode="0.0"/>
    <numFmt numFmtId="174" formatCode="0.0\x"/>
    <numFmt numFmtId="175" formatCode="0\x"/>
  </numFmts>
  <fonts count="36">
    <font>
      <sz val="11"/>
      <color theme="1"/>
      <name val="Arial Unicode MS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F3864"/>
      <name val="Arial Unicode MS"/>
      <family val="2"/>
    </font>
    <font>
      <b val="true"/>
      <sz val="20"/>
      <color rgb="FF1F3864"/>
      <name val="Microsoft YaHei"/>
      <family val="0"/>
      <charset val="1"/>
    </font>
    <font>
      <sz val="11"/>
      <color rgb="FF7F7F7F"/>
      <name val="Arial Unicode MS"/>
      <family val="2"/>
    </font>
    <font>
      <sz val="11"/>
      <color rgb="FF7F7F7F"/>
      <name val="Microsoft YaHei"/>
      <family val="0"/>
      <charset val="1"/>
    </font>
    <font>
      <b val="true"/>
      <sz val="10"/>
      <color rgb="FF000000"/>
      <name val="Arial Unicode MS"/>
      <family val="2"/>
    </font>
    <font>
      <sz val="10"/>
      <color rgb="FF000000"/>
      <name val="Microsoft YaHei"/>
      <family val="0"/>
      <charset val="1"/>
    </font>
    <font>
      <sz val="10"/>
      <color rgb="FF000000"/>
      <name val="Arial Unicode MS"/>
      <family val="2"/>
    </font>
    <font>
      <b val="true"/>
      <sz val="10"/>
      <color rgb="FF000000"/>
      <name val="Microsoft YaHei"/>
      <family val="0"/>
      <charset val="1"/>
    </font>
    <font>
      <sz val="9"/>
      <color rgb="FFCC0000"/>
      <name val="Arial Unicode MS"/>
      <family val="2"/>
    </font>
    <font>
      <sz val="9"/>
      <color rgb="FFCC0000"/>
      <name val="Microsoft YaHei"/>
      <family val="0"/>
      <charset val="1"/>
    </font>
    <font>
      <b val="true"/>
      <sz val="12"/>
      <color rgb="FF000000"/>
      <name val="Arial Unicode MS"/>
      <family val="2"/>
    </font>
    <font>
      <b val="true"/>
      <sz val="12"/>
      <color rgb="FF000000"/>
      <name val="Microsoft YaHei"/>
      <family val="0"/>
      <charset val="1"/>
    </font>
    <font>
      <sz val="10"/>
      <color rgb="FF7F7F7F"/>
      <name val="Microsoft YaHei"/>
      <family val="0"/>
      <charset val="1"/>
    </font>
    <font>
      <sz val="10"/>
      <color rgb="FF7F7F7F"/>
      <name val="Arial Unicode MS"/>
      <family val="2"/>
    </font>
    <font>
      <sz val="9"/>
      <color rgb="FF1E7A1E"/>
      <name val="Arial Unicode MS"/>
      <family val="2"/>
    </font>
    <font>
      <sz val="9"/>
      <color rgb="FF1E7A1E"/>
      <name val="Microsoft YaHei"/>
      <family val="0"/>
      <charset val="1"/>
    </font>
    <font>
      <sz val="9"/>
      <color rgb="FF7F7F7F"/>
      <name val="Arial Unicode MS"/>
      <family val="2"/>
    </font>
    <font>
      <sz val="9"/>
      <color rgb="FF7F7F7F"/>
      <name val="Microsoft YaHei"/>
      <family val="0"/>
      <charset val="1"/>
    </font>
    <font>
      <b val="true"/>
      <sz val="13"/>
      <color rgb="FFFFFFFF"/>
      <name val="Arial Unicode MS"/>
      <family val="2"/>
    </font>
    <font>
      <b val="true"/>
      <sz val="13"/>
      <color rgb="FFFFFFFF"/>
      <name val="Microsoft YaHei"/>
      <family val="0"/>
      <charset val="1"/>
    </font>
    <font>
      <b val="true"/>
      <sz val="10"/>
      <color rgb="FF1F3864"/>
      <name val="Arial Unicode MS"/>
      <family val="2"/>
    </font>
    <font>
      <b val="true"/>
      <sz val="10"/>
      <color rgb="FF1F3864"/>
      <name val="Microsoft YaHei"/>
      <family val="0"/>
      <charset val="1"/>
    </font>
    <font>
      <sz val="9"/>
      <color rgb="FF000000"/>
      <name val="Microsoft YaHei"/>
      <family val="0"/>
      <charset val="1"/>
    </font>
    <font>
      <sz val="10"/>
      <color rgb="FF0033CC"/>
      <name val="Microsoft YaHei"/>
      <family val="0"/>
      <charset val="1"/>
    </font>
    <font>
      <sz val="10"/>
      <color rgb="FF1E7A1E"/>
      <name val="Microsoft YaHei"/>
      <family val="0"/>
      <charset val="1"/>
    </font>
    <font>
      <b val="true"/>
      <sz val="10"/>
      <color rgb="FFCC0000"/>
      <name val="Arial Unicode MS"/>
      <family val="2"/>
    </font>
    <font>
      <b val="true"/>
      <sz val="10"/>
      <color rgb="FFCC0000"/>
      <name val="Microsoft YaHei"/>
      <family val="0"/>
      <charset val="1"/>
    </font>
    <font>
      <b val="true"/>
      <sz val="10"/>
      <color rgb="FF1E7A1E"/>
      <name val="Microsoft YaHei"/>
      <family val="0"/>
      <charset val="1"/>
    </font>
    <font>
      <b val="true"/>
      <sz val="10"/>
      <color rgb="FF0033CC"/>
      <name val="Microsoft YaHei"/>
      <family val="0"/>
      <charset val="1"/>
    </font>
    <font>
      <b val="true"/>
      <sz val="14"/>
      <color rgb="FF000000"/>
      <name val="Arial Unicode MS"/>
      <family val="2"/>
    </font>
    <font>
      <b val="true"/>
      <sz val="14"/>
      <color rgb="FF000000"/>
      <name val="Microsoft YaHei"/>
      <family val="0"/>
      <charset val="1"/>
    </font>
    <font>
      <b val="true"/>
      <sz val="16"/>
      <color rgb="FFCC0000"/>
      <name val="Arial Unicode MS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DCE6F1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5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1E7A1E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0033CC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.73"/>
    <col collapsed="false" customWidth="true" hidden="false" outlineLevel="0" max="2" min="2" style="0" width="30.93"/>
    <col collapsed="false" customWidth="true" hidden="false" outlineLevel="0" max="3" min="3" style="0" width="54.59"/>
    <col collapsed="false" customWidth="true" hidden="false" outlineLevel="0" max="8" min="4" style="0" width="11.83"/>
  </cols>
  <sheetData>
    <row r="2" customFormat="false" ht="29.85" hidden="false" customHeight="false" outlineLevel="0" collapsed="false">
      <c r="B2" s="1" t="s">
        <v>0</v>
      </c>
      <c r="C2" s="1"/>
      <c r="D2" s="1"/>
      <c r="E2" s="1"/>
      <c r="F2" s="1"/>
      <c r="G2" s="1"/>
      <c r="H2" s="1"/>
    </row>
    <row r="3" customFormat="false" ht="16.4" hidden="false" customHeight="false" outlineLevel="0" collapsed="false">
      <c r="B3" s="2" t="s">
        <v>1</v>
      </c>
      <c r="C3" s="2"/>
      <c r="D3" s="2"/>
      <c r="E3" s="2"/>
      <c r="F3" s="2"/>
      <c r="G3" s="2"/>
      <c r="H3" s="2"/>
    </row>
    <row r="5" customFormat="false" ht="15" hidden="false" customHeight="false" outlineLevel="0" collapsed="false">
      <c r="B5" s="3" t="s">
        <v>2</v>
      </c>
      <c r="C5" s="4" t="s">
        <v>3</v>
      </c>
    </row>
    <row r="6" customFormat="false" ht="15" hidden="false" customHeight="false" outlineLevel="0" collapsed="false">
      <c r="B6" s="3" t="s">
        <v>4</v>
      </c>
      <c r="C6" s="5" t="s">
        <v>5</v>
      </c>
    </row>
    <row r="7" customFormat="false" ht="15" hidden="false" customHeight="false" outlineLevel="0" collapsed="false">
      <c r="B7" s="3" t="s">
        <v>6</v>
      </c>
      <c r="C7" s="5" t="s">
        <v>7</v>
      </c>
    </row>
    <row r="8" customFormat="false" ht="15" hidden="false" customHeight="false" outlineLevel="0" collapsed="false">
      <c r="B8" s="3" t="s">
        <v>8</v>
      </c>
      <c r="C8" s="5" t="s">
        <v>9</v>
      </c>
    </row>
    <row r="9" customFormat="false" ht="30" hidden="false" customHeight="true" outlineLevel="0" collapsed="false">
      <c r="B9" s="3" t="s">
        <v>10</v>
      </c>
      <c r="C9" s="6" t="s">
        <v>11</v>
      </c>
      <c r="D9" s="6"/>
      <c r="E9" s="6"/>
      <c r="F9" s="6"/>
      <c r="G9" s="6"/>
      <c r="H9" s="6"/>
    </row>
    <row r="10" customFormat="false" ht="15" hidden="false" customHeight="false" outlineLevel="0" collapsed="false">
      <c r="B10" s="3"/>
      <c r="C10" s="4"/>
    </row>
    <row r="11" customFormat="false" ht="15" hidden="false" customHeight="false" outlineLevel="0" collapsed="false">
      <c r="B11" s="7" t="s">
        <v>12</v>
      </c>
      <c r="C11" s="7"/>
      <c r="D11" s="7"/>
      <c r="E11" s="7"/>
      <c r="F11" s="7"/>
      <c r="G11" s="7"/>
      <c r="H11" s="7"/>
    </row>
    <row r="12" customFormat="false" ht="15" hidden="false" customHeight="false" outlineLevel="0" collapsed="false">
      <c r="B12" s="3" t="s">
        <v>13</v>
      </c>
      <c r="C12" s="8" t="n">
        <f aca="false">Assumptions!C7</f>
        <v>9.6667</v>
      </c>
    </row>
    <row r="13" customFormat="false" ht="15" hidden="false" customHeight="false" outlineLevel="0" collapsed="false">
      <c r="B13" s="3" t="s">
        <v>14</v>
      </c>
      <c r="C13" s="9" t="n">
        <f aca="false">Assumptions!C8</f>
        <v>8561.1</v>
      </c>
    </row>
    <row r="14" customFormat="false" ht="15" hidden="false" customHeight="false" outlineLevel="0" collapsed="false">
      <c r="B14" s="3" t="s">
        <v>15</v>
      </c>
      <c r="C14" s="9" t="n">
        <f aca="false">Assumptions!C9</f>
        <v>82757.58537</v>
      </c>
    </row>
    <row r="15" customFormat="false" ht="15" hidden="false" customHeight="false" outlineLevel="0" collapsed="false">
      <c r="B15" s="3" t="s">
        <v>16</v>
      </c>
      <c r="C15" s="4" t="str">
        <f aca="false">"营收"&amp;TEXT(Assumptions!C12,"#,##0")&amp;" / 归母"&amp;TEXT(Assumptions!C13,"#,##0")&amp;" (自动推导(无一致预期输入): 最近年报收入×(1+YoY+16.2%)退坡; 建议手工填入)"</f>
        <v>营收10,833 / 归母796 (自动推导(无一致预期输入): 最近年报收入×(1+YoY+16.2%)退坡; 建议手工填入)</v>
      </c>
    </row>
    <row r="16" customFormat="false" ht="15" hidden="false" customHeight="false" outlineLevel="0" collapsed="false">
      <c r="B16" s="3"/>
      <c r="C16" s="4"/>
    </row>
    <row r="17" customFormat="false" ht="18.65" hidden="false" customHeight="false" outlineLevel="0" collapsed="false">
      <c r="B17" s="7" t="s">
        <v>17</v>
      </c>
      <c r="C17" s="7"/>
      <c r="D17" s="7"/>
      <c r="E17" s="7"/>
      <c r="F17" s="7"/>
      <c r="G17" s="7"/>
      <c r="H17" s="7"/>
    </row>
    <row r="18" customFormat="false" ht="15" hidden="false" customHeight="false" outlineLevel="0" collapsed="false">
      <c r="B18" s="3" t="s">
        <v>18</v>
      </c>
      <c r="C18" s="4" t="str">
        <f aca="false">Scenarios!C3</f>
        <v>基准</v>
      </c>
    </row>
    <row r="19" customFormat="false" ht="15" hidden="false" customHeight="false" outlineLevel="0" collapsed="false">
      <c r="B19" s="3" t="s">
        <v>19</v>
      </c>
      <c r="C19" s="9" t="n">
        <f aca="false">IS!D4</f>
        <v>10833.0782</v>
      </c>
    </row>
    <row r="20" customFormat="false" ht="15" hidden="false" customHeight="false" outlineLevel="0" collapsed="false">
      <c r="B20" s="3" t="s">
        <v>20</v>
      </c>
      <c r="C20" s="9" t="n">
        <f aca="false">IS!D20</f>
        <v>451.943494549035</v>
      </c>
    </row>
    <row r="21" customFormat="false" ht="15" hidden="false" customHeight="false" outlineLevel="0" collapsed="false">
      <c r="B21" s="10" t="s">
        <v>21</v>
      </c>
      <c r="C21" s="4" t="str">
        <f aca="false">TEXT(Assumptions!C81,"0.00%")&amp;" / "&amp;TEXT(Assumptions!C83,"0.00%")</f>
        <v>9.29% / 9.29%</v>
      </c>
    </row>
    <row r="22" customFormat="false" ht="15" hidden="false" customHeight="false" outlineLevel="0" collapsed="false">
      <c r="B22" s="10" t="s">
        <v>22</v>
      </c>
      <c r="C22" s="8" t="n">
        <f aca="false">DCF!D26</f>
        <v>1.6233066342384</v>
      </c>
    </row>
    <row r="23" customFormat="false" ht="15" hidden="false" customHeight="false" outlineLevel="0" collapsed="false">
      <c r="B23" s="10" t="s">
        <v>23</v>
      </c>
      <c r="C23" s="4" t="str">
        <f aca="false">TEXT(Scenarios!B12,"0.00")&amp;" / "&amp;TEXT(Scenarios!B21,"0.00")&amp;" / "&amp;TEXT(Scenarios!B30,"0.00")</f>
        <v>0.27 / 0.65 / 1.01</v>
      </c>
    </row>
    <row r="24" customFormat="false" ht="15" hidden="false" customHeight="false" outlineLevel="0" collapsed="false">
      <c r="B24" s="3" t="s">
        <v>24</v>
      </c>
      <c r="C24" s="4" t="str">
        <f aca="false">TEXT(Relative_Val!C12,"0.00")&amp;" ~ "&amp;TEXT(Relative_Val!C13,"0.00")</f>
        <v>1.32 ~ 1.32</v>
      </c>
    </row>
    <row r="25" customFormat="false" ht="15" hidden="false" customHeight="false" outlineLevel="0" collapsed="false">
      <c r="B25" s="3" t="s">
        <v>25</v>
      </c>
      <c r="C25" s="4" t="str">
        <f aca="false">TEXT(Summary!C13,"0.00")&amp;" ~ "&amp;TEXT(Summary!D13,"0.00")</f>
        <v>0.27 ~ 2.12</v>
      </c>
    </row>
    <row r="26" customFormat="false" ht="15" hidden="false" customHeight="false" outlineLevel="0" collapsed="false">
      <c r="B26" s="10" t="s">
        <v>26</v>
      </c>
      <c r="C26" s="4" t="str">
        <f aca="false">Checks!F28</f>
        <v>全部通过=TRUE</v>
      </c>
    </row>
    <row r="28" customFormat="false" ht="18.65" hidden="false" customHeight="false" outlineLevel="0" collapsed="false">
      <c r="B28" s="7" t="s">
        <v>27</v>
      </c>
      <c r="C28" s="7"/>
      <c r="D28" s="7"/>
      <c r="E28" s="7"/>
      <c r="F28" s="7"/>
      <c r="G28" s="7"/>
      <c r="H28" s="7"/>
    </row>
    <row r="29" customFormat="false" ht="39.75" hidden="false" customHeight="true" outlineLevel="0" collapsed="false">
      <c r="B29" s="11" t="s">
        <v>28</v>
      </c>
      <c r="C29" s="11"/>
      <c r="D29" s="11"/>
      <c r="E29" s="11"/>
      <c r="F29" s="11"/>
      <c r="G29" s="11"/>
      <c r="H29" s="11"/>
    </row>
    <row r="30" customFormat="false" ht="39.75" hidden="false" customHeight="true" outlineLevel="0" collapsed="false">
      <c r="B30" s="11" t="s">
        <v>29</v>
      </c>
      <c r="C30" s="11"/>
      <c r="D30" s="11"/>
      <c r="E30" s="11"/>
      <c r="F30" s="11"/>
      <c r="G30" s="11"/>
      <c r="H30" s="11"/>
    </row>
    <row r="31" customFormat="false" ht="39.75" hidden="false" customHeight="true" outlineLevel="0" collapsed="false">
      <c r="B31" s="11" t="s">
        <v>30</v>
      </c>
      <c r="C31" s="11"/>
      <c r="D31" s="11"/>
      <c r="E31" s="11"/>
      <c r="F31" s="11"/>
      <c r="G31" s="11"/>
      <c r="H31" s="11"/>
    </row>
    <row r="32" customFormat="false" ht="39.75" hidden="false" customHeight="true" outlineLevel="0" collapsed="false">
      <c r="B32" s="11" t="s">
        <v>31</v>
      </c>
      <c r="C32" s="11"/>
      <c r="D32" s="11"/>
      <c r="E32" s="11"/>
      <c r="F32" s="11"/>
      <c r="G32" s="11"/>
      <c r="H32" s="11"/>
    </row>
    <row r="33" customFormat="false" ht="39.75" hidden="false" customHeight="true" outlineLevel="0" collapsed="false">
      <c r="B33" s="11" t="s">
        <v>32</v>
      </c>
      <c r="C33" s="11"/>
      <c r="D33" s="11"/>
      <c r="E33" s="11"/>
      <c r="F33" s="11"/>
      <c r="G33" s="11"/>
      <c r="H33" s="11"/>
    </row>
    <row r="34" customFormat="false" ht="25.5" hidden="false" customHeight="true" outlineLevel="0" collapsed="false">
      <c r="B34" s="11" t="s">
        <v>33</v>
      </c>
      <c r="C34" s="11"/>
      <c r="D34" s="11"/>
      <c r="E34" s="11"/>
      <c r="F34" s="11"/>
      <c r="G34" s="11"/>
      <c r="H34" s="11"/>
    </row>
    <row r="35" customFormat="false" ht="39.75" hidden="false" customHeight="true" outlineLevel="0" collapsed="false">
      <c r="B35" s="11" t="s">
        <v>34</v>
      </c>
      <c r="C35" s="11"/>
      <c r="D35" s="11"/>
      <c r="E35" s="11"/>
      <c r="F35" s="11"/>
      <c r="G35" s="11"/>
      <c r="H35" s="11"/>
    </row>
    <row r="36" customFormat="false" ht="25.5" hidden="false" customHeight="true" outlineLevel="0" collapsed="false">
      <c r="B36" s="11" t="s">
        <v>35</v>
      </c>
      <c r="C36" s="11"/>
      <c r="D36" s="11"/>
      <c r="E36" s="11"/>
      <c r="F36" s="11"/>
      <c r="G36" s="11"/>
      <c r="H36" s="11"/>
    </row>
    <row r="37" customFormat="false" ht="39.75" hidden="false" customHeight="true" outlineLevel="0" collapsed="false">
      <c r="B37" s="11" t="s">
        <v>36</v>
      </c>
      <c r="C37" s="11"/>
      <c r="D37" s="11"/>
      <c r="E37" s="11"/>
      <c r="F37" s="11"/>
      <c r="G37" s="11"/>
      <c r="H37" s="11"/>
    </row>
    <row r="39" customFormat="false" ht="15" hidden="false" customHeight="false" outlineLevel="0" collapsed="false">
      <c r="B39" s="7" t="s">
        <v>37</v>
      </c>
      <c r="C39" s="7"/>
      <c r="D39" s="7"/>
      <c r="E39" s="7"/>
      <c r="F39" s="7"/>
      <c r="G39" s="7"/>
      <c r="H39" s="7"/>
    </row>
    <row r="40" customFormat="false" ht="24" hidden="false" customHeight="true" outlineLevel="0" collapsed="false">
      <c r="B40" s="12" t="s">
        <v>38</v>
      </c>
      <c r="C40" s="12"/>
      <c r="D40" s="12"/>
      <c r="E40" s="12"/>
      <c r="F40" s="12"/>
      <c r="G40" s="12"/>
      <c r="H40" s="12"/>
    </row>
    <row r="41" customFormat="false" ht="24" hidden="false" customHeight="true" outlineLevel="0" collapsed="false">
      <c r="B41" s="12" t="s">
        <v>39</v>
      </c>
      <c r="C41" s="12"/>
      <c r="D41" s="12"/>
      <c r="E41" s="12"/>
      <c r="F41" s="12"/>
      <c r="G41" s="12"/>
      <c r="H41" s="12"/>
    </row>
    <row r="42" customFormat="false" ht="24" hidden="false" customHeight="true" outlineLevel="0" collapsed="false">
      <c r="B42" s="12" t="s">
        <v>40</v>
      </c>
      <c r="C42" s="12"/>
      <c r="D42" s="12"/>
      <c r="E42" s="12"/>
      <c r="F42" s="12"/>
      <c r="G42" s="12"/>
      <c r="H42" s="12"/>
    </row>
    <row r="44" customFormat="false" ht="15" hidden="false" customHeight="true" outlineLevel="0" collapsed="false">
      <c r="B44" s="13" t="s">
        <v>41</v>
      </c>
      <c r="C44" s="13"/>
      <c r="D44" s="13"/>
      <c r="E44" s="13"/>
      <c r="F44" s="13"/>
      <c r="G44" s="13"/>
      <c r="H44" s="13"/>
    </row>
    <row r="45" customFormat="false" ht="15" hidden="false" customHeight="false" outlineLevel="0" collapsed="false">
      <c r="B45" s="13"/>
      <c r="C45" s="13"/>
      <c r="D45" s="13"/>
      <c r="E45" s="13"/>
      <c r="F45" s="13"/>
      <c r="G45" s="13"/>
      <c r="H45" s="13"/>
    </row>
    <row r="46" customFormat="false" ht="15" hidden="false" customHeight="false" outlineLevel="0" collapsed="false">
      <c r="B46" s="13"/>
      <c r="C46" s="13"/>
      <c r="D46" s="13"/>
      <c r="E46" s="13"/>
      <c r="F46" s="13"/>
      <c r="G46" s="13"/>
      <c r="H46" s="13"/>
    </row>
  </sheetData>
  <mergeCells count="20">
    <mergeCell ref="B2:H2"/>
    <mergeCell ref="B3:H3"/>
    <mergeCell ref="C9:H9"/>
    <mergeCell ref="B11:H11"/>
    <mergeCell ref="B17:H17"/>
    <mergeCell ref="B28:H28"/>
    <mergeCell ref="B29:H29"/>
    <mergeCell ref="B30:H30"/>
    <mergeCell ref="B31:H31"/>
    <mergeCell ref="B32:H32"/>
    <mergeCell ref="B33:H33"/>
    <mergeCell ref="B34:H34"/>
    <mergeCell ref="B35:H35"/>
    <mergeCell ref="B36:H36"/>
    <mergeCell ref="B37:H37"/>
    <mergeCell ref="B39:H39"/>
    <mergeCell ref="B40:H40"/>
    <mergeCell ref="B41:H41"/>
    <mergeCell ref="B42:H42"/>
    <mergeCell ref="B44:H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30.93"/>
    <col collapsed="false" customWidth="true" hidden="false" outlineLevel="0" max="2" min="2" style="0" width="20.01"/>
    <col collapsed="false" customWidth="true" hidden="false" outlineLevel="0" max="6" min="3" style="0" width="10.92"/>
    <col collapsed="false" customWidth="true" hidden="false" outlineLevel="0" max="7" min="7" style="0" width="36.39"/>
  </cols>
  <sheetData>
    <row r="1" customFormat="false" ht="24" hidden="false" customHeight="true" outlineLevel="0" collapsed="false">
      <c r="A1" s="14" t="s">
        <v>42</v>
      </c>
      <c r="B1" s="14"/>
      <c r="C1" s="14"/>
      <c r="D1" s="14"/>
      <c r="E1" s="14"/>
      <c r="F1" s="14"/>
      <c r="G1" s="14"/>
      <c r="H1" s="14"/>
    </row>
    <row r="2" customFormat="false" ht="13.5" hidden="false" customHeight="true" outlineLevel="0" collapsed="false">
      <c r="A2" s="15" t="s">
        <v>43</v>
      </c>
      <c r="B2" s="15"/>
      <c r="C2" s="15"/>
      <c r="D2" s="15"/>
      <c r="E2" s="15"/>
      <c r="F2" s="15"/>
      <c r="G2" s="15"/>
      <c r="H2" s="15"/>
    </row>
    <row r="4" customFormat="false" ht="15" hidden="false" customHeight="false" outlineLevel="0" collapsed="false">
      <c r="A4" s="16" t="s">
        <v>44</v>
      </c>
      <c r="B4" s="16" t="s">
        <v>45</v>
      </c>
      <c r="C4" s="16" t="s">
        <v>46</v>
      </c>
      <c r="D4" s="16" t="s">
        <v>47</v>
      </c>
      <c r="E4" s="16" t="s">
        <v>48</v>
      </c>
      <c r="F4" s="16" t="s">
        <v>49</v>
      </c>
      <c r="G4" s="16" t="s">
        <v>50</v>
      </c>
    </row>
    <row r="5" customFormat="false" ht="25.35" hidden="false" customHeight="false" outlineLevel="0" collapsed="false">
      <c r="A5" s="10" t="s">
        <v>51</v>
      </c>
      <c r="B5" s="17" t="s">
        <v>52</v>
      </c>
      <c r="C5" s="8" t="n">
        <f aca="false">DCF!D26</f>
        <v>1.6233066342384</v>
      </c>
      <c r="D5" s="8" t="n">
        <f aca="false">DCF!D26</f>
        <v>1.6233066342384</v>
      </c>
      <c r="E5" s="18" t="n">
        <f aca="false">(C5+D5)/2</f>
        <v>1.6233066342384</v>
      </c>
      <c r="F5" s="19" t="n">
        <f aca="false">E5/Assumptions!$C$7-1</f>
        <v>-0.832072306553592</v>
      </c>
      <c r="G5" s="20" t="s">
        <v>53</v>
      </c>
    </row>
    <row r="6" customFormat="false" ht="15" hidden="false" customHeight="false" outlineLevel="0" collapsed="false">
      <c r="A6" s="10" t="s">
        <v>54</v>
      </c>
      <c r="B6" s="17" t="s">
        <v>55</v>
      </c>
      <c r="C6" s="8" t="n">
        <f aca="false">Scenarios!B12</f>
        <v>0.272948003841511</v>
      </c>
      <c r="D6" s="8" t="n">
        <f aca="false">Scenarios!B12</f>
        <v>0.272948003841511</v>
      </c>
      <c r="E6" s="18" t="n">
        <f aca="false">(C6+D6)/2</f>
        <v>0.272948003841511</v>
      </c>
      <c r="F6" s="19" t="n">
        <f aca="false">E6/Assumptions!$C$7-1</f>
        <v>-0.971764096967785</v>
      </c>
      <c r="G6" s="20" t="s">
        <v>56</v>
      </c>
    </row>
    <row r="7" customFormat="false" ht="25.35" hidden="false" customHeight="false" outlineLevel="0" collapsed="false">
      <c r="A7" s="10" t="s">
        <v>57</v>
      </c>
      <c r="B7" s="17" t="s">
        <v>55</v>
      </c>
      <c r="C7" s="8" t="n">
        <f aca="false">Scenarios!B21</f>
        <v>0.65372358677612</v>
      </c>
      <c r="D7" s="8" t="n">
        <f aca="false">Scenarios!B21</f>
        <v>0.65372358677612</v>
      </c>
      <c r="E7" s="18" t="n">
        <f aca="false">(C7+D7)/2</f>
        <v>0.65372358677612</v>
      </c>
      <c r="F7" s="19" t="n">
        <f aca="false">E7/Assumptions!$C$7-1</f>
        <v>-0.932373655251935</v>
      </c>
      <c r="G7" s="20" t="s">
        <v>58</v>
      </c>
    </row>
    <row r="8" customFormat="false" ht="15" hidden="false" customHeight="false" outlineLevel="0" collapsed="false">
      <c r="A8" s="10" t="s">
        <v>59</v>
      </c>
      <c r="B8" s="17" t="s">
        <v>55</v>
      </c>
      <c r="C8" s="8" t="n">
        <f aca="false">Scenarios!B30</f>
        <v>1.00886726797295</v>
      </c>
      <c r="D8" s="8" t="n">
        <f aca="false">Scenarios!B30</f>
        <v>1.00886726797295</v>
      </c>
      <c r="E8" s="18" t="n">
        <f aca="false">(C8+D8)/2</f>
        <v>1.00886726797295</v>
      </c>
      <c r="F8" s="19" t="n">
        <f aca="false">E8/Assumptions!$C$7-1</f>
        <v>-0.895634780434589</v>
      </c>
      <c r="G8" s="20" t="s">
        <v>60</v>
      </c>
    </row>
    <row r="9" customFormat="false" ht="15" hidden="false" customHeight="false" outlineLevel="0" collapsed="false">
      <c r="A9" s="3" t="s">
        <v>61</v>
      </c>
      <c r="B9" s="21" t="s">
        <v>62</v>
      </c>
      <c r="C9" s="8" t="n">
        <f aca="false">Relative_Val!C12</f>
        <v>1.31975883516439</v>
      </c>
      <c r="D9" s="8" t="n">
        <f aca="false">Relative_Val!C13</f>
        <v>1.31975883516439</v>
      </c>
      <c r="E9" s="18" t="n">
        <f aca="false">(C9+D9)/2</f>
        <v>1.31975883516439</v>
      </c>
      <c r="F9" s="19" t="n">
        <f aca="false">E9/Assumptions!$C$7-1</f>
        <v>-0.863473694728874</v>
      </c>
      <c r="G9" s="20" t="s">
        <v>63</v>
      </c>
    </row>
    <row r="10" customFormat="false" ht="25.35" hidden="false" customHeight="false" outlineLevel="0" collapsed="false">
      <c r="A10" s="3" t="s">
        <v>64</v>
      </c>
      <c r="B10" s="21" t="s">
        <v>62</v>
      </c>
      <c r="C10" s="8" t="n">
        <f aca="false">Relative_Val!C14</f>
        <v>2.3238836130871</v>
      </c>
      <c r="D10" s="8" t="n">
        <f aca="false">Relative_Val!D14</f>
        <v>2.3238836130871</v>
      </c>
      <c r="E10" s="18" t="n">
        <f aca="false">(C10+D10)/2</f>
        <v>2.3238836130871</v>
      </c>
      <c r="F10" s="19" t="n">
        <f aca="false">E10/Assumptions!$C$7-1</f>
        <v>-0.759599075890728</v>
      </c>
      <c r="G10" s="20" t="s">
        <v>65</v>
      </c>
    </row>
    <row r="11" customFormat="false" ht="25.35" hidden="false" customHeight="false" outlineLevel="0" collapsed="false">
      <c r="A11" s="10" t="s">
        <v>66</v>
      </c>
      <c r="B11" s="21" t="s">
        <v>67</v>
      </c>
      <c r="C11" s="8" t="n">
        <f aca="false">FCFE!D20</f>
        <v>2.11953009382892</v>
      </c>
      <c r="D11" s="8" t="n">
        <f aca="false">FCFE!D20</f>
        <v>2.11953009382892</v>
      </c>
      <c r="E11" s="18" t="n">
        <f aca="false">(C11+D11)/2</f>
        <v>2.11953009382892</v>
      </c>
      <c r="F11" s="19" t="n">
        <f aca="false">E11/Assumptions!$C$7-1</f>
        <v>-0.780739022227966</v>
      </c>
      <c r="G11" s="22" t="s">
        <v>68</v>
      </c>
    </row>
    <row r="12" customFormat="false" ht="15" hidden="false" customHeight="false" outlineLevel="0" collapsed="false">
      <c r="A12" s="3" t="s">
        <v>69</v>
      </c>
      <c r="C12" s="8" t="n">
        <f aca="false">Assumptions!$C$7</f>
        <v>9.6667</v>
      </c>
      <c r="D12" s="8" t="n">
        <f aca="false">Assumptions!$C$7</f>
        <v>9.6667</v>
      </c>
      <c r="E12" s="8" t="n">
        <f aca="false">Assumptions!$C$7</f>
        <v>9.6667</v>
      </c>
    </row>
    <row r="13" customFormat="false" ht="15" hidden="false" customHeight="false" outlineLevel="0" collapsed="false">
      <c r="A13" s="3" t="s">
        <v>70</v>
      </c>
      <c r="C13" s="23" t="n">
        <f aca="false">MIN(C5,C6,C7,C8,C9,C11)</f>
        <v>0.272948003841511</v>
      </c>
      <c r="D13" s="23" t="n">
        <f aca="false">MAX(D5,D6,D7,D8,D9,D11)</f>
        <v>2.11953009382892</v>
      </c>
      <c r="E13" s="23" t="n">
        <f aca="false">(C13+D13)/2</f>
        <v>1.19623904883522</v>
      </c>
      <c r="F13" s="24" t="n">
        <f aca="false">E13/Assumptions!$C$7-1</f>
        <v>-0.876251559597876</v>
      </c>
      <c r="G13" s="25" t="s">
        <v>71</v>
      </c>
    </row>
    <row r="15" customFormat="false" ht="15.75" hidden="false" customHeight="true" outlineLevel="0" collapsed="false">
      <c r="A15" s="26" t="s">
        <v>72</v>
      </c>
      <c r="B15" s="26"/>
      <c r="C15" s="26"/>
      <c r="D15" s="26"/>
      <c r="E15" s="26"/>
      <c r="F15" s="26"/>
      <c r="G15" s="26"/>
      <c r="H15" s="26"/>
    </row>
    <row r="16" customFormat="false" ht="15" hidden="false" customHeight="false" outlineLevel="0" collapsed="false">
      <c r="A16" s="3" t="s">
        <v>73</v>
      </c>
      <c r="B16" s="3" t="s">
        <v>74</v>
      </c>
    </row>
    <row r="17" customFormat="false" ht="15" hidden="false" customHeight="false" outlineLevel="0" collapsed="false">
      <c r="A17" s="27" t="s">
        <v>75</v>
      </c>
      <c r="B17" s="28" t="str">
        <f aca="false">REPT("▮",MAX(1,ROUND((D5-C5)/10,0)))&amp;"  ["&amp;TEXT(C5,"0")&amp;"—"&amp;TEXT(D5,"0")&amp;"]"</f>
        <v>▮  [2—2]</v>
      </c>
      <c r="C17" s="28"/>
      <c r="D17" s="28"/>
      <c r="E17" s="28"/>
      <c r="F17" s="28"/>
      <c r="G17" s="28"/>
    </row>
    <row r="18" customFormat="false" ht="15" hidden="false" customHeight="false" outlineLevel="0" collapsed="false">
      <c r="A18" s="27" t="s">
        <v>76</v>
      </c>
      <c r="B18" s="28" t="str">
        <f aca="false">REPT("▮",MAX(1,ROUND((D6-C6)/10,0)))&amp;"  ["&amp;TEXT(C6,"0")&amp;"—"&amp;TEXT(D6,"0")&amp;"]"</f>
        <v>▮  [0—0]</v>
      </c>
      <c r="C18" s="28"/>
      <c r="D18" s="28"/>
      <c r="E18" s="28"/>
      <c r="F18" s="28"/>
      <c r="G18" s="28"/>
    </row>
    <row r="19" customFormat="false" ht="15" hidden="false" customHeight="false" outlineLevel="0" collapsed="false">
      <c r="A19" s="27" t="s">
        <v>77</v>
      </c>
      <c r="B19" s="28" t="str">
        <f aca="false">REPT("▮",MAX(1,ROUND((D7-C7)/10,0)))&amp;"  ["&amp;TEXT(C7,"0")&amp;"—"&amp;TEXT(D7,"0")&amp;"]"</f>
        <v>▮  [1—1]</v>
      </c>
      <c r="C19" s="28"/>
      <c r="D19" s="28"/>
      <c r="E19" s="28"/>
      <c r="F19" s="28"/>
      <c r="G19" s="28"/>
    </row>
    <row r="20" customFormat="false" ht="15" hidden="false" customHeight="false" outlineLevel="0" collapsed="false">
      <c r="A20" s="27" t="s">
        <v>78</v>
      </c>
      <c r="B20" s="28" t="str">
        <f aca="false">REPT("▮",MAX(1,ROUND((D8-C8)/10,0)))&amp;"  ["&amp;TEXT(C8,"0")&amp;"—"&amp;TEXT(D8,"0")&amp;"]"</f>
        <v>▮  [1—1]</v>
      </c>
      <c r="C20" s="28"/>
      <c r="D20" s="28"/>
      <c r="E20" s="28"/>
      <c r="F20" s="28"/>
      <c r="G20" s="28"/>
    </row>
    <row r="21" customFormat="false" ht="15" hidden="false" customHeight="false" outlineLevel="0" collapsed="false">
      <c r="A21" s="25" t="s">
        <v>79</v>
      </c>
      <c r="B21" s="28" t="str">
        <f aca="false">REPT("▮",MAX(1,ROUND((D9-C9)/10,0)))&amp;"  ["&amp;TEXT(C9,"0")&amp;"—"&amp;TEXT(D9,"0")&amp;"]"</f>
        <v>▮  [1—1]</v>
      </c>
      <c r="C21" s="28"/>
      <c r="D21" s="28"/>
      <c r="E21" s="28"/>
      <c r="F21" s="28"/>
      <c r="G21" s="28"/>
    </row>
    <row r="22" customFormat="false" ht="15" hidden="false" customHeight="false" outlineLevel="0" collapsed="false">
      <c r="A22" s="25" t="s">
        <v>80</v>
      </c>
      <c r="B22" s="28" t="str">
        <f aca="false">REPT("▮",MAX(1,ROUND((D10-C10)/10,0)))&amp;"  ["&amp;TEXT(C10,"0")&amp;"—"&amp;TEXT(D10,"0")&amp;"]"</f>
        <v>▮  [2—2]</v>
      </c>
      <c r="C22" s="28"/>
      <c r="D22" s="28"/>
      <c r="E22" s="28"/>
      <c r="F22" s="28"/>
      <c r="G22" s="28"/>
    </row>
    <row r="23" customFormat="false" ht="15" hidden="false" customHeight="false" outlineLevel="0" collapsed="false">
      <c r="A23" s="27" t="s">
        <v>81</v>
      </c>
      <c r="B23" s="28" t="str">
        <f aca="false">REPT("▮",MAX(1,ROUND((D11-C11)/10,0)))&amp;"  ["&amp;TEXT(C11,"0")&amp;"—"&amp;TEXT(D11,"0")&amp;"]"</f>
        <v>▮  [2—2]</v>
      </c>
      <c r="C23" s="28"/>
      <c r="D23" s="28"/>
      <c r="E23" s="28"/>
      <c r="F23" s="28"/>
      <c r="G23" s="28"/>
    </row>
    <row r="25" customFormat="false" ht="15" hidden="false" customHeight="true" outlineLevel="0" collapsed="false">
      <c r="A25" s="3" t="s">
        <v>82</v>
      </c>
      <c r="B25" s="29" t="s">
        <v>83</v>
      </c>
      <c r="C25" s="29"/>
      <c r="D25" s="29"/>
      <c r="E25" s="29"/>
      <c r="F25" s="29"/>
      <c r="G25" s="29"/>
    </row>
    <row r="26" customFormat="false" ht="15" hidden="false" customHeight="false" outlineLevel="0" collapsed="false">
      <c r="A26" s="10" t="s">
        <v>84</v>
      </c>
      <c r="B26" s="30" t="str">
        <f aca="false">IF("已复核：重资产扩产期最低现金储备与滚动续债形成动态杠杆路径，使FCFE较恒定资本结构FCFF高约30.6%；差异保留并分别列示，不作机械配平。"&lt;&gt;"","WAIVED: 已复核：重资产扩产期最低现金储备与滚动续债形成动态杠杆路径，使FCFE较恒定资本结构FCFF高约30.6%；差异保留并分别列示，不作机械配平。",IF(ABS(FCFE!D22)&gt;=0.3,"警告: 差异≥30%, 复核债务调度/资本结构/终值","通过: 差异&lt;30%"))</f>
        <v>WAIVED: 已复核：重资产扩产期最低现金储备与滚动续债形成动态杠杆路径，使FCFE较恒定资本结构FCFF高约30.6%；差异保留并分别列示，不作机械配平。</v>
      </c>
      <c r="C26" s="30"/>
      <c r="D26" s="30"/>
      <c r="E26" s="30"/>
      <c r="F26" s="30"/>
      <c r="G26" s="30"/>
    </row>
    <row r="27" customFormat="false" ht="15" hidden="false" customHeight="false" outlineLevel="0" collapsed="false">
      <c r="A27" s="3" t="s">
        <v>85</v>
      </c>
      <c r="B27" s="30" t="str">
        <f aca="false">IF(ABS(Scenarios!B36-1)&gt;=0.3,"警告: 桥接差异≥30%, 复核简化引擎","通过: 桥接差异&lt;30%")</f>
        <v>警告: 桥接差异≥30%, 复核简化引擎</v>
      </c>
      <c r="C27" s="30"/>
      <c r="D27" s="30"/>
      <c r="E27" s="30"/>
      <c r="F27" s="30"/>
      <c r="G27" s="30"/>
    </row>
  </sheetData>
  <mergeCells count="13">
    <mergeCell ref="A1:H1"/>
    <mergeCell ref="A2:H2"/>
    <mergeCell ref="A15:H15"/>
    <mergeCell ref="B17:G17"/>
    <mergeCell ref="B18:G18"/>
    <mergeCell ref="B19:G19"/>
    <mergeCell ref="B20:G20"/>
    <mergeCell ref="B21:G21"/>
    <mergeCell ref="B22:G22"/>
    <mergeCell ref="B23:G23"/>
    <mergeCell ref="B25:G25"/>
    <mergeCell ref="B26:G26"/>
    <mergeCell ref="B27:G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30.93"/>
    <col collapsed="false" customWidth="true" hidden="false" outlineLevel="0" max="2" min="2" style="0" width="7.28"/>
    <col collapsed="false" customWidth="true" hidden="false" outlineLevel="0" max="7" min="3" style="0" width="10.01"/>
    <col collapsed="false" customWidth="true" hidden="false" outlineLevel="0" max="8" min="8" style="0" width="86.43"/>
  </cols>
  <sheetData>
    <row r="1" customFormat="false" ht="24" hidden="false" customHeight="true" outlineLevel="0" collapsed="false">
      <c r="A1" s="14" t="s">
        <v>86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87</v>
      </c>
      <c r="B2" s="15"/>
      <c r="C2" s="15"/>
      <c r="D2" s="15"/>
      <c r="E2" s="15"/>
      <c r="F2" s="15"/>
      <c r="G2" s="15"/>
      <c r="H2" s="15"/>
      <c r="I2" s="15"/>
      <c r="J2" s="15"/>
    </row>
    <row r="4" customFormat="false" ht="15.75" hidden="false" customHeight="true" outlineLevel="0" collapsed="false">
      <c r="A4" s="26" t="s">
        <v>88</v>
      </c>
      <c r="B4" s="26"/>
      <c r="C4" s="26"/>
      <c r="D4" s="26"/>
      <c r="E4" s="26"/>
      <c r="F4" s="26"/>
      <c r="G4" s="26"/>
      <c r="H4" s="26"/>
      <c r="I4" s="26"/>
      <c r="J4" s="26"/>
    </row>
    <row r="5" customFormat="false" ht="15" hidden="false" customHeight="false" outlineLevel="0" collapsed="false">
      <c r="A5" s="5" t="s">
        <v>89</v>
      </c>
      <c r="B5" s="31" t="s">
        <v>90</v>
      </c>
      <c r="C5" s="32" t="n">
        <v>2</v>
      </c>
      <c r="H5" s="20" t="s">
        <v>91</v>
      </c>
    </row>
    <row r="6" customFormat="false" ht="15" hidden="false" customHeight="false" outlineLevel="0" collapsed="false">
      <c r="A6" s="5" t="s">
        <v>92</v>
      </c>
      <c r="C6" s="33" t="s">
        <v>93</v>
      </c>
      <c r="H6" s="25" t="s">
        <v>94</v>
      </c>
    </row>
    <row r="7" customFormat="false" ht="25.35" hidden="false" customHeight="false" outlineLevel="0" collapsed="false">
      <c r="A7" s="5" t="s">
        <v>95</v>
      </c>
      <c r="B7" s="34" t="s">
        <v>96</v>
      </c>
      <c r="C7" s="35" t="n">
        <v>9.6667</v>
      </c>
      <c r="H7" s="20" t="s">
        <v>97</v>
      </c>
    </row>
    <row r="8" customFormat="false" ht="15" hidden="false" customHeight="false" outlineLevel="0" collapsed="false">
      <c r="A8" s="5" t="s">
        <v>98</v>
      </c>
      <c r="B8" s="34" t="s">
        <v>99</v>
      </c>
      <c r="C8" s="36" t="n">
        <v>8561.1</v>
      </c>
      <c r="H8" s="20" t="s">
        <v>100</v>
      </c>
    </row>
    <row r="9" customFormat="false" ht="15" hidden="false" customHeight="false" outlineLevel="0" collapsed="false">
      <c r="A9" s="5" t="s">
        <v>101</v>
      </c>
      <c r="B9" s="34" t="s">
        <v>102</v>
      </c>
      <c r="C9" s="9" t="n">
        <f aca="false">C7*C8</f>
        <v>82757.58537</v>
      </c>
      <c r="H9" s="25" t="s">
        <v>103</v>
      </c>
    </row>
    <row r="11" customFormat="false" ht="15.75" hidden="false" customHeight="true" outlineLevel="0" collapsed="false">
      <c r="A11" s="26" t="s">
        <v>104</v>
      </c>
      <c r="B11" s="26"/>
      <c r="C11" s="26"/>
      <c r="D11" s="26"/>
      <c r="E11" s="26"/>
      <c r="F11" s="26"/>
      <c r="G11" s="26"/>
      <c r="H11" s="26"/>
      <c r="I11" s="26"/>
      <c r="J11" s="26"/>
    </row>
    <row r="12" customFormat="false" ht="15" hidden="false" customHeight="false" outlineLevel="0" collapsed="false">
      <c r="A12" s="5" t="s">
        <v>105</v>
      </c>
      <c r="B12" s="34" t="s">
        <v>102</v>
      </c>
      <c r="C12" s="36" t="n">
        <v>10833.2</v>
      </c>
      <c r="H12" s="20" t="s">
        <v>106</v>
      </c>
    </row>
    <row r="13" customFormat="false" ht="15" hidden="false" customHeight="false" outlineLevel="0" collapsed="false">
      <c r="A13" s="5" t="s">
        <v>107</v>
      </c>
      <c r="B13" s="34" t="s">
        <v>102</v>
      </c>
      <c r="C13" s="36" t="n">
        <v>795.8</v>
      </c>
      <c r="H13" s="20" t="s">
        <v>108</v>
      </c>
    </row>
    <row r="14" customFormat="false" ht="15" hidden="false" customHeight="false" outlineLevel="0" collapsed="false">
      <c r="A14" s="5" t="s">
        <v>109</v>
      </c>
      <c r="B14" s="34" t="s">
        <v>102</v>
      </c>
      <c r="C14" s="36" t="n">
        <v>10456.6</v>
      </c>
      <c r="H14" s="20" t="s">
        <v>106</v>
      </c>
    </row>
    <row r="15" customFormat="false" ht="15" hidden="false" customHeight="false" outlineLevel="0" collapsed="false">
      <c r="A15" s="5" t="s">
        <v>110</v>
      </c>
      <c r="B15" s="34" t="s">
        <v>102</v>
      </c>
      <c r="C15" s="36" t="n">
        <v>768.1</v>
      </c>
      <c r="H15" s="20" t="s">
        <v>108</v>
      </c>
    </row>
    <row r="16" customFormat="false" ht="15" hidden="false" customHeight="false" outlineLevel="0" collapsed="false">
      <c r="A16" s="5" t="s">
        <v>111</v>
      </c>
      <c r="B16" s="34" t="s">
        <v>102</v>
      </c>
      <c r="C16" s="36" t="n">
        <v>10155.3</v>
      </c>
      <c r="H16" s="20" t="s">
        <v>106</v>
      </c>
    </row>
    <row r="17" customFormat="false" ht="15" hidden="false" customHeight="false" outlineLevel="0" collapsed="false">
      <c r="A17" s="5" t="s">
        <v>112</v>
      </c>
      <c r="B17" s="34" t="s">
        <v>102</v>
      </c>
      <c r="C17" s="36" t="n">
        <v>746</v>
      </c>
      <c r="H17" s="20" t="s">
        <v>108</v>
      </c>
    </row>
    <row r="19" customFormat="false" ht="15.75" hidden="false" customHeight="true" outlineLevel="0" collapsed="false">
      <c r="A19" s="26" t="s">
        <v>113</v>
      </c>
      <c r="B19" s="26"/>
      <c r="C19" s="26"/>
      <c r="D19" s="26"/>
      <c r="E19" s="26"/>
      <c r="F19" s="26"/>
      <c r="G19" s="26"/>
      <c r="H19" s="26"/>
      <c r="I19" s="26"/>
      <c r="J19" s="26"/>
    </row>
    <row r="20" customFormat="false" ht="15" hidden="false" customHeight="false" outlineLevel="0" collapsed="false">
      <c r="A20" s="3" t="s">
        <v>114</v>
      </c>
      <c r="C20" s="37" t="s">
        <v>115</v>
      </c>
      <c r="D20" s="37" t="s">
        <v>116</v>
      </c>
      <c r="E20" s="37" t="s">
        <v>117</v>
      </c>
      <c r="F20" s="37" t="s">
        <v>118</v>
      </c>
      <c r="G20" s="37" t="s">
        <v>119</v>
      </c>
      <c r="H20" s="3" t="s">
        <v>120</v>
      </c>
    </row>
    <row r="21" customFormat="false" ht="15" hidden="false" customHeight="false" outlineLevel="0" collapsed="false">
      <c r="A21" s="5" t="s">
        <v>121</v>
      </c>
      <c r="B21" s="31" t="s">
        <v>122</v>
      </c>
      <c r="C21" s="38" t="n">
        <v>0.1615</v>
      </c>
      <c r="D21" s="38" t="n">
        <v>0.1211</v>
      </c>
      <c r="E21" s="38" t="n">
        <v>0.0888</v>
      </c>
      <c r="F21" s="38" t="n">
        <v>0.0646</v>
      </c>
      <c r="G21" s="38" t="n">
        <v>0.0485</v>
      </c>
      <c r="H21" s="20" t="s">
        <v>123</v>
      </c>
    </row>
    <row r="23" customFormat="false" ht="15.75" hidden="false" customHeight="true" outlineLevel="0" collapsed="false">
      <c r="A23" s="26" t="s">
        <v>124</v>
      </c>
      <c r="B23" s="26"/>
      <c r="C23" s="26"/>
      <c r="D23" s="26"/>
      <c r="E23" s="26"/>
      <c r="F23" s="26"/>
      <c r="G23" s="26"/>
      <c r="H23" s="26"/>
      <c r="I23" s="26"/>
      <c r="J23" s="26"/>
    </row>
    <row r="24" customFormat="false" ht="15" hidden="false" customHeight="false" outlineLevel="0" collapsed="false">
      <c r="A24" s="5" t="s">
        <v>125</v>
      </c>
      <c r="B24" s="31" t="s">
        <v>122</v>
      </c>
      <c r="C24" s="38" t="n">
        <v>0.2098</v>
      </c>
      <c r="D24" s="38" t="n">
        <v>0.2098</v>
      </c>
      <c r="E24" s="38" t="n">
        <v>0.2098</v>
      </c>
      <c r="F24" s="38" t="n">
        <v>0.2098</v>
      </c>
      <c r="G24" s="38" t="n">
        <v>0.2098</v>
      </c>
      <c r="H24" s="20" t="s">
        <v>126</v>
      </c>
    </row>
    <row r="26" customFormat="false" ht="15.75" hidden="false" customHeight="true" outlineLevel="0" collapsed="false">
      <c r="A26" s="26" t="s">
        <v>127</v>
      </c>
      <c r="B26" s="26"/>
      <c r="C26" s="26"/>
      <c r="D26" s="26"/>
      <c r="E26" s="26"/>
      <c r="F26" s="26"/>
      <c r="G26" s="26"/>
      <c r="H26" s="26"/>
      <c r="I26" s="26"/>
      <c r="J26" s="26"/>
    </row>
    <row r="27" customFormat="false" ht="15" hidden="false" customHeight="false" outlineLevel="0" collapsed="false">
      <c r="A27" s="5" t="s">
        <v>128</v>
      </c>
      <c r="B27" s="31" t="s">
        <v>122</v>
      </c>
      <c r="C27" s="38" t="n">
        <v>0</v>
      </c>
      <c r="D27" s="38" t="n">
        <v>0</v>
      </c>
      <c r="E27" s="38" t="n">
        <v>0</v>
      </c>
      <c r="F27" s="38" t="n">
        <v>0</v>
      </c>
      <c r="G27" s="38" t="n">
        <v>0</v>
      </c>
      <c r="H27" s="20" t="s">
        <v>129</v>
      </c>
    </row>
    <row r="28" customFormat="false" ht="15" hidden="false" customHeight="false" outlineLevel="0" collapsed="false">
      <c r="A28" s="5" t="s">
        <v>130</v>
      </c>
      <c r="B28" s="31" t="s">
        <v>122</v>
      </c>
      <c r="C28" s="38" t="n">
        <v>0.0046</v>
      </c>
      <c r="D28" s="38" t="n">
        <v>0.0046</v>
      </c>
      <c r="E28" s="38" t="n">
        <v>0.0046</v>
      </c>
      <c r="F28" s="38" t="n">
        <v>0.0046</v>
      </c>
      <c r="G28" s="38" t="n">
        <v>0.0046</v>
      </c>
      <c r="H28" s="20" t="s">
        <v>131</v>
      </c>
    </row>
    <row r="29" customFormat="false" ht="15" hidden="false" customHeight="false" outlineLevel="0" collapsed="false">
      <c r="A29" s="5" t="s">
        <v>132</v>
      </c>
      <c r="B29" s="31" t="s">
        <v>122</v>
      </c>
      <c r="C29" s="38" t="n">
        <v>0.0564</v>
      </c>
      <c r="D29" s="38" t="n">
        <v>0.0564</v>
      </c>
      <c r="E29" s="38" t="n">
        <v>0.0564</v>
      </c>
      <c r="F29" s="38" t="n">
        <v>0.0564</v>
      </c>
      <c r="G29" s="38" t="n">
        <v>0.0564</v>
      </c>
      <c r="H29" s="20" t="s">
        <v>133</v>
      </c>
    </row>
    <row r="30" customFormat="false" ht="15" hidden="false" customHeight="false" outlineLevel="0" collapsed="false">
      <c r="A30" s="5" t="s">
        <v>134</v>
      </c>
      <c r="B30" s="31" t="s">
        <v>122</v>
      </c>
      <c r="C30" s="38" t="n">
        <v>0.0829</v>
      </c>
      <c r="D30" s="38" t="n">
        <v>0.0829</v>
      </c>
      <c r="E30" s="38" t="n">
        <v>0.0829</v>
      </c>
      <c r="F30" s="38" t="n">
        <v>0.0829</v>
      </c>
      <c r="G30" s="38" t="n">
        <v>0.0829</v>
      </c>
      <c r="H30" s="20" t="s">
        <v>135</v>
      </c>
    </row>
    <row r="31" customFormat="false" ht="15" hidden="false" customHeight="false" outlineLevel="0" collapsed="false">
      <c r="A31" s="5" t="s">
        <v>136</v>
      </c>
      <c r="B31" s="34" t="s">
        <v>102</v>
      </c>
      <c r="C31" s="39" t="n">
        <v>471.2</v>
      </c>
      <c r="D31" s="39" t="n">
        <v>471.2</v>
      </c>
      <c r="E31" s="39" t="n">
        <v>471.2</v>
      </c>
      <c r="F31" s="39" t="n">
        <v>471.2</v>
      </c>
      <c r="G31" s="39" t="n">
        <v>471.2</v>
      </c>
      <c r="H31" s="20" t="s">
        <v>137</v>
      </c>
    </row>
    <row r="32" customFormat="false" ht="15" hidden="false" customHeight="false" outlineLevel="0" collapsed="false">
      <c r="A32" s="5" t="s">
        <v>138</v>
      </c>
      <c r="B32" s="34" t="s">
        <v>102</v>
      </c>
      <c r="C32" s="39" t="n">
        <v>-36.7</v>
      </c>
      <c r="D32" s="39" t="n">
        <v>-36.7</v>
      </c>
      <c r="E32" s="39" t="n">
        <v>-36.7</v>
      </c>
      <c r="F32" s="39" t="n">
        <v>-36.7</v>
      </c>
      <c r="G32" s="39" t="n">
        <v>-36.7</v>
      </c>
      <c r="H32" s="20" t="s">
        <v>139</v>
      </c>
    </row>
    <row r="33" customFormat="false" ht="15" hidden="false" customHeight="false" outlineLevel="0" collapsed="false">
      <c r="A33" s="5" t="s">
        <v>140</v>
      </c>
      <c r="B33" s="31" t="s">
        <v>122</v>
      </c>
      <c r="C33" s="38" t="n">
        <v>0.1096</v>
      </c>
      <c r="D33" s="38" t="n">
        <v>0.1096</v>
      </c>
      <c r="E33" s="38" t="n">
        <v>0.1096</v>
      </c>
      <c r="F33" s="38" t="n">
        <v>0.1096</v>
      </c>
      <c r="G33" s="38" t="n">
        <v>0.1096</v>
      </c>
      <c r="H33" s="20" t="s">
        <v>141</v>
      </c>
    </row>
    <row r="34" customFormat="false" ht="15" hidden="false" customHeight="false" outlineLevel="0" collapsed="false">
      <c r="A34" s="5" t="s">
        <v>142</v>
      </c>
      <c r="B34" s="31" t="s">
        <v>122</v>
      </c>
      <c r="C34" s="38" t="n">
        <v>0.316128</v>
      </c>
      <c r="D34" s="38" t="n">
        <v>0.316128</v>
      </c>
      <c r="E34" s="38" t="n">
        <v>0.316128</v>
      </c>
      <c r="F34" s="38" t="n">
        <v>0.316128</v>
      </c>
      <c r="G34" s="38" t="n">
        <v>0.316128</v>
      </c>
      <c r="H34" s="20" t="s">
        <v>143</v>
      </c>
    </row>
    <row r="35" customFormat="false" ht="15" hidden="false" customHeight="false" outlineLevel="0" collapsed="false">
      <c r="A35" s="5" t="s">
        <v>144</v>
      </c>
      <c r="B35" s="31" t="s">
        <v>122</v>
      </c>
      <c r="C35" s="38" t="n">
        <v>-0.0027</v>
      </c>
      <c r="H35" s="20" t="s">
        <v>145</v>
      </c>
    </row>
    <row r="37" customFormat="false" ht="15.75" hidden="false" customHeight="true" outlineLevel="0" collapsed="false">
      <c r="A37" s="26" t="s">
        <v>146</v>
      </c>
      <c r="B37" s="26"/>
      <c r="C37" s="26"/>
      <c r="D37" s="26"/>
      <c r="E37" s="26"/>
      <c r="F37" s="26"/>
      <c r="G37" s="26"/>
      <c r="H37" s="26"/>
      <c r="I37" s="26"/>
      <c r="J37" s="26"/>
    </row>
    <row r="38" customFormat="false" ht="15" hidden="false" customHeight="false" outlineLevel="0" collapsed="false">
      <c r="A38" s="4" t="s">
        <v>147</v>
      </c>
      <c r="B38" s="34" t="s">
        <v>148</v>
      </c>
      <c r="C38" s="40" t="n">
        <v>56</v>
      </c>
      <c r="D38" s="40" t="n">
        <v>56</v>
      </c>
      <c r="E38" s="40" t="n">
        <v>56</v>
      </c>
      <c r="F38" s="40" t="n">
        <v>56</v>
      </c>
      <c r="G38" s="40" t="n">
        <v>56</v>
      </c>
      <c r="H38" s="20" t="s">
        <v>149</v>
      </c>
    </row>
    <row r="39" customFormat="false" ht="15" hidden="false" customHeight="false" outlineLevel="0" collapsed="false">
      <c r="A39" s="4" t="s">
        <v>150</v>
      </c>
      <c r="B39" s="34" t="s">
        <v>148</v>
      </c>
      <c r="C39" s="40" t="n">
        <v>180</v>
      </c>
      <c r="D39" s="40" t="n">
        <v>180</v>
      </c>
      <c r="E39" s="40" t="n">
        <v>180</v>
      </c>
      <c r="F39" s="40" t="n">
        <v>180</v>
      </c>
      <c r="G39" s="40" t="n">
        <v>180</v>
      </c>
      <c r="H39" s="20" t="s">
        <v>151</v>
      </c>
    </row>
    <row r="40" customFormat="false" ht="15" hidden="false" customHeight="false" outlineLevel="0" collapsed="false">
      <c r="A40" s="4" t="s">
        <v>152</v>
      </c>
      <c r="B40" s="34" t="s">
        <v>148</v>
      </c>
      <c r="C40" s="40" t="n">
        <v>147</v>
      </c>
      <c r="D40" s="40" t="n">
        <v>147</v>
      </c>
      <c r="E40" s="40" t="n">
        <v>147</v>
      </c>
      <c r="F40" s="40" t="n">
        <v>147</v>
      </c>
      <c r="G40" s="40" t="n">
        <v>147</v>
      </c>
      <c r="H40" s="20" t="s">
        <v>153</v>
      </c>
    </row>
    <row r="41" customFormat="false" ht="15" hidden="false" customHeight="false" outlineLevel="0" collapsed="false">
      <c r="A41" s="5" t="s">
        <v>154</v>
      </c>
      <c r="B41" s="31" t="s">
        <v>122</v>
      </c>
      <c r="C41" s="38" t="n">
        <v>0.0072</v>
      </c>
      <c r="D41" s="38" t="n">
        <v>0.0072</v>
      </c>
      <c r="E41" s="38" t="n">
        <v>0.0072</v>
      </c>
      <c r="F41" s="38" t="n">
        <v>0.0072</v>
      </c>
      <c r="G41" s="38" t="n">
        <v>0.0072</v>
      </c>
      <c r="H41" s="20" t="s">
        <v>155</v>
      </c>
    </row>
    <row r="42" customFormat="false" ht="15" hidden="false" customHeight="false" outlineLevel="0" collapsed="false">
      <c r="A42" s="5" t="s">
        <v>156</v>
      </c>
      <c r="B42" s="31" t="s">
        <v>122</v>
      </c>
      <c r="C42" s="38" t="n">
        <v>0</v>
      </c>
      <c r="D42" s="38" t="n">
        <v>0</v>
      </c>
      <c r="E42" s="38" t="n">
        <v>0</v>
      </c>
      <c r="F42" s="38" t="n">
        <v>0</v>
      </c>
      <c r="G42" s="38" t="n">
        <v>0</v>
      </c>
      <c r="H42" s="20" t="s">
        <v>157</v>
      </c>
    </row>
    <row r="43" customFormat="false" ht="15" hidden="false" customHeight="false" outlineLevel="0" collapsed="false">
      <c r="A43" s="5" t="s">
        <v>158</v>
      </c>
      <c r="B43" s="31" t="s">
        <v>122</v>
      </c>
      <c r="C43" s="38" t="n">
        <v>0.0036</v>
      </c>
      <c r="D43" s="38" t="n">
        <v>0.0036</v>
      </c>
      <c r="E43" s="38" t="n">
        <v>0.0036</v>
      </c>
      <c r="F43" s="38" t="n">
        <v>0.0036</v>
      </c>
      <c r="G43" s="38" t="n">
        <v>0.0036</v>
      </c>
      <c r="H43" s="20" t="s">
        <v>159</v>
      </c>
    </row>
    <row r="45" customFormat="false" ht="15.75" hidden="false" customHeight="true" outlineLevel="0" collapsed="false">
      <c r="A45" s="26" t="s">
        <v>160</v>
      </c>
      <c r="B45" s="26"/>
      <c r="C45" s="26"/>
      <c r="D45" s="26"/>
      <c r="E45" s="26"/>
      <c r="F45" s="26"/>
      <c r="G45" s="26"/>
      <c r="H45" s="26"/>
      <c r="I45" s="26"/>
      <c r="J45" s="26"/>
    </row>
    <row r="46" customFormat="false" ht="15" hidden="false" customHeight="false" outlineLevel="0" collapsed="false">
      <c r="A46" s="4" t="s">
        <v>161</v>
      </c>
      <c r="B46" s="31" t="s">
        <v>122</v>
      </c>
      <c r="C46" s="38" t="n">
        <v>0.35</v>
      </c>
      <c r="D46" s="38" t="n">
        <v>0.2975</v>
      </c>
      <c r="E46" s="38" t="n">
        <v>0.245</v>
      </c>
      <c r="F46" s="38" t="n">
        <v>0.21</v>
      </c>
      <c r="G46" s="38" t="n">
        <v>0.175</v>
      </c>
      <c r="H46" s="20" t="s">
        <v>162</v>
      </c>
    </row>
    <row r="47" customFormat="false" ht="15" hidden="false" customHeight="false" outlineLevel="0" collapsed="false">
      <c r="A47" s="5" t="s">
        <v>163</v>
      </c>
      <c r="B47" s="31" t="s">
        <v>122</v>
      </c>
      <c r="C47" s="38" t="n">
        <v>0.75</v>
      </c>
      <c r="H47" s="20" t="s">
        <v>164</v>
      </c>
    </row>
    <row r="48" customFormat="false" ht="15" hidden="false" customHeight="false" outlineLevel="0" collapsed="false">
      <c r="A48" s="5" t="s">
        <v>165</v>
      </c>
      <c r="B48" s="31" t="s">
        <v>122</v>
      </c>
      <c r="C48" s="38" t="n">
        <v>0.12</v>
      </c>
      <c r="H48" s="20" t="s">
        <v>166</v>
      </c>
    </row>
    <row r="49" customFormat="false" ht="15" hidden="false" customHeight="false" outlineLevel="0" collapsed="false">
      <c r="A49" s="5" t="s">
        <v>167</v>
      </c>
      <c r="B49" s="31" t="s">
        <v>122</v>
      </c>
      <c r="C49" s="38" t="n">
        <v>0.04</v>
      </c>
      <c r="H49" s="20" t="s">
        <v>168</v>
      </c>
    </row>
    <row r="50" customFormat="false" ht="15" hidden="false" customHeight="false" outlineLevel="0" collapsed="false">
      <c r="A50" s="5" t="s">
        <v>169</v>
      </c>
      <c r="B50" s="31" t="s">
        <v>122</v>
      </c>
      <c r="C50" s="38" t="n">
        <v>0.01</v>
      </c>
      <c r="H50" s="20" t="s">
        <v>170</v>
      </c>
    </row>
    <row r="51" customFormat="false" ht="15" hidden="false" customHeight="false" outlineLevel="0" collapsed="false">
      <c r="A51" s="5" t="s">
        <v>171</v>
      </c>
      <c r="B51" s="31" t="s">
        <v>122</v>
      </c>
      <c r="C51" s="38" t="n">
        <v>0.08</v>
      </c>
      <c r="H51" s="20" t="s">
        <v>172</v>
      </c>
    </row>
    <row r="53" customFormat="false" ht="15.75" hidden="false" customHeight="true" outlineLevel="0" collapsed="false">
      <c r="A53" s="26" t="s">
        <v>173</v>
      </c>
      <c r="B53" s="26"/>
      <c r="C53" s="26"/>
      <c r="D53" s="26"/>
      <c r="E53" s="26"/>
      <c r="F53" s="26"/>
      <c r="G53" s="26"/>
      <c r="H53" s="26"/>
      <c r="I53" s="26"/>
      <c r="J53" s="26"/>
    </row>
    <row r="54" customFormat="false" ht="15" hidden="false" customHeight="false" outlineLevel="0" collapsed="false">
      <c r="A54" s="5" t="s">
        <v>174</v>
      </c>
      <c r="B54" s="31" t="s">
        <v>122</v>
      </c>
      <c r="C54" s="38" t="n">
        <v>0.3</v>
      </c>
      <c r="D54" s="38" t="n">
        <v>0.3</v>
      </c>
      <c r="E54" s="38" t="n">
        <v>0.3</v>
      </c>
      <c r="F54" s="38" t="n">
        <v>0.3</v>
      </c>
      <c r="G54" s="38" t="n">
        <v>0.3</v>
      </c>
      <c r="H54" s="20" t="s">
        <v>175</v>
      </c>
    </row>
    <row r="55" customFormat="false" ht="15" hidden="false" customHeight="false" outlineLevel="0" collapsed="false">
      <c r="A55" s="5" t="s">
        <v>176</v>
      </c>
      <c r="B55" s="31" t="s">
        <v>122</v>
      </c>
      <c r="C55" s="38" t="n">
        <v>0</v>
      </c>
      <c r="H55" s="22" t="s">
        <v>177</v>
      </c>
    </row>
    <row r="57" customFormat="false" ht="15.75" hidden="false" customHeight="true" outlineLevel="0" collapsed="false">
      <c r="A57" s="26" t="s">
        <v>178</v>
      </c>
      <c r="B57" s="26"/>
      <c r="C57" s="26"/>
      <c r="D57" s="26"/>
      <c r="E57" s="26"/>
      <c r="F57" s="26"/>
      <c r="G57" s="26"/>
      <c r="H57" s="26"/>
      <c r="I57" s="26"/>
      <c r="J57" s="26"/>
    </row>
    <row r="58" customFormat="false" ht="25.35" hidden="false" customHeight="false" outlineLevel="0" collapsed="false">
      <c r="A58" s="5" t="s">
        <v>179</v>
      </c>
      <c r="B58" s="31" t="s">
        <v>122</v>
      </c>
      <c r="C58" s="38" t="n">
        <v>0.6</v>
      </c>
      <c r="H58" s="20" t="s">
        <v>180</v>
      </c>
    </row>
    <row r="59" customFormat="false" ht="15" hidden="false" customHeight="false" outlineLevel="0" collapsed="false">
      <c r="A59" s="5" t="s">
        <v>181</v>
      </c>
      <c r="B59" s="34" t="s">
        <v>102</v>
      </c>
      <c r="C59" s="39" t="n">
        <v>0</v>
      </c>
      <c r="D59" s="39" t="n">
        <v>0</v>
      </c>
      <c r="E59" s="39" t="n">
        <v>0</v>
      </c>
      <c r="F59" s="39" t="n">
        <v>0</v>
      </c>
      <c r="G59" s="39" t="n">
        <v>0</v>
      </c>
      <c r="H59" s="20" t="s">
        <v>182</v>
      </c>
    </row>
    <row r="60" customFormat="false" ht="15" hidden="false" customHeight="false" outlineLevel="0" collapsed="false">
      <c r="A60" s="5" t="s">
        <v>183</v>
      </c>
      <c r="B60" s="34" t="s">
        <v>102</v>
      </c>
      <c r="C60" s="39" t="n">
        <v>0</v>
      </c>
      <c r="D60" s="39" t="n">
        <v>0</v>
      </c>
      <c r="E60" s="39" t="n">
        <v>0</v>
      </c>
      <c r="F60" s="39" t="n">
        <v>0</v>
      </c>
      <c r="G60" s="39" t="n">
        <v>0</v>
      </c>
      <c r="H60" s="20" t="s">
        <v>184</v>
      </c>
    </row>
    <row r="61" customFormat="false" ht="15" hidden="false" customHeight="false" outlineLevel="0" collapsed="false">
      <c r="A61" s="5" t="s">
        <v>185</v>
      </c>
      <c r="B61" s="34" t="s">
        <v>102</v>
      </c>
      <c r="C61" s="39" t="n">
        <v>0</v>
      </c>
      <c r="D61" s="39" t="n">
        <v>0</v>
      </c>
      <c r="E61" s="39" t="n">
        <v>0</v>
      </c>
      <c r="F61" s="39" t="n">
        <v>0</v>
      </c>
      <c r="G61" s="39" t="n">
        <v>0</v>
      </c>
      <c r="H61" s="20" t="s">
        <v>186</v>
      </c>
    </row>
    <row r="62" customFormat="false" ht="15" hidden="false" customHeight="false" outlineLevel="0" collapsed="false">
      <c r="A62" s="5" t="s">
        <v>187</v>
      </c>
      <c r="B62" s="34" t="s">
        <v>102</v>
      </c>
      <c r="C62" s="39" t="n">
        <v>0</v>
      </c>
      <c r="D62" s="39" t="n">
        <v>0</v>
      </c>
      <c r="E62" s="39" t="n">
        <v>0</v>
      </c>
      <c r="F62" s="39" t="n">
        <v>0</v>
      </c>
      <c r="G62" s="39" t="n">
        <v>0</v>
      </c>
      <c r="H62" s="20" t="s">
        <v>188</v>
      </c>
    </row>
    <row r="63" customFormat="false" ht="15" hidden="false" customHeight="false" outlineLevel="0" collapsed="false">
      <c r="A63" s="5" t="s">
        <v>189</v>
      </c>
      <c r="B63" s="31" t="s">
        <v>122</v>
      </c>
      <c r="C63" s="38" t="n">
        <v>0.03</v>
      </c>
      <c r="H63" s="20" t="s">
        <v>190</v>
      </c>
    </row>
    <row r="64" customFormat="false" ht="15" hidden="false" customHeight="false" outlineLevel="0" collapsed="false">
      <c r="A64" s="5" t="s">
        <v>191</v>
      </c>
      <c r="B64" s="31" t="s">
        <v>122</v>
      </c>
      <c r="C64" s="38" t="n">
        <v>0.034</v>
      </c>
      <c r="H64" s="20" t="s">
        <v>192</v>
      </c>
    </row>
    <row r="65" customFormat="false" ht="15" hidden="false" customHeight="false" outlineLevel="0" collapsed="false">
      <c r="A65" s="5" t="s">
        <v>193</v>
      </c>
      <c r="B65" s="31" t="s">
        <v>122</v>
      </c>
      <c r="C65" s="38" t="n">
        <v>0.037</v>
      </c>
      <c r="H65" s="20" t="s">
        <v>194</v>
      </c>
    </row>
    <row r="66" customFormat="false" ht="15" hidden="false" customHeight="false" outlineLevel="0" collapsed="false">
      <c r="A66" s="5" t="s">
        <v>195</v>
      </c>
      <c r="B66" s="31" t="s">
        <v>122</v>
      </c>
      <c r="C66" s="38" t="n">
        <v>0.045</v>
      </c>
      <c r="H66" s="20" t="s">
        <v>196</v>
      </c>
    </row>
    <row r="67" customFormat="false" ht="15" hidden="false" customHeight="false" outlineLevel="0" collapsed="false">
      <c r="A67" s="5" t="s">
        <v>197</v>
      </c>
      <c r="B67" s="31" t="s">
        <v>122</v>
      </c>
      <c r="C67" s="38" t="n">
        <v>0.012</v>
      </c>
      <c r="H67" s="20" t="s">
        <v>198</v>
      </c>
    </row>
    <row r="68" customFormat="false" ht="15" hidden="false" customHeight="false" outlineLevel="0" collapsed="false">
      <c r="A68" s="5" t="s">
        <v>199</v>
      </c>
      <c r="B68" s="34" t="s">
        <v>102</v>
      </c>
      <c r="C68" s="39" t="n">
        <v>30</v>
      </c>
      <c r="H68" s="20" t="s">
        <v>200</v>
      </c>
    </row>
    <row r="69" customFormat="false" ht="15" hidden="false" customHeight="false" outlineLevel="0" collapsed="false">
      <c r="A69" s="4" t="s">
        <v>201</v>
      </c>
      <c r="B69" s="34" t="s">
        <v>102</v>
      </c>
      <c r="C69" s="36" t="n">
        <v>12596.2</v>
      </c>
      <c r="H69" s="25" t="s">
        <v>202</v>
      </c>
    </row>
    <row r="71" customFormat="false" ht="15.75" hidden="false" customHeight="true" outlineLevel="0" collapsed="false">
      <c r="A71" s="26" t="s">
        <v>203</v>
      </c>
      <c r="B71" s="26"/>
      <c r="C71" s="26"/>
      <c r="D71" s="26"/>
      <c r="E71" s="26"/>
      <c r="F71" s="26"/>
      <c r="G71" s="26"/>
      <c r="H71" s="26"/>
      <c r="I71" s="26"/>
      <c r="J71" s="26"/>
    </row>
    <row r="72" customFormat="false" ht="15" hidden="false" customHeight="false" outlineLevel="0" collapsed="false">
      <c r="A72" s="5" t="s">
        <v>204</v>
      </c>
      <c r="B72" s="31" t="s">
        <v>122</v>
      </c>
      <c r="C72" s="38" t="n">
        <v>0.04</v>
      </c>
      <c r="H72" s="20" t="s">
        <v>205</v>
      </c>
    </row>
    <row r="73" customFormat="false" ht="15" hidden="false" customHeight="false" outlineLevel="0" collapsed="false">
      <c r="A73" s="5" t="s">
        <v>206</v>
      </c>
      <c r="B73" s="31" t="s">
        <v>122</v>
      </c>
      <c r="C73" s="38" t="n">
        <v>0.055</v>
      </c>
      <c r="H73" s="20" t="s">
        <v>207</v>
      </c>
    </row>
    <row r="74" customFormat="false" ht="15" hidden="false" customHeight="false" outlineLevel="0" collapsed="false">
      <c r="A74" s="5" t="s">
        <v>208</v>
      </c>
      <c r="B74" s="31" t="s">
        <v>209</v>
      </c>
      <c r="C74" s="41" t="n">
        <v>1</v>
      </c>
      <c r="H74" s="25" t="s">
        <v>210</v>
      </c>
    </row>
    <row r="75" customFormat="false" ht="15" hidden="false" customHeight="false" outlineLevel="0" collapsed="false">
      <c r="A75" s="5" t="s">
        <v>211</v>
      </c>
      <c r="B75" s="31" t="s">
        <v>122</v>
      </c>
      <c r="C75" s="19" t="n">
        <f aca="false">C69/(C69+C9)</f>
        <v>0.132099632449023</v>
      </c>
      <c r="H75" s="25" t="s">
        <v>212</v>
      </c>
    </row>
    <row r="76" customFormat="false" ht="15" hidden="false" customHeight="false" outlineLevel="0" collapsed="false">
      <c r="A76" s="5" t="s">
        <v>213</v>
      </c>
      <c r="B76" s="31" t="s">
        <v>209</v>
      </c>
      <c r="C76" s="42" t="n">
        <f aca="false">C75/(1-C75)</f>
        <v>0.152205987447359</v>
      </c>
      <c r="H76" s="27" t="s">
        <v>214</v>
      </c>
    </row>
    <row r="77" customFormat="false" ht="15" hidden="false" customHeight="false" outlineLevel="0" collapsed="false">
      <c r="A77" s="5" t="s">
        <v>215</v>
      </c>
      <c r="B77" s="31" t="s">
        <v>209</v>
      </c>
      <c r="C77" s="42" t="n">
        <f aca="false">C74*(1+(1-C33)*C76)</f>
        <v>1.13552421122313</v>
      </c>
      <c r="H77" s="27" t="s">
        <v>216</v>
      </c>
    </row>
    <row r="78" customFormat="false" ht="15" hidden="false" customHeight="false" outlineLevel="0" collapsed="false">
      <c r="A78" s="5" t="s">
        <v>217</v>
      </c>
      <c r="B78" s="31" t="s">
        <v>122</v>
      </c>
      <c r="C78" s="38" t="n">
        <v>0</v>
      </c>
      <c r="H78" s="20" t="s">
        <v>218</v>
      </c>
    </row>
    <row r="79" customFormat="false" ht="15" hidden="false" customHeight="false" outlineLevel="0" collapsed="false">
      <c r="A79" s="5" t="s">
        <v>219</v>
      </c>
      <c r="B79" s="31" t="s">
        <v>122</v>
      </c>
      <c r="C79" s="19" t="n">
        <f aca="false">C72+C77*C73+C78</f>
        <v>0.102453831617272</v>
      </c>
      <c r="H79" s="27" t="s">
        <v>220</v>
      </c>
    </row>
    <row r="80" customFormat="false" ht="15" hidden="false" customHeight="false" outlineLevel="0" collapsed="false">
      <c r="A80" s="5" t="s">
        <v>221</v>
      </c>
      <c r="B80" s="31" t="s">
        <v>122</v>
      </c>
      <c r="C80" s="38" t="n">
        <v>0.034</v>
      </c>
      <c r="H80" s="20" t="s">
        <v>222</v>
      </c>
    </row>
    <row r="81" customFormat="false" ht="15" hidden="false" customHeight="false" outlineLevel="0" collapsed="false">
      <c r="A81" s="4" t="s">
        <v>223</v>
      </c>
      <c r="B81" s="31" t="s">
        <v>122</v>
      </c>
      <c r="C81" s="19" t="n">
        <f aca="false">(1-C75)*C79+C75*C80*(1-C33)</f>
        <v>0.0929188495505451</v>
      </c>
      <c r="H81" s="25" t="s">
        <v>224</v>
      </c>
    </row>
    <row r="82" customFormat="false" ht="15" hidden="false" customHeight="false" outlineLevel="0" collapsed="false">
      <c r="A82" s="4" t="s">
        <v>225</v>
      </c>
      <c r="B82" s="31" t="s">
        <v>122</v>
      </c>
      <c r="C82" s="38"/>
      <c r="H82" s="25" t="s">
        <v>226</v>
      </c>
    </row>
    <row r="83" customFormat="false" ht="15" hidden="false" customHeight="false" outlineLevel="0" collapsed="false">
      <c r="A83" s="4" t="s">
        <v>227</v>
      </c>
      <c r="B83" s="31" t="s">
        <v>122</v>
      </c>
      <c r="C83" s="24" t="n">
        <f aca="false">IF(C82="",C81,C82)</f>
        <v>0.0929188495505451</v>
      </c>
      <c r="H83" s="25" t="s">
        <v>228</v>
      </c>
    </row>
    <row r="84" customFormat="false" ht="15" hidden="false" customHeight="false" outlineLevel="0" collapsed="false">
      <c r="A84" s="5" t="s">
        <v>229</v>
      </c>
      <c r="B84" s="31" t="s">
        <v>122</v>
      </c>
      <c r="C84" s="38" t="n">
        <v>0.03</v>
      </c>
      <c r="H84" s="20" t="s">
        <v>230</v>
      </c>
    </row>
    <row r="86" customFormat="false" ht="15.75" hidden="false" customHeight="true" outlineLevel="0" collapsed="false">
      <c r="A86" s="26" t="s">
        <v>231</v>
      </c>
      <c r="B86" s="26"/>
      <c r="C86" s="26"/>
      <c r="D86" s="26"/>
      <c r="E86" s="26"/>
      <c r="F86" s="26"/>
      <c r="G86" s="26"/>
      <c r="H86" s="26"/>
      <c r="I86" s="26"/>
      <c r="J86" s="26"/>
    </row>
    <row r="87" customFormat="false" ht="15" hidden="false" customHeight="false" outlineLevel="0" collapsed="false">
      <c r="A87" s="3" t="s">
        <v>232</v>
      </c>
      <c r="C87" s="43" t="s">
        <v>233</v>
      </c>
      <c r="D87" s="43" t="s">
        <v>234</v>
      </c>
      <c r="H87" s="3" t="s">
        <v>235</v>
      </c>
    </row>
    <row r="88" customFormat="false" ht="15" hidden="false" customHeight="false" outlineLevel="0" collapsed="false">
      <c r="A88" s="44" t="s">
        <v>236</v>
      </c>
      <c r="C88" s="38" t="n">
        <v>-0.15</v>
      </c>
      <c r="D88" s="38" t="n">
        <v>-0.03</v>
      </c>
      <c r="H88" s="25" t="s">
        <v>237</v>
      </c>
    </row>
    <row r="89" customFormat="false" ht="15" hidden="false" customHeight="false" outlineLevel="0" collapsed="false">
      <c r="A89" s="3" t="s">
        <v>238</v>
      </c>
      <c r="C89" s="38" t="n">
        <v>0</v>
      </c>
      <c r="D89" s="38" t="n">
        <v>0</v>
      </c>
      <c r="H89" s="25" t="s">
        <v>239</v>
      </c>
    </row>
    <row r="90" customFormat="false" ht="15" hidden="false" customHeight="false" outlineLevel="0" collapsed="false">
      <c r="A90" s="3" t="s">
        <v>240</v>
      </c>
      <c r="C90" s="38" t="n">
        <v>0.1</v>
      </c>
      <c r="D90" s="38" t="n">
        <v>0.015</v>
      </c>
      <c r="H90" s="25" t="s">
        <v>241</v>
      </c>
    </row>
  </sheetData>
  <mergeCells count="13">
    <mergeCell ref="A1:J1"/>
    <mergeCell ref="A2:J2"/>
    <mergeCell ref="A4:J4"/>
    <mergeCell ref="A11:J11"/>
    <mergeCell ref="A19:J19"/>
    <mergeCell ref="A23:J23"/>
    <mergeCell ref="A26:J26"/>
    <mergeCell ref="A37:J37"/>
    <mergeCell ref="A45:J45"/>
    <mergeCell ref="A53:J53"/>
    <mergeCell ref="A57:J57"/>
    <mergeCell ref="A71:J71"/>
    <mergeCell ref="A86:J8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7.3"/>
    <col collapsed="false" customWidth="true" hidden="false" outlineLevel="0" max="8" min="2" style="0" width="10.01"/>
    <col collapsed="false" customWidth="true" hidden="false" outlineLevel="0" max="9" min="9" style="0" width="81.88"/>
  </cols>
  <sheetData>
    <row r="1" customFormat="false" ht="24" hidden="false" customHeight="true" outlineLevel="0" collapsed="false">
      <c r="A1" s="14" t="s">
        <v>242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243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244</v>
      </c>
      <c r="B3" s="45" t="s">
        <v>245</v>
      </c>
      <c r="C3" s="45" t="s">
        <v>246</v>
      </c>
      <c r="D3" s="45" t="s">
        <v>115</v>
      </c>
      <c r="E3" s="45" t="s">
        <v>116</v>
      </c>
      <c r="F3" s="45" t="s">
        <v>117</v>
      </c>
      <c r="G3" s="45" t="s">
        <v>118</v>
      </c>
      <c r="H3" s="45" t="s">
        <v>119</v>
      </c>
      <c r="I3" s="3" t="s">
        <v>247</v>
      </c>
    </row>
    <row r="4" customFormat="false" ht="15" hidden="false" customHeight="false" outlineLevel="0" collapsed="false">
      <c r="A4" s="5" t="s">
        <v>248</v>
      </c>
      <c r="B4" s="36" t="n">
        <v>8029.9</v>
      </c>
      <c r="C4" s="36" t="n">
        <v>9326.8</v>
      </c>
      <c r="I4" s="25" t="s">
        <v>249</v>
      </c>
    </row>
    <row r="5" customFormat="false" ht="15.75" hidden="false" customHeight="true" outlineLevel="0" collapsed="false">
      <c r="A5" s="26" t="s">
        <v>250</v>
      </c>
      <c r="B5" s="26"/>
      <c r="C5" s="26"/>
      <c r="D5" s="26"/>
      <c r="E5" s="26"/>
      <c r="F5" s="26"/>
      <c r="G5" s="26"/>
      <c r="H5" s="26"/>
      <c r="I5" s="26"/>
      <c r="J5" s="26"/>
    </row>
    <row r="6" customFormat="false" ht="15" hidden="false" customHeight="false" outlineLevel="0" collapsed="false">
      <c r="A6" s="5" t="s">
        <v>251</v>
      </c>
      <c r="B6" s="9" t="n">
        <f aca="false">B7*B$4</f>
        <v>8029.9</v>
      </c>
      <c r="C6" s="9" t="n">
        <f aca="false">C7*C$4</f>
        <v>9326.8</v>
      </c>
      <c r="D6" s="9" t="n">
        <f aca="false">C6*(1+D8)</f>
        <v>10833.0782</v>
      </c>
      <c r="E6" s="9" t="n">
        <f aca="false">D6*(1+E8)</f>
        <v>12144.96397002</v>
      </c>
      <c r="F6" s="9" t="n">
        <f aca="false">E6*(1+F8)</f>
        <v>13223.4367705578</v>
      </c>
      <c r="G6" s="9" t="n">
        <f aca="false">F6*(1+G8)</f>
        <v>14077.6707859358</v>
      </c>
      <c r="H6" s="9" t="n">
        <f aca="false">G6*(1+H8)</f>
        <v>14760.4378190537</v>
      </c>
    </row>
    <row r="7" customFormat="false" ht="15" hidden="false" customHeight="false" outlineLevel="0" collapsed="false">
      <c r="A7" s="5" t="s">
        <v>252</v>
      </c>
      <c r="B7" s="46" t="n">
        <v>1</v>
      </c>
      <c r="C7" s="46" t="n">
        <v>1</v>
      </c>
      <c r="D7" s="19" t="n">
        <f aca="false">D6/D13</f>
        <v>1</v>
      </c>
      <c r="E7" s="19" t="n">
        <f aca="false">E6/E13</f>
        <v>1</v>
      </c>
      <c r="F7" s="19" t="n">
        <f aca="false">F6/F13</f>
        <v>1</v>
      </c>
      <c r="G7" s="19" t="n">
        <f aca="false">G6/G13</f>
        <v>1</v>
      </c>
      <c r="H7" s="19" t="n">
        <f aca="false">H6/H13</f>
        <v>1</v>
      </c>
      <c r="I7" s="25" t="s">
        <v>253</v>
      </c>
    </row>
    <row r="8" customFormat="false" ht="15" hidden="false" customHeight="false" outlineLevel="0" collapsed="false">
      <c r="A8" s="5" t="s">
        <v>254</v>
      </c>
      <c r="B8" s="34" t="s">
        <v>255</v>
      </c>
      <c r="C8" s="34" t="s">
        <v>255</v>
      </c>
      <c r="D8" s="19" t="n">
        <f aca="false">(Assumptions!C$21+CHOOSE(Assumptions!$C$5,Assumptions!$C$88,Assumptions!$C$89,Assumptions!$C$90))</f>
        <v>0.1615</v>
      </c>
      <c r="E8" s="19" t="n">
        <f aca="false">(Assumptions!D$21+CHOOSE(Assumptions!$C$5,Assumptions!$C$88,Assumptions!$C$89,Assumptions!$C$90))</f>
        <v>0.1211</v>
      </c>
      <c r="F8" s="19" t="n">
        <f aca="false">(Assumptions!E$21+CHOOSE(Assumptions!$C$5,Assumptions!$C$88,Assumptions!$C$89,Assumptions!$C$90))</f>
        <v>0.0888</v>
      </c>
      <c r="G8" s="19" t="n">
        <f aca="false">(Assumptions!F$21+CHOOSE(Assumptions!$C$5,Assumptions!$C$88,Assumptions!$C$89,Assumptions!$C$90))</f>
        <v>0.0646</v>
      </c>
      <c r="H8" s="19" t="n">
        <f aca="false">(Assumptions!G$21+CHOOSE(Assumptions!$C$5,Assumptions!$C$88,Assumptions!$C$89,Assumptions!$C$90))</f>
        <v>0.0485</v>
      </c>
      <c r="I8" s="25" t="s">
        <v>256</v>
      </c>
    </row>
    <row r="9" customFormat="false" ht="15" hidden="false" customHeight="false" outlineLevel="0" collapsed="false">
      <c r="A9" s="5" t="s">
        <v>257</v>
      </c>
      <c r="B9" s="46" t="n">
        <v>0.1803</v>
      </c>
      <c r="C9" s="46" t="n">
        <v>0.2098</v>
      </c>
      <c r="D9" s="19" t="n">
        <f aca="false">(Assumptions!C$24+CHOOSE(Assumptions!$C$5,Assumptions!$D$88,Assumptions!$D$89,Assumptions!$D$90))</f>
        <v>0.2098</v>
      </c>
      <c r="E9" s="19" t="n">
        <f aca="false">(Assumptions!D$24+CHOOSE(Assumptions!$C$5,Assumptions!$D$88,Assumptions!$D$89,Assumptions!$D$90))</f>
        <v>0.2098</v>
      </c>
      <c r="F9" s="19" t="n">
        <f aca="false">(Assumptions!E$24+CHOOSE(Assumptions!$C$5,Assumptions!$D$88,Assumptions!$D$89,Assumptions!$D$90))</f>
        <v>0.2098</v>
      </c>
      <c r="G9" s="19" t="n">
        <f aca="false">(Assumptions!F$24+CHOOSE(Assumptions!$C$5,Assumptions!$D$88,Assumptions!$D$89,Assumptions!$D$90))</f>
        <v>0.2098</v>
      </c>
      <c r="H9" s="19" t="n">
        <f aca="false">(Assumptions!G$24+CHOOSE(Assumptions!$C$5,Assumptions!$D$88,Assumptions!$D$89,Assumptions!$D$90))</f>
        <v>0.2098</v>
      </c>
      <c r="I9" s="25" t="s">
        <v>258</v>
      </c>
    </row>
    <row r="10" customFormat="false" ht="15" hidden="false" customHeight="false" outlineLevel="0" collapsed="false">
      <c r="A10" s="5" t="s">
        <v>259</v>
      </c>
      <c r="B10" s="9" t="n">
        <f aca="false">B6*B9</f>
        <v>1447.79097</v>
      </c>
      <c r="C10" s="9" t="n">
        <f aca="false">C6*C9</f>
        <v>1956.76264</v>
      </c>
      <c r="D10" s="9" t="n">
        <f aca="false">D6*D9</f>
        <v>2272.77980636</v>
      </c>
      <c r="E10" s="9" t="n">
        <f aca="false">E6*E9</f>
        <v>2548.0134409102</v>
      </c>
      <c r="F10" s="9" t="n">
        <f aca="false">F6*F9</f>
        <v>2774.27703446302</v>
      </c>
      <c r="G10" s="9" t="n">
        <f aca="false">G6*G9</f>
        <v>2953.49533088933</v>
      </c>
      <c r="H10" s="9" t="n">
        <f aca="false">H6*H9</f>
        <v>3096.73985443746</v>
      </c>
    </row>
    <row r="11" customFormat="false" ht="15" hidden="false" customHeight="true" outlineLevel="0" collapsed="false">
      <c r="A11" s="13" t="s">
        <v>260</v>
      </c>
      <c r="B11" s="13"/>
      <c r="C11" s="13"/>
      <c r="D11" s="13"/>
      <c r="E11" s="13"/>
      <c r="F11" s="13"/>
      <c r="G11" s="13"/>
      <c r="H11" s="13"/>
      <c r="I11" s="13"/>
    </row>
    <row r="12" customFormat="false" ht="15.75" hidden="false" customHeight="true" outlineLevel="0" collapsed="false">
      <c r="A12" s="26" t="s">
        <v>261</v>
      </c>
      <c r="B12" s="26"/>
      <c r="C12" s="26"/>
      <c r="D12" s="26"/>
      <c r="E12" s="26"/>
      <c r="F12" s="26"/>
      <c r="G12" s="26"/>
      <c r="H12" s="26"/>
      <c r="I12" s="26"/>
      <c r="J12" s="26"/>
    </row>
    <row r="13" customFormat="false" ht="15" hidden="false" customHeight="false" outlineLevel="0" collapsed="false">
      <c r="A13" s="3" t="s">
        <v>262</v>
      </c>
      <c r="B13" s="47" t="n">
        <f aca="false">B6</f>
        <v>8029.9</v>
      </c>
      <c r="C13" s="47" t="n">
        <f aca="false">C6</f>
        <v>9326.8</v>
      </c>
      <c r="D13" s="47" t="n">
        <f aca="false">D6</f>
        <v>10833.0782</v>
      </c>
      <c r="E13" s="47" t="n">
        <f aca="false">E6</f>
        <v>12144.96397002</v>
      </c>
      <c r="F13" s="47" t="n">
        <f aca="false">F6</f>
        <v>13223.4367705578</v>
      </c>
      <c r="G13" s="47" t="n">
        <f aca="false">G6</f>
        <v>14077.6707859358</v>
      </c>
      <c r="H13" s="47" t="n">
        <f aca="false">H6</f>
        <v>14760.4378190537</v>
      </c>
    </row>
    <row r="14" customFormat="false" ht="15" hidden="false" customHeight="false" outlineLevel="0" collapsed="false">
      <c r="A14" s="3" t="s">
        <v>263</v>
      </c>
      <c r="B14" s="48" t="n">
        <f aca="false">B10</f>
        <v>1447.79097</v>
      </c>
      <c r="C14" s="48" t="n">
        <f aca="false">C10</f>
        <v>1956.76264</v>
      </c>
      <c r="D14" s="48" t="n">
        <f aca="false">D10</f>
        <v>2272.77980636</v>
      </c>
      <c r="E14" s="48" t="n">
        <f aca="false">E10</f>
        <v>2548.0134409102</v>
      </c>
      <c r="F14" s="48" t="n">
        <f aca="false">F10</f>
        <v>2774.27703446302</v>
      </c>
      <c r="G14" s="48" t="n">
        <f aca="false">G10</f>
        <v>2953.49533088933</v>
      </c>
      <c r="H14" s="48" t="n">
        <f aca="false">H10</f>
        <v>3096.73985443746</v>
      </c>
    </row>
    <row r="15" customFormat="false" ht="15" hidden="false" customHeight="false" outlineLevel="0" collapsed="false">
      <c r="A15" s="5" t="s">
        <v>264</v>
      </c>
      <c r="B15" s="19" t="n">
        <f aca="false">B14/B13</f>
        <v>0.1803</v>
      </c>
      <c r="C15" s="19" t="n">
        <f aca="false">C14/C13</f>
        <v>0.2098</v>
      </c>
      <c r="D15" s="19" t="n">
        <f aca="false">D14/D13</f>
        <v>0.2098</v>
      </c>
      <c r="E15" s="19" t="n">
        <f aca="false">E14/E13</f>
        <v>0.2098</v>
      </c>
      <c r="F15" s="19" t="n">
        <f aca="false">F14/F13</f>
        <v>0.2098</v>
      </c>
      <c r="G15" s="19" t="n">
        <f aca="false">G14/G13</f>
        <v>0.2098</v>
      </c>
      <c r="H15" s="19" t="n">
        <f aca="false">H14/H13</f>
        <v>0.2098</v>
      </c>
    </row>
    <row r="16" customFormat="false" ht="15" hidden="false" customHeight="false" outlineLevel="0" collapsed="false">
      <c r="A16" s="5" t="s">
        <v>265</v>
      </c>
      <c r="C16" s="19" t="n">
        <f aca="false">C13/B13-1</f>
        <v>0.161508860633383</v>
      </c>
      <c r="D16" s="19" t="n">
        <f aca="false">D13/C13-1</f>
        <v>0.1615</v>
      </c>
      <c r="E16" s="19" t="n">
        <f aca="false">E13/D13-1</f>
        <v>0.1211</v>
      </c>
      <c r="F16" s="19" t="n">
        <f aca="false">F13/E13-1</f>
        <v>0.0888</v>
      </c>
      <c r="G16" s="19" t="n">
        <f aca="false">G13/F13-1</f>
        <v>0.0646</v>
      </c>
      <c r="H16" s="19" t="n">
        <f aca="false">H13/G13-1</f>
        <v>0.0485</v>
      </c>
    </row>
    <row r="18" customFormat="false" ht="15.75" hidden="false" customHeight="true" outlineLevel="0" collapsed="false">
      <c r="A18" s="26" t="s">
        <v>266</v>
      </c>
      <c r="B18" s="26"/>
      <c r="C18" s="26"/>
      <c r="D18" s="26"/>
      <c r="E18" s="26"/>
      <c r="F18" s="26"/>
      <c r="G18" s="26"/>
      <c r="H18" s="26"/>
      <c r="I18" s="26"/>
      <c r="J18" s="26"/>
    </row>
    <row r="19" customFormat="false" ht="15" hidden="false" customHeight="false" outlineLevel="0" collapsed="false">
      <c r="A19" s="5" t="s">
        <v>267</v>
      </c>
      <c r="C19" s="9" t="n">
        <f aca="false">C6</f>
        <v>9326.8</v>
      </c>
      <c r="D19" s="9" t="n">
        <f aca="false">C19*(1+Assumptions!C$21)</f>
        <v>10833.0782</v>
      </c>
      <c r="E19" s="9" t="n">
        <f aca="false">D19*(1+Assumptions!D$21)</f>
        <v>12144.96397002</v>
      </c>
      <c r="F19" s="9" t="n">
        <f aca="false">E19*(1+Assumptions!E$21)</f>
        <v>13223.4367705578</v>
      </c>
      <c r="G19" s="9" t="n">
        <f aca="false">F19*(1+Assumptions!F$21)</f>
        <v>14077.6707859358</v>
      </c>
      <c r="H19" s="9" t="n">
        <f aca="false">G19*(1+Assumptions!G$21)</f>
        <v>14760.4378190537</v>
      </c>
    </row>
    <row r="20" customFormat="false" ht="15" hidden="false" customHeight="false" outlineLevel="0" collapsed="false">
      <c r="A20" s="3" t="s">
        <v>268</v>
      </c>
      <c r="C20" s="9" t="n">
        <f aca="false">C6</f>
        <v>9326.8</v>
      </c>
      <c r="D20" s="9" t="n">
        <f aca="false">D19</f>
        <v>10833.0782</v>
      </c>
      <c r="E20" s="9" t="n">
        <f aca="false">E19</f>
        <v>12144.96397002</v>
      </c>
      <c r="F20" s="9" t="n">
        <f aca="false">F19</f>
        <v>13223.4367705578</v>
      </c>
      <c r="G20" s="9" t="n">
        <f aca="false">G19</f>
        <v>14077.6707859358</v>
      </c>
      <c r="H20" s="9" t="n">
        <f aca="false">H19</f>
        <v>14760.4378190537</v>
      </c>
    </row>
    <row r="21" customFormat="false" ht="15" hidden="false" customHeight="false" outlineLevel="0" collapsed="false">
      <c r="A21" s="5" t="s">
        <v>269</v>
      </c>
      <c r="D21" s="19" t="n">
        <f aca="false">D20/C20-1</f>
        <v>0.1615</v>
      </c>
      <c r="E21" s="19" t="n">
        <f aca="false">E20/D20-1</f>
        <v>0.1211</v>
      </c>
      <c r="F21" s="19" t="n">
        <f aca="false">F20/E20-1</f>
        <v>0.0888</v>
      </c>
      <c r="G21" s="19" t="n">
        <f aca="false">G20/F20-1</f>
        <v>0.0646</v>
      </c>
      <c r="H21" s="19" t="n">
        <f aca="false">H20/G20-1</f>
        <v>0.0485</v>
      </c>
    </row>
    <row r="22" customFormat="false" ht="15" hidden="false" customHeight="false" outlineLevel="0" collapsed="false">
      <c r="A22" s="5" t="s">
        <v>270</v>
      </c>
      <c r="D22" s="19" t="n">
        <f aca="false">(D19*Assumptions!C$24)/D20</f>
        <v>0.2098</v>
      </c>
      <c r="E22" s="19" t="n">
        <f aca="false">(E19*Assumptions!D$24)/E20</f>
        <v>0.2098</v>
      </c>
      <c r="F22" s="19" t="n">
        <f aca="false">(F19*Assumptions!E$24)/F20</f>
        <v>0.2098</v>
      </c>
      <c r="G22" s="19" t="n">
        <f aca="false">(G19*Assumptions!F$24)/G20</f>
        <v>0.2098</v>
      </c>
      <c r="H22" s="19" t="n">
        <f aca="false">(H19*Assumptions!G$24)/H20</f>
        <v>0.2098</v>
      </c>
    </row>
  </sheetData>
  <mergeCells count="6">
    <mergeCell ref="A1:J1"/>
    <mergeCell ref="A2:J2"/>
    <mergeCell ref="A5:J5"/>
    <mergeCell ref="A11:I11"/>
    <mergeCell ref="A12:J12"/>
    <mergeCell ref="A18:J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3.66"/>
    <col collapsed="false" customWidth="true" hidden="false" outlineLevel="0" max="8" min="2" style="0" width="10.01"/>
    <col collapsed="false" customWidth="true" hidden="false" outlineLevel="0" max="9" min="9" style="0" width="63.69"/>
  </cols>
  <sheetData>
    <row r="1" customFormat="false" ht="24" hidden="false" customHeight="true" outlineLevel="0" collapsed="false">
      <c r="A1" s="14" t="s">
        <v>271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272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244</v>
      </c>
      <c r="B3" s="45" t="s">
        <v>245</v>
      </c>
      <c r="C3" s="45" t="s">
        <v>246</v>
      </c>
      <c r="D3" s="45" t="s">
        <v>115</v>
      </c>
      <c r="E3" s="45" t="s">
        <v>116</v>
      </c>
      <c r="F3" s="45" t="s">
        <v>117</v>
      </c>
      <c r="G3" s="45" t="s">
        <v>118</v>
      </c>
      <c r="H3" s="45" t="s">
        <v>119</v>
      </c>
      <c r="I3" s="3" t="s">
        <v>247</v>
      </c>
    </row>
    <row r="4" customFormat="false" ht="15" hidden="false" customHeight="false" outlineLevel="0" collapsed="false">
      <c r="A4" s="3" t="s">
        <v>273</v>
      </c>
      <c r="B4" s="48" t="n">
        <f aca="false">Revenue_Segments!B13</f>
        <v>8029.9</v>
      </c>
      <c r="C4" s="48" t="n">
        <f aca="false">Revenue_Segments!C13</f>
        <v>9326.8</v>
      </c>
      <c r="D4" s="48" t="n">
        <f aca="false">Revenue_Segments!D13</f>
        <v>10833.0782</v>
      </c>
      <c r="E4" s="48" t="n">
        <f aca="false">Revenue_Segments!E13</f>
        <v>12144.96397002</v>
      </c>
      <c r="F4" s="48" t="n">
        <f aca="false">Revenue_Segments!F13</f>
        <v>13223.4367705578</v>
      </c>
      <c r="G4" s="48" t="n">
        <f aca="false">Revenue_Segments!G13</f>
        <v>14077.6707859358</v>
      </c>
      <c r="H4" s="48" t="n">
        <f aca="false">Revenue_Segments!H13</f>
        <v>14760.4378190537</v>
      </c>
      <c r="I4" s="25" t="s">
        <v>274</v>
      </c>
    </row>
    <row r="5" customFormat="false" ht="15" hidden="false" customHeight="false" outlineLevel="0" collapsed="false">
      <c r="A5" s="5" t="s">
        <v>275</v>
      </c>
      <c r="C5" s="19" t="n">
        <f aca="false">C4/B4-1</f>
        <v>0.161508860633383</v>
      </c>
      <c r="D5" s="19" t="n">
        <f aca="false">D4/C4-1</f>
        <v>0.1615</v>
      </c>
      <c r="E5" s="19" t="n">
        <f aca="false">E4/D4-1</f>
        <v>0.1211</v>
      </c>
      <c r="F5" s="19" t="n">
        <f aca="false">F4/E4-1</f>
        <v>0.0888</v>
      </c>
      <c r="G5" s="19" t="n">
        <f aca="false">G4/F4-1</f>
        <v>0.0646</v>
      </c>
      <c r="H5" s="19" t="n">
        <f aca="false">H4/G4-1</f>
        <v>0.0485</v>
      </c>
      <c r="I5" s="25" t="s">
        <v>276</v>
      </c>
    </row>
    <row r="6" customFormat="false" ht="15" hidden="false" customHeight="false" outlineLevel="0" collapsed="false">
      <c r="A6" s="5" t="s">
        <v>277</v>
      </c>
      <c r="B6" s="36" t="n">
        <v>6582</v>
      </c>
      <c r="C6" s="36" t="n">
        <v>7370.2</v>
      </c>
      <c r="D6" s="9" t="n">
        <f aca="false">D4-Revenue_Segments!D14</f>
        <v>8560.29839364</v>
      </c>
      <c r="E6" s="9" t="n">
        <f aca="false">E4-Revenue_Segments!E14</f>
        <v>9596.9505291098</v>
      </c>
      <c r="F6" s="9" t="n">
        <f aca="false">F4-Revenue_Segments!F14</f>
        <v>10449.1597360948</v>
      </c>
      <c r="G6" s="9" t="n">
        <f aca="false">G4-Revenue_Segments!G14</f>
        <v>11124.1754550465</v>
      </c>
      <c r="H6" s="9" t="n">
        <f aca="false">H4-Revenue_Segments!H14</f>
        <v>11663.6979646162</v>
      </c>
      <c r="I6" s="25" t="s">
        <v>278</v>
      </c>
    </row>
    <row r="7" customFormat="false" ht="15" hidden="false" customHeight="false" outlineLevel="0" collapsed="false">
      <c r="A7" s="3" t="s">
        <v>279</v>
      </c>
      <c r="B7" s="48" t="n">
        <f aca="false">B4-B6</f>
        <v>1447.9</v>
      </c>
      <c r="C7" s="48" t="n">
        <f aca="false">C4-C6</f>
        <v>1956.6</v>
      </c>
      <c r="D7" s="48" t="n">
        <f aca="false">D4-D6</f>
        <v>2272.77980636</v>
      </c>
      <c r="E7" s="48" t="n">
        <f aca="false">E4-E6</f>
        <v>2548.0134409102</v>
      </c>
      <c r="F7" s="48" t="n">
        <f aca="false">F4-F6</f>
        <v>2774.27703446302</v>
      </c>
      <c r="G7" s="48" t="n">
        <f aca="false">G4-G6</f>
        <v>2953.49533088933</v>
      </c>
      <c r="H7" s="48" t="n">
        <f aca="false">H4-H6</f>
        <v>3096.73985443746</v>
      </c>
      <c r="I7" s="25"/>
    </row>
    <row r="8" customFormat="false" ht="15" hidden="false" customHeight="false" outlineLevel="0" collapsed="false">
      <c r="A8" s="5" t="s">
        <v>257</v>
      </c>
      <c r="B8" s="19" t="n">
        <f aca="false">B7/B4</f>
        <v>0.180313578002217</v>
      </c>
      <c r="C8" s="19" t="n">
        <f aca="false">C7/C4</f>
        <v>0.20978256207917</v>
      </c>
      <c r="D8" s="19" t="n">
        <f aca="false">D7/D4</f>
        <v>0.2098</v>
      </c>
      <c r="E8" s="19" t="n">
        <f aca="false">E7/E4</f>
        <v>0.2098</v>
      </c>
      <c r="F8" s="19" t="n">
        <f aca="false">F7/F4</f>
        <v>0.2098</v>
      </c>
      <c r="G8" s="19" t="n">
        <f aca="false">G7/G4</f>
        <v>0.2098</v>
      </c>
      <c r="H8" s="19" t="n">
        <f aca="false">H7/H4</f>
        <v>0.2098</v>
      </c>
      <c r="I8" s="27" t="s">
        <v>280</v>
      </c>
    </row>
    <row r="9" customFormat="false" ht="15" hidden="false" customHeight="false" outlineLevel="0" collapsed="false">
      <c r="A9" s="5" t="s">
        <v>281</v>
      </c>
      <c r="B9" s="36" t="n">
        <v>0</v>
      </c>
      <c r="C9" s="36" t="n">
        <v>0</v>
      </c>
      <c r="D9" s="9" t="n">
        <f aca="false">D4*Assumptions!C$27</f>
        <v>0</v>
      </c>
      <c r="E9" s="9" t="n">
        <f aca="false">E4*Assumptions!D$27</f>
        <v>0</v>
      </c>
      <c r="F9" s="9" t="n">
        <f aca="false">F4*Assumptions!E$27</f>
        <v>0</v>
      </c>
      <c r="G9" s="9" t="n">
        <f aca="false">G4*Assumptions!F$27</f>
        <v>0</v>
      </c>
      <c r="H9" s="9" t="n">
        <f aca="false">H4*Assumptions!G$27</f>
        <v>0</v>
      </c>
      <c r="I9" s="25" t="s">
        <v>282</v>
      </c>
    </row>
    <row r="10" customFormat="false" ht="15" hidden="false" customHeight="false" outlineLevel="0" collapsed="false">
      <c r="A10" s="5" t="s">
        <v>283</v>
      </c>
      <c r="B10" s="36" t="n">
        <v>39.8</v>
      </c>
      <c r="C10" s="36" t="n">
        <v>43</v>
      </c>
      <c r="D10" s="9" t="n">
        <f aca="false">D4*Assumptions!C$28</f>
        <v>49.83215972</v>
      </c>
      <c r="E10" s="9" t="n">
        <f aca="false">E4*Assumptions!D$28</f>
        <v>55.866834262092</v>
      </c>
      <c r="F10" s="9" t="n">
        <f aca="false">F4*Assumptions!E$28</f>
        <v>60.8278091445658</v>
      </c>
      <c r="G10" s="9" t="n">
        <f aca="false">G4*Assumptions!F$28</f>
        <v>64.7572856153047</v>
      </c>
      <c r="H10" s="9" t="n">
        <f aca="false">H4*Assumptions!G$28</f>
        <v>67.898013967647</v>
      </c>
      <c r="I10" s="25" t="s">
        <v>284</v>
      </c>
    </row>
    <row r="11" customFormat="false" ht="15" hidden="false" customHeight="false" outlineLevel="0" collapsed="false">
      <c r="A11" s="5" t="s">
        <v>285</v>
      </c>
      <c r="B11" s="36" t="n">
        <v>580</v>
      </c>
      <c r="C11" s="36" t="n">
        <v>526.2</v>
      </c>
      <c r="D11" s="9" t="n">
        <f aca="false">D4*Assumptions!C$29</f>
        <v>610.98561048</v>
      </c>
      <c r="E11" s="9" t="n">
        <f aca="false">E4*Assumptions!D$29</f>
        <v>684.975967909128</v>
      </c>
      <c r="F11" s="9" t="n">
        <f aca="false">F4*Assumptions!E$29</f>
        <v>745.801833859458</v>
      </c>
      <c r="G11" s="9" t="n">
        <f aca="false">G4*Assumptions!F$29</f>
        <v>793.980632326779</v>
      </c>
      <c r="H11" s="9" t="n">
        <f aca="false">H4*Assumptions!G$29</f>
        <v>832.488692994628</v>
      </c>
      <c r="I11" s="25" t="s">
        <v>286</v>
      </c>
    </row>
    <row r="12" customFormat="false" ht="15" hidden="false" customHeight="false" outlineLevel="0" collapsed="false">
      <c r="A12" s="5" t="s">
        <v>287</v>
      </c>
      <c r="B12" s="36" t="n">
        <v>765.3</v>
      </c>
      <c r="C12" s="36" t="n">
        <v>773.6</v>
      </c>
      <c r="D12" s="9" t="n">
        <f aca="false">D4*Assumptions!C$30</f>
        <v>898.06218278</v>
      </c>
      <c r="E12" s="9" t="n">
        <f aca="false">E4*Assumptions!D$30</f>
        <v>1006.81751311466</v>
      </c>
      <c r="F12" s="9" t="n">
        <f aca="false">F4*Assumptions!E$30</f>
        <v>1096.22290827924</v>
      </c>
      <c r="G12" s="9" t="n">
        <f aca="false">G4*Assumptions!F$30</f>
        <v>1167.03890815408</v>
      </c>
      <c r="H12" s="9" t="n">
        <f aca="false">H4*Assumptions!G$30</f>
        <v>1223.64029519955</v>
      </c>
      <c r="I12" s="25" t="s">
        <v>288</v>
      </c>
    </row>
    <row r="13" customFormat="false" ht="15" hidden="false" customHeight="false" outlineLevel="0" collapsed="false">
      <c r="A13" s="5" t="s">
        <v>289</v>
      </c>
      <c r="B13" s="36" t="n">
        <v>-248.9</v>
      </c>
      <c r="C13" s="36" t="n">
        <v>-25</v>
      </c>
      <c r="D13" s="9" t="n">
        <f aca="false">FIN!D67</f>
        <v>406.194358313793</v>
      </c>
      <c r="E13" s="9" t="n">
        <f aca="false">FIN!E67</f>
        <v>402.542980939549</v>
      </c>
      <c r="F13" s="9" t="n">
        <f aca="false">FIN!F67</f>
        <v>391.078722538482</v>
      </c>
      <c r="G13" s="9" t="n">
        <f aca="false">FIN!G67</f>
        <v>367.949981541142</v>
      </c>
      <c r="H13" s="9" t="n">
        <f aca="false">FIN!H67</f>
        <v>334.159520565685</v>
      </c>
      <c r="I13" s="25" t="s">
        <v>290</v>
      </c>
    </row>
    <row r="14" customFormat="false" ht="15" hidden="false" customHeight="false" outlineLevel="0" collapsed="false">
      <c r="A14" s="5" t="s">
        <v>291</v>
      </c>
      <c r="B14" s="36" t="n">
        <v>162.1</v>
      </c>
      <c r="C14" s="36" t="n">
        <v>471.2</v>
      </c>
      <c r="D14" s="9" t="n">
        <f aca="false">Assumptions!C$31</f>
        <v>471.2</v>
      </c>
      <c r="E14" s="9" t="n">
        <f aca="false">Assumptions!D$31</f>
        <v>471.2</v>
      </c>
      <c r="F14" s="9" t="n">
        <f aca="false">Assumptions!E$31</f>
        <v>471.2</v>
      </c>
      <c r="G14" s="9" t="n">
        <f aca="false">Assumptions!F$31</f>
        <v>471.2</v>
      </c>
      <c r="H14" s="9" t="n">
        <f aca="false">Assumptions!G$31</f>
        <v>471.2</v>
      </c>
      <c r="I14" s="25" t="s">
        <v>292</v>
      </c>
    </row>
    <row r="15" customFormat="false" ht="15" hidden="false" customHeight="false" outlineLevel="0" collapsed="false">
      <c r="A15" s="3" t="s">
        <v>293</v>
      </c>
      <c r="B15" s="48" t="n">
        <f aca="false">B7-B9-B10-B11-B12-B13+B14</f>
        <v>473.8</v>
      </c>
      <c r="C15" s="48" t="n">
        <f aca="false">C7-C9-C10-C11-C12-C13+C14</f>
        <v>1110</v>
      </c>
      <c r="D15" s="48" t="n">
        <f aca="false">D7-D9-D10-D11-D12-D13+D14</f>
        <v>778.905495066207</v>
      </c>
      <c r="E15" s="48" t="n">
        <f aca="false">E7-E9-E10-E11-E12-E13+E14</f>
        <v>869.010144684769</v>
      </c>
      <c r="F15" s="48" t="n">
        <f aca="false">F7-F9-F10-F11-F12-F13+F14</f>
        <v>951.545760641275</v>
      </c>
      <c r="G15" s="48" t="n">
        <f aca="false">G7-G9-G10-G11-G12-G13+G14</f>
        <v>1030.96852325203</v>
      </c>
      <c r="H15" s="48" t="n">
        <f aca="false">H7-H9-H10-H11-H12-H13+H14</f>
        <v>1109.75333170995</v>
      </c>
      <c r="I15" s="25"/>
    </row>
    <row r="16" customFormat="false" ht="15" hidden="false" customHeight="false" outlineLevel="0" collapsed="false">
      <c r="A16" s="5" t="s">
        <v>138</v>
      </c>
      <c r="B16" s="36" t="n">
        <v>385.7</v>
      </c>
      <c r="C16" s="36" t="n">
        <v>-36.7</v>
      </c>
      <c r="D16" s="9" t="n">
        <f aca="false">Assumptions!C$32</f>
        <v>-36.7</v>
      </c>
      <c r="E16" s="9" t="n">
        <f aca="false">Assumptions!D$32</f>
        <v>-36.7</v>
      </c>
      <c r="F16" s="9" t="n">
        <f aca="false">Assumptions!E$32</f>
        <v>-36.7</v>
      </c>
      <c r="G16" s="9" t="n">
        <f aca="false">Assumptions!F$32</f>
        <v>-36.7</v>
      </c>
      <c r="H16" s="9" t="n">
        <f aca="false">Assumptions!G$32</f>
        <v>-36.7</v>
      </c>
      <c r="I16" s="27" t="s">
        <v>294</v>
      </c>
    </row>
    <row r="17" customFormat="false" ht="15" hidden="false" customHeight="false" outlineLevel="0" collapsed="false">
      <c r="A17" s="3" t="s">
        <v>295</v>
      </c>
      <c r="B17" s="48" t="n">
        <f aca="false">B15+B16</f>
        <v>859.5</v>
      </c>
      <c r="C17" s="48" t="n">
        <f aca="false">C15+C16</f>
        <v>1073.3</v>
      </c>
      <c r="D17" s="48" t="n">
        <f aca="false">D15+D16</f>
        <v>742.205495066207</v>
      </c>
      <c r="E17" s="48" t="n">
        <f aca="false">E15+E16</f>
        <v>832.310144684769</v>
      </c>
      <c r="F17" s="48" t="n">
        <f aca="false">F15+F16</f>
        <v>914.845760641275</v>
      </c>
      <c r="G17" s="48" t="n">
        <f aca="false">G15+G16</f>
        <v>994.268523252029</v>
      </c>
      <c r="H17" s="48" t="n">
        <f aca="false">H15+H16</f>
        <v>1073.05333170995</v>
      </c>
      <c r="I17" s="25"/>
    </row>
    <row r="18" customFormat="false" ht="15" hidden="false" customHeight="false" outlineLevel="0" collapsed="false">
      <c r="A18" s="5" t="s">
        <v>296</v>
      </c>
      <c r="B18" s="36" t="n">
        <v>129.6</v>
      </c>
      <c r="C18" s="36" t="n">
        <v>84.3</v>
      </c>
      <c r="D18" s="9" t="n">
        <f aca="false">D17*Assumptions!C$33</f>
        <v>81.3457222592563</v>
      </c>
      <c r="E18" s="9" t="n">
        <f aca="false">E17*Assumptions!D$33</f>
        <v>91.2211918574507</v>
      </c>
      <c r="F18" s="9" t="n">
        <f aca="false">F17*Assumptions!E$33</f>
        <v>100.267095366284</v>
      </c>
      <c r="G18" s="9" t="n">
        <f aca="false">G17*Assumptions!F$33</f>
        <v>108.971830148422</v>
      </c>
      <c r="H18" s="9" t="n">
        <f aca="false">H17*Assumptions!G$33</f>
        <v>117.606645155411</v>
      </c>
      <c r="I18" s="25" t="s">
        <v>297</v>
      </c>
    </row>
    <row r="19" customFormat="false" ht="15" hidden="false" customHeight="false" outlineLevel="0" collapsed="false">
      <c r="A19" s="3" t="s">
        <v>298</v>
      </c>
      <c r="B19" s="48" t="n">
        <f aca="false">B17-B18</f>
        <v>729.9</v>
      </c>
      <c r="C19" s="48" t="n">
        <f aca="false">C17-C18</f>
        <v>988.999999999999</v>
      </c>
      <c r="D19" s="48" t="n">
        <f aca="false">D17-D18</f>
        <v>660.859772806951</v>
      </c>
      <c r="E19" s="48" t="n">
        <f aca="false">E17-E18</f>
        <v>741.088952827319</v>
      </c>
      <c r="F19" s="48" t="n">
        <f aca="false">F17-F18</f>
        <v>814.578665274991</v>
      </c>
      <c r="G19" s="48" t="n">
        <f aca="false">G17-G18</f>
        <v>885.296693103607</v>
      </c>
      <c r="H19" s="48" t="n">
        <f aca="false">H17-H18</f>
        <v>955.446686554542</v>
      </c>
      <c r="I19" s="25" t="s">
        <v>299</v>
      </c>
    </row>
    <row r="20" customFormat="false" ht="15" hidden="false" customHeight="false" outlineLevel="0" collapsed="false">
      <c r="A20" s="3" t="s">
        <v>300</v>
      </c>
      <c r="B20" s="49" t="n">
        <v>492.7</v>
      </c>
      <c r="C20" s="49" t="n">
        <v>685.1</v>
      </c>
      <c r="D20" s="48" t="n">
        <f aca="false">D19*(1-Assumptions!C$34)</f>
        <v>451.943494549035</v>
      </c>
      <c r="E20" s="48" t="n">
        <f aca="false">E19*(1-Assumptions!D$34)</f>
        <v>506.809984347924</v>
      </c>
      <c r="F20" s="48" t="n">
        <f aca="false">F19*(1-Assumptions!E$34)</f>
        <v>557.067540978939</v>
      </c>
      <c r="G20" s="48" t="n">
        <f aca="false">G19*(1-Assumptions!F$34)</f>
        <v>605.42962010615</v>
      </c>
      <c r="H20" s="48" t="n">
        <f aca="false">H19*(1-Assumptions!G$34)</f>
        <v>653.403236427428</v>
      </c>
      <c r="I20" s="25" t="s">
        <v>301</v>
      </c>
    </row>
    <row r="21" customFormat="false" ht="15" hidden="false" customHeight="false" outlineLevel="0" collapsed="false">
      <c r="A21" s="5" t="s">
        <v>302</v>
      </c>
      <c r="B21" s="9" t="n">
        <f aca="false">B19-B20</f>
        <v>237.2</v>
      </c>
      <c r="C21" s="9" t="n">
        <f aca="false">C19-C20</f>
        <v>303.899999999999</v>
      </c>
      <c r="D21" s="9" t="n">
        <f aca="false">D19-D20</f>
        <v>208.916278257916</v>
      </c>
      <c r="E21" s="9" t="n">
        <f aca="false">E19-E20</f>
        <v>234.278968479395</v>
      </c>
      <c r="F21" s="9" t="n">
        <f aca="false">F19-F20</f>
        <v>257.511124296052</v>
      </c>
      <c r="G21" s="9" t="n">
        <f aca="false">G19-G20</f>
        <v>279.867072997457</v>
      </c>
      <c r="H21" s="9" t="n">
        <f aca="false">H19-H20</f>
        <v>302.043450127114</v>
      </c>
      <c r="I21" s="25" t="s">
        <v>303</v>
      </c>
    </row>
    <row r="22" customFormat="false" ht="15" hidden="false" customHeight="false" outlineLevel="0" collapsed="false">
      <c r="A22" s="5" t="s">
        <v>304</v>
      </c>
      <c r="B22" s="19" t="n">
        <f aca="false">B20/B4</f>
        <v>0.0613581738253278</v>
      </c>
      <c r="C22" s="19" t="n">
        <f aca="false">C20/C4</f>
        <v>0.0734549899215165</v>
      </c>
      <c r="D22" s="19" t="n">
        <f aca="false">D20/D4</f>
        <v>0.0417188435461525</v>
      </c>
      <c r="E22" s="19" t="n">
        <f aca="false">E20/E4</f>
        <v>0.0417300525220981</v>
      </c>
      <c r="F22" s="19" t="n">
        <f aca="false">F20/F4</f>
        <v>0.042127288892042</v>
      </c>
      <c r="G22" s="19" t="n">
        <f aca="false">G20/G4</f>
        <v>0.0430063772134095</v>
      </c>
      <c r="H22" s="19" t="n">
        <f aca="false">H20/H4</f>
        <v>0.0442671988756305</v>
      </c>
      <c r="I22" s="27" t="s">
        <v>305</v>
      </c>
    </row>
    <row r="23" customFormat="false" ht="15" hidden="false" customHeight="false" outlineLevel="0" collapsed="false">
      <c r="A23" s="4" t="s">
        <v>306</v>
      </c>
      <c r="B23" s="8" t="n">
        <f aca="false">B20/Equity_Roll!$C$21</f>
        <v>0.0575510156405135</v>
      </c>
      <c r="C23" s="8" t="n">
        <f aca="false">C20/Equity_Roll!$C$21</f>
        <v>0.0800247631729567</v>
      </c>
      <c r="D23" s="8" t="n">
        <f aca="false">D20/Equity_Roll!$C$21</f>
        <v>0.0527903534065757</v>
      </c>
      <c r="E23" s="8" t="n">
        <f aca="false">E20/Equity_Roll!$C$21</f>
        <v>0.0591991665028938</v>
      </c>
      <c r="F23" s="8" t="n">
        <f aca="false">F20/Equity_Roll!$C$21</f>
        <v>0.06506962200873</v>
      </c>
      <c r="G23" s="8" t="n">
        <f aca="false">G20/Equity_Roll!$C$21</f>
        <v>0.0707186716784233</v>
      </c>
      <c r="H23" s="8" t="n">
        <f aca="false">H20/Equity_Roll!$C$21</f>
        <v>0.0763223460101421</v>
      </c>
      <c r="I23" s="25" t="s">
        <v>307</v>
      </c>
    </row>
    <row r="24" customFormat="false" ht="15" hidden="false" customHeight="false" outlineLevel="0" collapsed="false">
      <c r="A24" s="10" t="s">
        <v>308</v>
      </c>
      <c r="B24" s="48" t="n">
        <f aca="false">B17+B13</f>
        <v>610.6</v>
      </c>
      <c r="C24" s="48" t="n">
        <f aca="false">C17+C13</f>
        <v>1048.3</v>
      </c>
      <c r="D24" s="48" t="n">
        <f aca="false">D17+D13</f>
        <v>1148.39985338</v>
      </c>
      <c r="E24" s="48" t="n">
        <f aca="false">E17+E13</f>
        <v>1234.85312562432</v>
      </c>
      <c r="F24" s="48" t="n">
        <f aca="false">F17+F13</f>
        <v>1305.92448317976</v>
      </c>
      <c r="G24" s="48" t="n">
        <f aca="false">G17+G13</f>
        <v>1362.21850479317</v>
      </c>
      <c r="H24" s="48" t="n">
        <f aca="false">H17+H13</f>
        <v>1407.21285227564</v>
      </c>
      <c r="I24" s="25" t="s">
        <v>309</v>
      </c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5.47"/>
    <col collapsed="false" customWidth="true" hidden="false" outlineLevel="0" max="8" min="2" style="0" width="10.01"/>
    <col collapsed="false" customWidth="true" hidden="false" outlineLevel="0" max="9" min="9" style="0" width="60.05"/>
  </cols>
  <sheetData>
    <row r="1" customFormat="false" ht="24" hidden="false" customHeight="true" outlineLevel="0" collapsed="false">
      <c r="A1" s="14" t="s">
        <v>310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311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244</v>
      </c>
      <c r="B3" s="45" t="s">
        <v>245</v>
      </c>
      <c r="C3" s="45" t="s">
        <v>246</v>
      </c>
      <c r="D3" s="45" t="s">
        <v>115</v>
      </c>
      <c r="E3" s="45" t="s">
        <v>116</v>
      </c>
      <c r="F3" s="45" t="s">
        <v>117</v>
      </c>
      <c r="G3" s="45" t="s">
        <v>118</v>
      </c>
      <c r="H3" s="45" t="s">
        <v>119</v>
      </c>
      <c r="I3" s="3" t="s">
        <v>247</v>
      </c>
    </row>
    <row r="4" customFormat="false" ht="15" hidden="false" customHeight="false" outlineLevel="0" collapsed="false">
      <c r="A4" s="5" t="s">
        <v>312</v>
      </c>
      <c r="B4" s="36" t="n">
        <v>6364.2</v>
      </c>
      <c r="C4" s="36" t="n">
        <v>5872.5</v>
      </c>
      <c r="D4" s="9" t="n">
        <f aca="false">FIN!D63</f>
        <v>6499.84692</v>
      </c>
      <c r="E4" s="9" t="n">
        <f aca="false">FIN!E63</f>
        <v>7286.978382012</v>
      </c>
      <c r="F4" s="9" t="n">
        <f aca="false">FIN!F63</f>
        <v>7934.06206233466</v>
      </c>
      <c r="G4" s="9" t="n">
        <f aca="false">FIN!G63</f>
        <v>8446.60247156148</v>
      </c>
      <c r="H4" s="9" t="n">
        <f aca="false">FIN!H63</f>
        <v>8856.26269143222</v>
      </c>
      <c r="I4" s="25" t="s">
        <v>313</v>
      </c>
    </row>
    <row r="5" customFormat="false" ht="15" hidden="false" customHeight="false" outlineLevel="0" collapsed="false">
      <c r="A5" s="5" t="s">
        <v>314</v>
      </c>
      <c r="B5" s="36" t="n">
        <v>4479.2</v>
      </c>
      <c r="C5" s="36" t="n">
        <v>4531.5</v>
      </c>
      <c r="D5" s="9" t="n">
        <f aca="false">FIN!D61</f>
        <v>4531.5</v>
      </c>
      <c r="E5" s="9" t="n">
        <f aca="false">FIN!E61</f>
        <v>4531.5</v>
      </c>
      <c r="F5" s="9" t="n">
        <f aca="false">FIN!F61</f>
        <v>4531.5</v>
      </c>
      <c r="G5" s="9" t="n">
        <f aca="false">FIN!G61</f>
        <v>4531.5</v>
      </c>
      <c r="H5" s="9" t="n">
        <f aca="false">FIN!H61</f>
        <v>4531.5</v>
      </c>
      <c r="I5" s="25" t="s">
        <v>315</v>
      </c>
    </row>
    <row r="6" customFormat="false" ht="15" hidden="false" customHeight="false" outlineLevel="0" collapsed="false">
      <c r="A6" s="5" t="s">
        <v>316</v>
      </c>
      <c r="B6" s="36" t="n">
        <v>840.2</v>
      </c>
      <c r="C6" s="36" t="n">
        <v>1432.7</v>
      </c>
      <c r="D6" s="9" t="n">
        <f aca="false">Assumptions!C$38/365*IS!D4</f>
        <v>1662.06131287671</v>
      </c>
      <c r="E6" s="9" t="n">
        <f aca="false">Assumptions!D$38/365*IS!E4</f>
        <v>1863.33693786608</v>
      </c>
      <c r="F6" s="9" t="n">
        <f aca="false">Assumptions!E$38/365*IS!F4</f>
        <v>2028.80125794859</v>
      </c>
      <c r="G6" s="9" t="n">
        <f aca="false">Assumptions!F$38/365*IS!G4</f>
        <v>2159.86181921207</v>
      </c>
      <c r="H6" s="9" t="n">
        <f aca="false">Assumptions!G$38/365*IS!H4</f>
        <v>2264.61511744385</v>
      </c>
      <c r="I6" s="25" t="s">
        <v>317</v>
      </c>
    </row>
    <row r="7" customFormat="false" ht="15" hidden="false" customHeight="false" outlineLevel="0" collapsed="false">
      <c r="A7" s="5" t="s">
        <v>318</v>
      </c>
      <c r="B7" s="36" t="n">
        <v>56.4</v>
      </c>
      <c r="C7" s="36" t="n">
        <v>67.5</v>
      </c>
      <c r="D7" s="9" t="n">
        <f aca="false">IS!D4*Assumptions!C$41</f>
        <v>77.99816304</v>
      </c>
      <c r="E7" s="9" t="n">
        <f aca="false">IS!E4*Assumptions!D$41</f>
        <v>87.443740584144</v>
      </c>
      <c r="F7" s="9" t="n">
        <f aca="false">IS!F4*Assumptions!E$41</f>
        <v>95.208744748016</v>
      </c>
      <c r="G7" s="9" t="n">
        <f aca="false">IS!G4*Assumptions!F$41</f>
        <v>101.359229658738</v>
      </c>
      <c r="H7" s="9" t="n">
        <f aca="false">IS!H4*Assumptions!G$41</f>
        <v>106.275152297187</v>
      </c>
      <c r="I7" s="25" t="s">
        <v>319</v>
      </c>
    </row>
    <row r="8" customFormat="false" ht="15" hidden="false" customHeight="false" outlineLevel="0" collapsed="false">
      <c r="A8" s="5" t="s">
        <v>320</v>
      </c>
      <c r="B8" s="36" t="n">
        <v>0</v>
      </c>
      <c r="C8" s="36" t="n">
        <v>0</v>
      </c>
      <c r="D8" s="9" t="n">
        <f aca="false">C8</f>
        <v>0</v>
      </c>
      <c r="E8" s="9" t="n">
        <f aca="false">D8</f>
        <v>0</v>
      </c>
      <c r="F8" s="9" t="n">
        <f aca="false">E8</f>
        <v>0</v>
      </c>
      <c r="G8" s="9" t="n">
        <f aca="false">F8</f>
        <v>0</v>
      </c>
      <c r="H8" s="9" t="n">
        <f aca="false">G8</f>
        <v>0</v>
      </c>
      <c r="I8" s="25" t="s">
        <v>321</v>
      </c>
    </row>
    <row r="9" customFormat="false" ht="15" hidden="false" customHeight="false" outlineLevel="0" collapsed="false">
      <c r="A9" s="5" t="s">
        <v>322</v>
      </c>
      <c r="B9" s="36" t="n">
        <v>2958.3</v>
      </c>
      <c r="C9" s="36" t="n">
        <v>3629.8</v>
      </c>
      <c r="D9" s="9" t="n">
        <f aca="false">Assumptions!C$39/365*IS!D6</f>
        <v>4221.51701604164</v>
      </c>
      <c r="E9" s="9" t="n">
        <f aca="false">Assumptions!D$39/365*IS!E6</f>
        <v>4732.74272668429</v>
      </c>
      <c r="F9" s="9" t="n">
        <f aca="false">Assumptions!E$39/365*IS!F6</f>
        <v>5153.01028081385</v>
      </c>
      <c r="G9" s="9" t="n">
        <f aca="false">Assumptions!F$39/365*IS!G6</f>
        <v>5485.89474495442</v>
      </c>
      <c r="H9" s="9" t="n">
        <f aca="false">Assumptions!G$39/365*IS!H6</f>
        <v>5751.96064008471</v>
      </c>
      <c r="I9" s="25" t="s">
        <v>323</v>
      </c>
    </row>
    <row r="10" customFormat="false" ht="15" hidden="false" customHeight="false" outlineLevel="0" collapsed="false">
      <c r="A10" s="5" t="s">
        <v>324</v>
      </c>
      <c r="B10" s="36" t="n">
        <v>85.4</v>
      </c>
      <c r="C10" s="36" t="n">
        <v>91.1</v>
      </c>
      <c r="D10" s="9" t="n">
        <f aca="false">C10</f>
        <v>91.1</v>
      </c>
      <c r="E10" s="9" t="n">
        <f aca="false">D10</f>
        <v>91.1</v>
      </c>
      <c r="F10" s="9" t="n">
        <f aca="false">E10</f>
        <v>91.1</v>
      </c>
      <c r="G10" s="9" t="n">
        <f aca="false">F10</f>
        <v>91.1</v>
      </c>
      <c r="H10" s="9" t="n">
        <f aca="false">G10</f>
        <v>91.1</v>
      </c>
      <c r="I10" s="25" t="s">
        <v>325</v>
      </c>
    </row>
    <row r="11" customFormat="false" ht="15" hidden="false" customHeight="false" outlineLevel="0" collapsed="false">
      <c r="A11" s="3" t="s">
        <v>326</v>
      </c>
      <c r="B11" s="47" t="n">
        <f aca="false">B4+B5+B6+B7+B8+B9+B10</f>
        <v>14783.7</v>
      </c>
      <c r="C11" s="47" t="n">
        <f aca="false">C4+C5+C6+C7+C8+C9+C10</f>
        <v>15625.1</v>
      </c>
      <c r="D11" s="47" t="n">
        <f aca="false">D4+D5+D6+D7+D8+D9+D10</f>
        <v>17084.0234119584</v>
      </c>
      <c r="E11" s="47" t="n">
        <f aca="false">E4+E5+E6+E7+E8+E9+E10</f>
        <v>18593.1017871465</v>
      </c>
      <c r="F11" s="47" t="n">
        <f aca="false">F4+F5+F6+F7+F8+F9+F10</f>
        <v>19833.6823458451</v>
      </c>
      <c r="G11" s="47" t="n">
        <f aca="false">G4+G5+G6+G7+G8+G9+G10</f>
        <v>20816.3182653867</v>
      </c>
      <c r="H11" s="47" t="n">
        <f aca="false">H4+H5+H6+H7+H8+H9+H10</f>
        <v>21601.713601258</v>
      </c>
      <c r="I11" s="25"/>
    </row>
    <row r="12" customFormat="false" ht="15" hidden="false" customHeight="false" outlineLevel="0" collapsed="false">
      <c r="A12" s="5" t="s">
        <v>327</v>
      </c>
      <c r="B12" s="36" t="n">
        <v>28092</v>
      </c>
      <c r="C12" s="36" t="n">
        <v>32557.8</v>
      </c>
      <c r="D12" s="9" t="n">
        <f aca="false">PPE!D18</f>
        <v>32003.1160489</v>
      </c>
      <c r="E12" s="9" t="n">
        <f aca="false">PPE!E18</f>
        <v>31442.2333744415</v>
      </c>
      <c r="F12" s="9" t="n">
        <f aca="false">PPE!F18</f>
        <v>30611.3183123767</v>
      </c>
      <c r="G12" s="9" t="n">
        <f aca="false">PPE!G18</f>
        <v>29608.9684031049</v>
      </c>
      <c r="H12" s="9" t="n">
        <f aca="false">PPE!H18</f>
        <v>28366.6695851723</v>
      </c>
      <c r="I12" s="25" t="s">
        <v>328</v>
      </c>
    </row>
    <row r="13" customFormat="false" ht="15" hidden="false" customHeight="false" outlineLevel="0" collapsed="false">
      <c r="A13" s="5" t="s">
        <v>329</v>
      </c>
      <c r="B13" s="36" t="n">
        <v>0</v>
      </c>
      <c r="C13" s="36" t="n">
        <v>0</v>
      </c>
      <c r="D13" s="9" t="n">
        <f aca="false">C13</f>
        <v>0</v>
      </c>
      <c r="E13" s="9" t="n">
        <f aca="false">D13</f>
        <v>0</v>
      </c>
      <c r="F13" s="9" t="n">
        <f aca="false">E13</f>
        <v>0</v>
      </c>
      <c r="G13" s="9" t="n">
        <f aca="false">F13</f>
        <v>0</v>
      </c>
      <c r="H13" s="9" t="n">
        <f aca="false">G13</f>
        <v>0</v>
      </c>
      <c r="I13" s="25" t="s">
        <v>321</v>
      </c>
    </row>
    <row r="14" customFormat="false" ht="15" hidden="false" customHeight="false" outlineLevel="0" collapsed="false">
      <c r="A14" s="5" t="s">
        <v>330</v>
      </c>
      <c r="B14" s="36" t="n">
        <v>24.3</v>
      </c>
      <c r="C14" s="36" t="n">
        <v>20.4</v>
      </c>
      <c r="D14" s="9" t="n">
        <f aca="false">Schedules!D23</f>
        <v>18.768</v>
      </c>
      <c r="E14" s="9" t="n">
        <f aca="false">Schedules!E23</f>
        <v>17.26656</v>
      </c>
      <c r="F14" s="9" t="n">
        <f aca="false">Schedules!F23</f>
        <v>15.8852352</v>
      </c>
      <c r="G14" s="9" t="n">
        <f aca="false">Schedules!G23</f>
        <v>14.614416384</v>
      </c>
      <c r="H14" s="9" t="n">
        <f aca="false">Schedules!H23</f>
        <v>13.44526307328</v>
      </c>
      <c r="I14" s="25" t="s">
        <v>331</v>
      </c>
    </row>
    <row r="15" customFormat="false" ht="15" hidden="false" customHeight="false" outlineLevel="0" collapsed="false">
      <c r="A15" s="5" t="s">
        <v>332</v>
      </c>
      <c r="B15" s="36" t="n">
        <v>0</v>
      </c>
      <c r="C15" s="36" t="n">
        <v>0</v>
      </c>
      <c r="D15" s="9" t="n">
        <f aca="false">C15</f>
        <v>0</v>
      </c>
      <c r="E15" s="9" t="n">
        <f aca="false">D15</f>
        <v>0</v>
      </c>
      <c r="F15" s="9" t="n">
        <f aca="false">E15</f>
        <v>0</v>
      </c>
      <c r="G15" s="9" t="n">
        <f aca="false">F15</f>
        <v>0</v>
      </c>
      <c r="H15" s="9" t="n">
        <f aca="false">G15</f>
        <v>0</v>
      </c>
      <c r="I15" s="25" t="s">
        <v>321</v>
      </c>
    </row>
    <row r="16" customFormat="false" ht="15" hidden="false" customHeight="false" outlineLevel="0" collapsed="false">
      <c r="A16" s="5" t="s">
        <v>333</v>
      </c>
      <c r="B16" s="36" t="n">
        <v>0</v>
      </c>
      <c r="C16" s="36" t="n">
        <v>0</v>
      </c>
      <c r="D16" s="9" t="n">
        <f aca="false">C16</f>
        <v>0</v>
      </c>
      <c r="E16" s="9" t="n">
        <f aca="false">D16</f>
        <v>0</v>
      </c>
      <c r="F16" s="9" t="n">
        <f aca="false">E16</f>
        <v>0</v>
      </c>
      <c r="G16" s="9" t="n">
        <f aca="false">F16</f>
        <v>0</v>
      </c>
      <c r="H16" s="9" t="n">
        <f aca="false">G16</f>
        <v>0</v>
      </c>
      <c r="I16" s="25" t="s">
        <v>321</v>
      </c>
    </row>
    <row r="17" customFormat="false" ht="15" hidden="false" customHeight="false" outlineLevel="0" collapsed="false">
      <c r="A17" s="5" t="s">
        <v>334</v>
      </c>
      <c r="B17" s="36" t="n">
        <v>29.2</v>
      </c>
      <c r="C17" s="36" t="n">
        <v>35.2</v>
      </c>
      <c r="D17" s="9" t="n">
        <f aca="false">C17</f>
        <v>35.2</v>
      </c>
      <c r="E17" s="9" t="n">
        <f aca="false">D17</f>
        <v>35.2</v>
      </c>
      <c r="F17" s="9" t="n">
        <f aca="false">E17</f>
        <v>35.2</v>
      </c>
      <c r="G17" s="9" t="n">
        <f aca="false">F17</f>
        <v>35.2</v>
      </c>
      <c r="H17" s="9" t="n">
        <f aca="false">G17</f>
        <v>35.2</v>
      </c>
      <c r="I17" s="25" t="s">
        <v>321</v>
      </c>
    </row>
    <row r="18" customFormat="false" ht="15" hidden="false" customHeight="false" outlineLevel="0" collapsed="false">
      <c r="A18" s="5" t="s">
        <v>335</v>
      </c>
      <c r="B18" s="36" t="n">
        <v>3747.1</v>
      </c>
      <c r="C18" s="36" t="n">
        <v>1532.3</v>
      </c>
      <c r="D18" s="9" t="n">
        <f aca="false">C18</f>
        <v>1532.3</v>
      </c>
      <c r="E18" s="9" t="n">
        <f aca="false">D18</f>
        <v>1532.3</v>
      </c>
      <c r="F18" s="9" t="n">
        <f aca="false">E18</f>
        <v>1532.3</v>
      </c>
      <c r="G18" s="9" t="n">
        <f aca="false">F18</f>
        <v>1532.3</v>
      </c>
      <c r="H18" s="9" t="n">
        <f aca="false">G18</f>
        <v>1532.3</v>
      </c>
      <c r="I18" s="25" t="s">
        <v>336</v>
      </c>
    </row>
    <row r="19" customFormat="false" ht="15" hidden="false" customHeight="false" outlineLevel="0" collapsed="false">
      <c r="A19" s="5" t="s">
        <v>337</v>
      </c>
      <c r="B19" s="36" t="n">
        <v>2484.9</v>
      </c>
      <c r="C19" s="36" t="n">
        <v>2500.6</v>
      </c>
      <c r="D19" s="9" t="n">
        <f aca="false">C19</f>
        <v>2500.6</v>
      </c>
      <c r="E19" s="9" t="n">
        <f aca="false">D19</f>
        <v>2500.6</v>
      </c>
      <c r="F19" s="9" t="n">
        <f aca="false">E19</f>
        <v>2500.6</v>
      </c>
      <c r="G19" s="9" t="n">
        <f aca="false">F19</f>
        <v>2500.6</v>
      </c>
      <c r="H19" s="9" t="n">
        <f aca="false">G19</f>
        <v>2500.6</v>
      </c>
      <c r="I19" s="25" t="s">
        <v>338</v>
      </c>
    </row>
    <row r="20" customFormat="false" ht="15" hidden="false" customHeight="false" outlineLevel="0" collapsed="false">
      <c r="A20" s="3" t="s">
        <v>339</v>
      </c>
      <c r="B20" s="47" t="n">
        <f aca="false">B12+B13+B14+B15+B16+B17+B18+B19</f>
        <v>34377.5</v>
      </c>
      <c r="C20" s="47" t="n">
        <f aca="false">C12+C13+C14+C15+C16+C17+C18+C19</f>
        <v>36646.3</v>
      </c>
      <c r="D20" s="47" t="n">
        <f aca="false">D12+D13+D14+D15+D16+D17+D18+D19</f>
        <v>36089.9840489</v>
      </c>
      <c r="E20" s="47" t="n">
        <f aca="false">E12+E13+E14+E15+E16+E17+E18+E19</f>
        <v>35527.5999344415</v>
      </c>
      <c r="F20" s="47" t="n">
        <f aca="false">F12+F13+F14+F15+F16+F17+F18+F19</f>
        <v>34695.3035475767</v>
      </c>
      <c r="G20" s="47" t="n">
        <f aca="false">G12+G13+G14+G15+G16+G17+G18+G19</f>
        <v>33691.6828194889</v>
      </c>
      <c r="H20" s="47" t="n">
        <f aca="false">H12+H13+H14+H15+H16+H17+H18+H19</f>
        <v>32448.2148482456</v>
      </c>
      <c r="I20" s="25"/>
    </row>
    <row r="21" customFormat="false" ht="15" hidden="false" customHeight="false" outlineLevel="0" collapsed="false">
      <c r="A21" s="3" t="s">
        <v>340</v>
      </c>
      <c r="B21" s="47" t="n">
        <f aca="false">B11+B20</f>
        <v>49161.2</v>
      </c>
      <c r="C21" s="47" t="n">
        <f aca="false">C11+C20</f>
        <v>52271.4</v>
      </c>
      <c r="D21" s="47" t="n">
        <f aca="false">D11+D20</f>
        <v>53174.0074608584</v>
      </c>
      <c r="E21" s="47" t="n">
        <f aca="false">E11+E20</f>
        <v>54120.701721588</v>
      </c>
      <c r="F21" s="47" t="n">
        <f aca="false">F11+F20</f>
        <v>54528.9858934218</v>
      </c>
      <c r="G21" s="47" t="n">
        <f aca="false">G11+G20</f>
        <v>54508.0010848756</v>
      </c>
      <c r="H21" s="47" t="n">
        <f aca="false">H11+H20</f>
        <v>54049.9284495036</v>
      </c>
      <c r="I21" s="27" t="s">
        <v>341</v>
      </c>
    </row>
    <row r="22" customFormat="false" ht="15" hidden="false" customHeight="false" outlineLevel="0" collapsed="false">
      <c r="A22" s="5" t="s">
        <v>342</v>
      </c>
      <c r="B22" s="36" t="n">
        <v>2926.3</v>
      </c>
      <c r="C22" s="36" t="n">
        <v>2593.1</v>
      </c>
      <c r="D22" s="9" t="n">
        <f aca="false">FIN!D24</f>
        <v>2762.22265502198</v>
      </c>
      <c r="E22" s="9" t="n">
        <f aca="false">FIN!E24</f>
        <v>2915.46619397154</v>
      </c>
      <c r="F22" s="9" t="n">
        <f aca="false">FIN!F24</f>
        <v>2571.6248155097</v>
      </c>
      <c r="G22" s="9" t="n">
        <f aca="false">FIN!G24</f>
        <v>1837.39976098086</v>
      </c>
      <c r="H22" s="9" t="n">
        <f aca="false">FIN!H24</f>
        <v>687.807666204252</v>
      </c>
      <c r="I22" s="25" t="s">
        <v>343</v>
      </c>
    </row>
    <row r="23" customFormat="false" ht="15" hidden="false" customHeight="false" outlineLevel="0" collapsed="false">
      <c r="A23" s="5" t="s">
        <v>344</v>
      </c>
      <c r="B23" s="36" t="n">
        <v>3280.4</v>
      </c>
      <c r="C23" s="36" t="n">
        <v>2966</v>
      </c>
      <c r="D23" s="9" t="n">
        <f aca="false">Assumptions!C$40/365*IS!D6</f>
        <v>3447.57222976734</v>
      </c>
      <c r="E23" s="9" t="n">
        <f aca="false">Assumptions!D$40/365*IS!E6</f>
        <v>3865.07322679217</v>
      </c>
      <c r="F23" s="9" t="n">
        <f aca="false">Assumptions!E$40/365*IS!F6</f>
        <v>4208.29172933131</v>
      </c>
      <c r="G23" s="9" t="n">
        <f aca="false">Assumptions!F$40/365*IS!G6</f>
        <v>4480.14737504611</v>
      </c>
      <c r="H23" s="9" t="n">
        <f aca="false">Assumptions!G$40/365*IS!H6</f>
        <v>4697.43452273585</v>
      </c>
      <c r="I23" s="25" t="s">
        <v>345</v>
      </c>
    </row>
    <row r="24" customFormat="false" ht="15" hidden="false" customHeight="false" outlineLevel="0" collapsed="false">
      <c r="A24" s="5" t="s">
        <v>346</v>
      </c>
      <c r="B24" s="36" t="n">
        <v>1547.9</v>
      </c>
      <c r="C24" s="36" t="n">
        <v>1009.1</v>
      </c>
      <c r="D24" s="9" t="n">
        <f aca="false">C24</f>
        <v>1009.1</v>
      </c>
      <c r="E24" s="9" t="n">
        <f aca="false">D24</f>
        <v>1009.1</v>
      </c>
      <c r="F24" s="9" t="n">
        <f aca="false">E24</f>
        <v>1009.1</v>
      </c>
      <c r="G24" s="9" t="n">
        <f aca="false">F24</f>
        <v>1009.1</v>
      </c>
      <c r="H24" s="9" t="n">
        <f aca="false">G24</f>
        <v>1009.1</v>
      </c>
      <c r="I24" s="25" t="s">
        <v>321</v>
      </c>
    </row>
    <row r="25" customFormat="false" ht="15" hidden="false" customHeight="false" outlineLevel="0" collapsed="false">
      <c r="A25" s="5" t="s">
        <v>347</v>
      </c>
      <c r="B25" s="36" t="n">
        <v>0</v>
      </c>
      <c r="C25" s="36" t="n">
        <v>0</v>
      </c>
      <c r="D25" s="9" t="n">
        <f aca="false">IS!D4*Assumptions!C$42</f>
        <v>0</v>
      </c>
      <c r="E25" s="9" t="n">
        <f aca="false">IS!E4*Assumptions!D$42</f>
        <v>0</v>
      </c>
      <c r="F25" s="9" t="n">
        <f aca="false">IS!F4*Assumptions!E$42</f>
        <v>0</v>
      </c>
      <c r="G25" s="9" t="n">
        <f aca="false">IS!G4*Assumptions!F$42</f>
        <v>0</v>
      </c>
      <c r="H25" s="9" t="n">
        <f aca="false">IS!H4*Assumptions!G$42</f>
        <v>0</v>
      </c>
      <c r="I25" s="25" t="s">
        <v>348</v>
      </c>
    </row>
    <row r="26" customFormat="false" ht="15" hidden="false" customHeight="false" outlineLevel="0" collapsed="false">
      <c r="A26" s="5" t="s">
        <v>349</v>
      </c>
      <c r="B26" s="36" t="n">
        <v>84.8</v>
      </c>
      <c r="C26" s="36" t="n">
        <v>33.5</v>
      </c>
      <c r="D26" s="9" t="n">
        <f aca="false">IS!D4*Assumptions!C$43</f>
        <v>38.99908152</v>
      </c>
      <c r="E26" s="9" t="n">
        <f aca="false">IS!E4*Assumptions!D$43</f>
        <v>43.721870292072</v>
      </c>
      <c r="F26" s="9" t="n">
        <f aca="false">IS!F4*Assumptions!E$43</f>
        <v>47.604372374008</v>
      </c>
      <c r="G26" s="9" t="n">
        <f aca="false">IS!G4*Assumptions!F$43</f>
        <v>50.6796148293689</v>
      </c>
      <c r="H26" s="9" t="n">
        <f aca="false">IS!H4*Assumptions!G$43</f>
        <v>53.1375761485933</v>
      </c>
      <c r="I26" s="25" t="s">
        <v>350</v>
      </c>
    </row>
    <row r="27" customFormat="false" ht="15" hidden="false" customHeight="false" outlineLevel="0" collapsed="false">
      <c r="A27" s="5" t="s">
        <v>351</v>
      </c>
      <c r="B27" s="36" t="n">
        <v>0</v>
      </c>
      <c r="C27" s="36" t="n">
        <v>0</v>
      </c>
      <c r="D27" s="9" t="n">
        <f aca="false">C27</f>
        <v>0</v>
      </c>
      <c r="E27" s="9" t="n">
        <f aca="false">D27</f>
        <v>0</v>
      </c>
      <c r="F27" s="9" t="n">
        <f aca="false">E27</f>
        <v>0</v>
      </c>
      <c r="G27" s="9" t="n">
        <f aca="false">F27</f>
        <v>0</v>
      </c>
      <c r="H27" s="9" t="n">
        <f aca="false">G27</f>
        <v>0</v>
      </c>
      <c r="I27" s="25" t="s">
        <v>321</v>
      </c>
    </row>
    <row r="28" customFormat="false" ht="15" hidden="false" customHeight="false" outlineLevel="0" collapsed="false">
      <c r="A28" s="5" t="s">
        <v>352</v>
      </c>
      <c r="B28" s="36" t="n">
        <v>18.5</v>
      </c>
      <c r="C28" s="36" t="n">
        <v>7.5</v>
      </c>
      <c r="D28" s="9" t="n">
        <f aca="false">FIN!D32</f>
        <v>7.5</v>
      </c>
      <c r="E28" s="9" t="n">
        <f aca="false">FIN!E32</f>
        <v>7.5</v>
      </c>
      <c r="F28" s="9" t="n">
        <f aca="false">FIN!F32</f>
        <v>7.5</v>
      </c>
      <c r="G28" s="9" t="n">
        <f aca="false">FIN!G32</f>
        <v>7.5</v>
      </c>
      <c r="H28" s="9" t="n">
        <f aca="false">FIN!H32</f>
        <v>7.5</v>
      </c>
      <c r="I28" s="25" t="s">
        <v>353</v>
      </c>
    </row>
    <row r="29" customFormat="false" ht="15" hidden="false" customHeight="false" outlineLevel="0" collapsed="false">
      <c r="A29" s="5" t="s">
        <v>354</v>
      </c>
      <c r="B29" s="36" t="n">
        <v>901.8</v>
      </c>
      <c r="C29" s="36" t="n">
        <v>207.9</v>
      </c>
      <c r="D29" s="9" t="n">
        <f aca="false">C29</f>
        <v>207.9</v>
      </c>
      <c r="E29" s="9" t="n">
        <f aca="false">D29</f>
        <v>207.9</v>
      </c>
      <c r="F29" s="9" t="n">
        <f aca="false">E29</f>
        <v>207.9</v>
      </c>
      <c r="G29" s="9" t="n">
        <f aca="false">F29</f>
        <v>207.9</v>
      </c>
      <c r="H29" s="9" t="n">
        <f aca="false">G29</f>
        <v>207.9</v>
      </c>
      <c r="I29" s="25" t="s">
        <v>338</v>
      </c>
    </row>
    <row r="30" customFormat="false" ht="15" hidden="false" customHeight="false" outlineLevel="0" collapsed="false">
      <c r="A30" s="3" t="s">
        <v>355</v>
      </c>
      <c r="B30" s="47" t="n">
        <f aca="false">B22+B23+B24+B25+B26+B27+B28+B29</f>
        <v>8759.7</v>
      </c>
      <c r="C30" s="47" t="n">
        <f aca="false">C22+C23+C24+C25+C26+C27+C28+C29</f>
        <v>6817.1</v>
      </c>
      <c r="D30" s="47" t="n">
        <f aca="false">D22+D23+D24+D25+D26+D27+D28+D29</f>
        <v>7473.29396630932</v>
      </c>
      <c r="E30" s="47" t="n">
        <f aca="false">E22+E23+E24+E25+E26+E27+E28+E29</f>
        <v>8048.76129105578</v>
      </c>
      <c r="F30" s="47" t="n">
        <f aca="false">F22+F23+F24+F25+F26+F27+F28+F29</f>
        <v>8052.02091721501</v>
      </c>
      <c r="G30" s="47" t="n">
        <f aca="false">G22+G23+G24+G25+G26+G27+G28+G29</f>
        <v>7592.72675085634</v>
      </c>
      <c r="H30" s="47" t="n">
        <f aca="false">H22+H23+H24+H25+H26+H27+H28+H29</f>
        <v>6662.8797650887</v>
      </c>
      <c r="I30" s="25"/>
    </row>
    <row r="31" customFormat="false" ht="15" hidden="false" customHeight="false" outlineLevel="0" collapsed="false">
      <c r="A31" s="5" t="s">
        <v>356</v>
      </c>
      <c r="B31" s="36" t="n">
        <v>8038.1</v>
      </c>
      <c r="C31" s="36" t="n">
        <v>9994.8</v>
      </c>
      <c r="D31" s="9" t="n">
        <f aca="false">FIN!D42</f>
        <v>9994.8</v>
      </c>
      <c r="E31" s="9" t="n">
        <f aca="false">FIN!E42</f>
        <v>9994.8</v>
      </c>
      <c r="F31" s="9" t="n">
        <f aca="false">FIN!F42</f>
        <v>9994.8</v>
      </c>
      <c r="G31" s="9" t="n">
        <f aca="false">FIN!G42</f>
        <v>9994.8</v>
      </c>
      <c r="H31" s="9" t="n">
        <f aca="false">FIN!H42</f>
        <v>9994.8</v>
      </c>
      <c r="I31" s="25" t="s">
        <v>357</v>
      </c>
    </row>
    <row r="32" customFormat="false" ht="15" hidden="false" customHeight="false" outlineLevel="0" collapsed="false">
      <c r="A32" s="5" t="s">
        <v>358</v>
      </c>
      <c r="B32" s="36" t="n">
        <v>7.8</v>
      </c>
      <c r="C32" s="36" t="n">
        <v>0.8</v>
      </c>
      <c r="D32" s="9" t="n">
        <f aca="false">FIN!D50</f>
        <v>0.8</v>
      </c>
      <c r="E32" s="9" t="n">
        <f aca="false">FIN!E50</f>
        <v>0.8</v>
      </c>
      <c r="F32" s="9" t="n">
        <f aca="false">FIN!F50</f>
        <v>0.8</v>
      </c>
      <c r="G32" s="9" t="n">
        <f aca="false">FIN!G50</f>
        <v>0.8</v>
      </c>
      <c r="H32" s="9" t="n">
        <f aca="false">FIN!H50</f>
        <v>0.8</v>
      </c>
      <c r="I32" s="25" t="s">
        <v>353</v>
      </c>
    </row>
    <row r="33" customFormat="false" ht="15" hidden="false" customHeight="false" outlineLevel="0" collapsed="false">
      <c r="A33" s="5" t="s">
        <v>359</v>
      </c>
      <c r="B33" s="36" t="n">
        <v>486</v>
      </c>
      <c r="C33" s="36" t="n">
        <v>438.1</v>
      </c>
      <c r="D33" s="9" t="n">
        <f aca="false">C33</f>
        <v>438.1</v>
      </c>
      <c r="E33" s="9" t="n">
        <f aca="false">D33</f>
        <v>438.1</v>
      </c>
      <c r="F33" s="9" t="n">
        <f aca="false">E33</f>
        <v>438.1</v>
      </c>
      <c r="G33" s="9" t="n">
        <f aca="false">F33</f>
        <v>438.1</v>
      </c>
      <c r="H33" s="9" t="n">
        <f aca="false">G33</f>
        <v>438.1</v>
      </c>
      <c r="I33" s="25" t="s">
        <v>360</v>
      </c>
    </row>
    <row r="34" customFormat="false" ht="15" hidden="false" customHeight="false" outlineLevel="0" collapsed="false">
      <c r="A34" s="3" t="s">
        <v>361</v>
      </c>
      <c r="B34" s="47" t="n">
        <f aca="false">B31+B32+B33</f>
        <v>8531.9</v>
      </c>
      <c r="C34" s="47" t="n">
        <f aca="false">C31+C32+C33</f>
        <v>10433.7</v>
      </c>
      <c r="D34" s="47" t="n">
        <f aca="false">D31+D32+D33</f>
        <v>10433.7</v>
      </c>
      <c r="E34" s="47" t="n">
        <f aca="false">E31+E32+E33</f>
        <v>10433.7</v>
      </c>
      <c r="F34" s="47" t="n">
        <f aca="false">F31+F32+F33</f>
        <v>10433.7</v>
      </c>
      <c r="G34" s="47" t="n">
        <f aca="false">G31+G32+G33</f>
        <v>10433.7</v>
      </c>
      <c r="H34" s="47" t="n">
        <f aca="false">H31+H32+H33</f>
        <v>10433.7</v>
      </c>
      <c r="I34" s="25"/>
    </row>
    <row r="35" customFormat="false" ht="15" hidden="false" customHeight="false" outlineLevel="0" collapsed="false">
      <c r="A35" s="3" t="s">
        <v>362</v>
      </c>
      <c r="B35" s="47" t="n">
        <f aca="false">B30+B34</f>
        <v>17291.6</v>
      </c>
      <c r="C35" s="47" t="n">
        <f aca="false">C30+C34</f>
        <v>17250.8</v>
      </c>
      <c r="D35" s="47" t="n">
        <f aca="false">D30+D34</f>
        <v>17906.9939663093</v>
      </c>
      <c r="E35" s="47" t="n">
        <f aca="false">E30+E34</f>
        <v>18482.4612910558</v>
      </c>
      <c r="F35" s="47" t="n">
        <f aca="false">F30+F34</f>
        <v>18485.720917215</v>
      </c>
      <c r="G35" s="47" t="n">
        <f aca="false">G30+G34</f>
        <v>18026.4267508563</v>
      </c>
      <c r="H35" s="47" t="n">
        <f aca="false">H30+H34</f>
        <v>17096.5797650887</v>
      </c>
    </row>
    <row r="36" customFormat="false" ht="15" hidden="false" customHeight="false" outlineLevel="0" collapsed="false">
      <c r="A36" s="5" t="s">
        <v>363</v>
      </c>
      <c r="B36" s="36" t="n">
        <v>31.9</v>
      </c>
      <c r="C36" s="36" t="n">
        <v>32</v>
      </c>
      <c r="D36" s="9" t="n">
        <f aca="false">Equity_Roll!D5</f>
        <v>32</v>
      </c>
      <c r="E36" s="9" t="n">
        <f aca="false">Equity_Roll!E5</f>
        <v>32</v>
      </c>
      <c r="F36" s="9" t="n">
        <f aca="false">Equity_Roll!F5</f>
        <v>32</v>
      </c>
      <c r="G36" s="9" t="n">
        <f aca="false">Equity_Roll!G5</f>
        <v>32</v>
      </c>
      <c r="H36" s="9" t="n">
        <f aca="false">Equity_Roll!H5</f>
        <v>32</v>
      </c>
      <c r="I36" s="25" t="s">
        <v>364</v>
      </c>
    </row>
    <row r="37" customFormat="false" ht="15" hidden="false" customHeight="false" outlineLevel="0" collapsed="false">
      <c r="A37" s="5" t="s">
        <v>365</v>
      </c>
      <c r="B37" s="36" t="n">
        <v>14266.4</v>
      </c>
      <c r="C37" s="36" t="n">
        <v>14394.8</v>
      </c>
      <c r="D37" s="9" t="n">
        <f aca="false">Equity_Roll!D6</f>
        <v>14394.8</v>
      </c>
      <c r="E37" s="9" t="n">
        <f aca="false">Equity_Roll!E6</f>
        <v>14394.8</v>
      </c>
      <c r="F37" s="9" t="n">
        <f aca="false">Equity_Roll!F6</f>
        <v>14394.8</v>
      </c>
      <c r="G37" s="9" t="n">
        <f aca="false">Equity_Roll!G6</f>
        <v>14394.8</v>
      </c>
      <c r="H37" s="9" t="n">
        <f aca="false">Equity_Roll!H6</f>
        <v>14394.8</v>
      </c>
      <c r="I37" s="25" t="s">
        <v>364</v>
      </c>
    </row>
    <row r="38" customFormat="false" ht="15" hidden="false" customHeight="false" outlineLevel="0" collapsed="false">
      <c r="A38" s="5" t="s">
        <v>366</v>
      </c>
      <c r="B38" s="36" t="n">
        <v>0</v>
      </c>
      <c r="C38" s="36" t="n">
        <v>0</v>
      </c>
      <c r="D38" s="9" t="n">
        <f aca="false">Equity_Roll!D7</f>
        <v>0</v>
      </c>
      <c r="E38" s="9" t="n">
        <f aca="false">Equity_Roll!E7</f>
        <v>0</v>
      </c>
      <c r="F38" s="9" t="n">
        <f aca="false">Equity_Roll!F7</f>
        <v>0</v>
      </c>
      <c r="G38" s="9" t="n">
        <f aca="false">Equity_Roll!G7</f>
        <v>0</v>
      </c>
      <c r="H38" s="9" t="n">
        <f aca="false">Equity_Roll!H7</f>
        <v>0</v>
      </c>
      <c r="I38" s="25" t="s">
        <v>364</v>
      </c>
    </row>
    <row r="39" customFormat="false" ht="15" hidden="false" customHeight="false" outlineLevel="0" collapsed="false">
      <c r="A39" s="5" t="s">
        <v>367</v>
      </c>
      <c r="B39" s="36" t="n">
        <v>142.5</v>
      </c>
      <c r="C39" s="36" t="n">
        <v>154.7</v>
      </c>
      <c r="D39" s="9" t="n">
        <f aca="false">Equity_Roll!D8</f>
        <v>154.7</v>
      </c>
      <c r="E39" s="9" t="n">
        <f aca="false">Equity_Roll!E8</f>
        <v>154.7</v>
      </c>
      <c r="F39" s="9" t="n">
        <f aca="false">Equity_Roll!F8</f>
        <v>154.7</v>
      </c>
      <c r="G39" s="9" t="n">
        <f aca="false">Equity_Roll!G8</f>
        <v>154.7</v>
      </c>
      <c r="H39" s="9" t="n">
        <f aca="false">Equity_Roll!H8</f>
        <v>154.7</v>
      </c>
      <c r="I39" s="25" t="s">
        <v>364</v>
      </c>
    </row>
    <row r="40" customFormat="false" ht="15" hidden="false" customHeight="false" outlineLevel="0" collapsed="false">
      <c r="A40" s="5" t="s">
        <v>368</v>
      </c>
      <c r="B40" s="36" t="n">
        <v>0</v>
      </c>
      <c r="C40" s="36" t="n">
        <v>0</v>
      </c>
      <c r="D40" s="9" t="n">
        <f aca="false">Equity_Roll!D10</f>
        <v>0</v>
      </c>
      <c r="E40" s="9" t="n">
        <f aca="false">Equity_Roll!E10</f>
        <v>0</v>
      </c>
      <c r="F40" s="9" t="n">
        <f aca="false">Equity_Roll!F10</f>
        <v>0</v>
      </c>
      <c r="G40" s="9" t="n">
        <f aca="false">Equity_Roll!G10</f>
        <v>0</v>
      </c>
      <c r="H40" s="9" t="n">
        <f aca="false">Equity_Roll!H10</f>
        <v>0</v>
      </c>
      <c r="I40" s="25" t="s">
        <v>369</v>
      </c>
    </row>
    <row r="41" customFormat="false" ht="15" hidden="false" customHeight="false" outlineLevel="0" collapsed="false">
      <c r="A41" s="5" t="s">
        <v>370</v>
      </c>
      <c r="B41" s="36" t="n">
        <v>6173.1</v>
      </c>
      <c r="C41" s="36" t="n">
        <v>6858.2</v>
      </c>
      <c r="D41" s="9" t="n">
        <f aca="false">Equity_Roll!D12</f>
        <v>7104.61349454904</v>
      </c>
      <c r="E41" s="9" t="n">
        <f aca="false">Equity_Roll!E12</f>
        <v>7475.84043053225</v>
      </c>
      <c r="F41" s="9" t="n">
        <f aca="false">Equity_Roll!F12</f>
        <v>7880.86497620681</v>
      </c>
      <c r="G41" s="9" t="n">
        <f aca="false">Equity_Roll!G12</f>
        <v>8319.17433401928</v>
      </c>
      <c r="H41" s="9" t="n">
        <f aca="false">Equity_Roll!H12</f>
        <v>8790.94868441486</v>
      </c>
      <c r="I41" s="25" t="s">
        <v>371</v>
      </c>
    </row>
    <row r="42" customFormat="false" ht="15" hidden="false" customHeight="false" outlineLevel="0" collapsed="false">
      <c r="A42" s="5" t="s">
        <v>372</v>
      </c>
      <c r="B42" s="36" t="n">
        <v>-0.1</v>
      </c>
      <c r="C42" s="36" t="n">
        <v>0</v>
      </c>
      <c r="D42" s="9" t="n">
        <f aca="false">C42</f>
        <v>0</v>
      </c>
      <c r="E42" s="9" t="n">
        <f aca="false">D42</f>
        <v>0</v>
      </c>
      <c r="F42" s="9" t="n">
        <f aca="false">E42</f>
        <v>0</v>
      </c>
      <c r="G42" s="9" t="n">
        <f aca="false">F42</f>
        <v>0</v>
      </c>
      <c r="H42" s="9" t="n">
        <f aca="false">G42</f>
        <v>0</v>
      </c>
      <c r="I42" s="25" t="s">
        <v>373</v>
      </c>
    </row>
    <row r="43" customFormat="false" ht="15" hidden="false" customHeight="false" outlineLevel="0" collapsed="false">
      <c r="A43" s="3" t="s">
        <v>374</v>
      </c>
      <c r="B43" s="47" t="n">
        <f aca="false">B36+B37-B38+B39+B40+B41+B42</f>
        <v>20613.8</v>
      </c>
      <c r="C43" s="47" t="n">
        <f aca="false">C36+C37-C38+C39+C40+C41+C42</f>
        <v>21439.7</v>
      </c>
      <c r="D43" s="47" t="n">
        <f aca="false">D36+D37-D38+D39+D40+D41+D42</f>
        <v>21686.113494549</v>
      </c>
      <c r="E43" s="47" t="n">
        <f aca="false">E36+E37-E38+E39+E40+E41+E42</f>
        <v>22057.3404305322</v>
      </c>
      <c r="F43" s="47" t="n">
        <f aca="false">F36+F37-F38+F39+F40+F41+F42</f>
        <v>22462.3649762068</v>
      </c>
      <c r="G43" s="47" t="n">
        <f aca="false">G36+G37-G38+G39+G40+G41+G42</f>
        <v>22900.6743340193</v>
      </c>
      <c r="H43" s="47" t="n">
        <f aca="false">H36+H37-H38+H39+H40+H41+H42</f>
        <v>23372.4486844149</v>
      </c>
    </row>
    <row r="44" customFormat="false" ht="15" hidden="false" customHeight="false" outlineLevel="0" collapsed="false">
      <c r="A44" s="5" t="s">
        <v>375</v>
      </c>
      <c r="B44" s="36" t="n">
        <v>11255.8</v>
      </c>
      <c r="C44" s="36" t="n">
        <v>13580.9</v>
      </c>
      <c r="D44" s="9" t="n">
        <f aca="false">C44</f>
        <v>13580.9</v>
      </c>
      <c r="E44" s="9" t="n">
        <f aca="false">D44</f>
        <v>13580.9</v>
      </c>
      <c r="F44" s="9" t="n">
        <f aca="false">E44</f>
        <v>13580.9</v>
      </c>
      <c r="G44" s="9" t="n">
        <f aca="false">F44</f>
        <v>13580.9</v>
      </c>
      <c r="H44" s="9" t="n">
        <f aca="false">G44</f>
        <v>13580.9</v>
      </c>
      <c r="I44" s="25" t="s">
        <v>321</v>
      </c>
    </row>
    <row r="45" customFormat="false" ht="15" hidden="false" customHeight="false" outlineLevel="0" collapsed="false">
      <c r="A45" s="3" t="s">
        <v>376</v>
      </c>
      <c r="B45" s="48" t="n">
        <f aca="false">B43+B44</f>
        <v>31869.6</v>
      </c>
      <c r="C45" s="48" t="n">
        <f aca="false">C43+C44</f>
        <v>35020.6</v>
      </c>
      <c r="D45" s="48" t="n">
        <f aca="false">D43+D44</f>
        <v>35267.013494549</v>
      </c>
      <c r="E45" s="48" t="n">
        <f aca="false">E43+E44</f>
        <v>35638.2404305323</v>
      </c>
      <c r="F45" s="48" t="n">
        <f aca="false">F43+F44</f>
        <v>36043.2649762068</v>
      </c>
      <c r="G45" s="48" t="n">
        <f aca="false">G43+G44</f>
        <v>36481.5743340193</v>
      </c>
      <c r="H45" s="48" t="n">
        <f aca="false">H43+H44</f>
        <v>36953.3486844149</v>
      </c>
    </row>
    <row r="46" customFormat="false" ht="15" hidden="false" customHeight="false" outlineLevel="0" collapsed="false">
      <c r="A46" s="3" t="s">
        <v>377</v>
      </c>
      <c r="B46" s="47" t="n">
        <f aca="false">B35+B45</f>
        <v>49161.2</v>
      </c>
      <c r="C46" s="47" t="n">
        <f aca="false">C35+C45</f>
        <v>52271.4</v>
      </c>
      <c r="D46" s="47" t="n">
        <f aca="false">D35+D45</f>
        <v>53174.0074608584</v>
      </c>
      <c r="E46" s="47" t="n">
        <f aca="false">E35+E45</f>
        <v>54120.701721588</v>
      </c>
      <c r="F46" s="47" t="n">
        <f aca="false">F35+F45</f>
        <v>54528.9858934218</v>
      </c>
      <c r="G46" s="47" t="n">
        <f aca="false">G35+G45</f>
        <v>54508.0010848756</v>
      </c>
      <c r="H46" s="47" t="n">
        <f aca="false">H35+H45</f>
        <v>54049.9284495036</v>
      </c>
    </row>
    <row r="47" customFormat="false" ht="15" hidden="false" customHeight="false" outlineLevel="0" collapsed="false">
      <c r="A47" s="44" t="s">
        <v>378</v>
      </c>
      <c r="B47" s="50" t="n">
        <f aca="false">B21-B46</f>
        <v>0</v>
      </c>
      <c r="C47" s="50" t="n">
        <f aca="false">C21-C46</f>
        <v>0</v>
      </c>
      <c r="D47" s="50" t="n">
        <f aca="false">D21-D46</f>
        <v>0</v>
      </c>
      <c r="E47" s="50" t="n">
        <f aca="false">E21-E46</f>
        <v>0</v>
      </c>
      <c r="F47" s="50" t="n">
        <f aca="false">F21-F46</f>
        <v>0</v>
      </c>
      <c r="G47" s="50" t="n">
        <f aca="false">G21-G46</f>
        <v>0</v>
      </c>
      <c r="H47" s="50" t="n">
        <f aca="false">H21-H46</f>
        <v>0</v>
      </c>
      <c r="I47" s="25" t="s">
        <v>379</v>
      </c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7.3"/>
    <col collapsed="false" customWidth="true" hidden="false" outlineLevel="0" max="8" min="2" style="0" width="10.01"/>
    <col collapsed="false" customWidth="true" hidden="false" outlineLevel="0" max="9" min="9" style="0" width="60.05"/>
  </cols>
  <sheetData>
    <row r="1" customFormat="false" ht="24" hidden="false" customHeight="true" outlineLevel="0" collapsed="false">
      <c r="A1" s="14" t="s">
        <v>380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381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244</v>
      </c>
      <c r="B3" s="45" t="s">
        <v>245</v>
      </c>
      <c r="C3" s="45" t="s">
        <v>246</v>
      </c>
      <c r="D3" s="45" t="s">
        <v>115</v>
      </c>
      <c r="E3" s="45" t="s">
        <v>116</v>
      </c>
      <c r="F3" s="45" t="s">
        <v>117</v>
      </c>
      <c r="G3" s="45" t="s">
        <v>118</v>
      </c>
      <c r="H3" s="45" t="s">
        <v>119</v>
      </c>
      <c r="I3" s="3" t="s">
        <v>247</v>
      </c>
    </row>
    <row r="4" customFormat="false" ht="15" hidden="false" customHeight="false" outlineLevel="0" collapsed="false">
      <c r="A4" s="5" t="s">
        <v>300</v>
      </c>
      <c r="B4" s="36" t="n">
        <v>492.7</v>
      </c>
      <c r="C4" s="36" t="n">
        <v>685.1</v>
      </c>
      <c r="D4" s="9" t="n">
        <f aca="false">IS!D20</f>
        <v>451.943494549035</v>
      </c>
      <c r="E4" s="9" t="n">
        <f aca="false">IS!E20</f>
        <v>506.809984347924</v>
      </c>
      <c r="F4" s="9" t="n">
        <f aca="false">IS!F20</f>
        <v>557.067540978939</v>
      </c>
      <c r="G4" s="9" t="n">
        <f aca="false">IS!G20</f>
        <v>605.42962010615</v>
      </c>
      <c r="H4" s="9" t="n">
        <f aca="false">IS!H20</f>
        <v>653.403236427428</v>
      </c>
      <c r="I4" s="25" t="s">
        <v>382</v>
      </c>
    </row>
    <row r="5" customFormat="false" ht="15" hidden="false" customHeight="false" outlineLevel="0" collapsed="false">
      <c r="A5" s="5" t="s">
        <v>383</v>
      </c>
      <c r="B5" s="36" t="n">
        <v>3223.1</v>
      </c>
      <c r="C5" s="36" t="n">
        <v>3810</v>
      </c>
      <c r="D5" s="9" t="n">
        <f aca="false">PPE!D19</f>
        <v>4022.3153211</v>
      </c>
      <c r="E5" s="9" t="n">
        <f aca="false">PPE!E19</f>
        <v>3864.95867847543</v>
      </c>
      <c r="F5" s="9" t="n">
        <f aca="false">PPE!F19</f>
        <v>3769.01861471601</v>
      </c>
      <c r="G5" s="9" t="n">
        <f aca="false">PPE!G19</f>
        <v>3664.76840323476</v>
      </c>
      <c r="H5" s="9" t="n">
        <f aca="false">PPE!H19</f>
        <v>3540.58318101533</v>
      </c>
      <c r="I5" s="25" t="s">
        <v>384</v>
      </c>
    </row>
    <row r="6" customFormat="false" ht="15" hidden="false" customHeight="false" outlineLevel="0" collapsed="false">
      <c r="A6" s="5" t="s">
        <v>385</v>
      </c>
      <c r="B6" s="34" t="s">
        <v>255</v>
      </c>
      <c r="C6" s="34" t="s">
        <v>255</v>
      </c>
      <c r="D6" s="9" t="n">
        <f aca="false">FIN!D64</f>
        <v>450.428439833793</v>
      </c>
      <c r="E6" s="9" t="n">
        <f aca="false">FIN!E64</f>
        <v>455.263932751621</v>
      </c>
      <c r="F6" s="9" t="n">
        <f aca="false">FIN!F64</f>
        <v>452.404965204562</v>
      </c>
      <c r="G6" s="9" t="n">
        <f aca="false">FIN!G64</f>
        <v>436.233968744518</v>
      </c>
      <c r="H6" s="9" t="n">
        <f aca="false">FIN!H64</f>
        <v>407.976711543648</v>
      </c>
      <c r="I6" s="25" t="s">
        <v>386</v>
      </c>
    </row>
    <row r="7" customFormat="false" ht="15" hidden="false" customHeight="false" outlineLevel="0" collapsed="false">
      <c r="A7" s="5" t="s">
        <v>387</v>
      </c>
      <c r="B7" s="34" t="s">
        <v>255</v>
      </c>
      <c r="C7" s="34" t="s">
        <v>255</v>
      </c>
      <c r="D7" s="9" t="n">
        <f aca="false">-Schedules!D18</f>
        <v>-344.505180671014</v>
      </c>
      <c r="E7" s="9" t="n">
        <f aca="false">-Schedules!E18</f>
        <v>-299.723127379258</v>
      </c>
      <c r="F7" s="9" t="n">
        <f aca="false">-Schedules!F18</f>
        <v>-246.395873754865</v>
      </c>
      <c r="G7" s="9" t="n">
        <f aca="false">-Schedules!G18</f>
        <v>-195.164622144612</v>
      </c>
      <c r="H7" s="9" t="n">
        <f aca="false">-Schedules!H18</f>
        <v>-155.990006991562</v>
      </c>
      <c r="I7" s="25" t="s">
        <v>388</v>
      </c>
    </row>
    <row r="8" customFormat="false" ht="15" hidden="false" customHeight="false" outlineLevel="0" collapsed="false">
      <c r="A8" s="3" t="s">
        <v>389</v>
      </c>
      <c r="B8" s="49" t="n">
        <v>3175.6</v>
      </c>
      <c r="C8" s="49" t="n">
        <v>3194.3</v>
      </c>
      <c r="D8" s="48" t="n">
        <f aca="false">D4+D5+D6+D7</f>
        <v>4580.18207481181</v>
      </c>
      <c r="E8" s="48" t="n">
        <f aca="false">E4+E5+E6+E7</f>
        <v>4527.30946819571</v>
      </c>
      <c r="F8" s="48" t="n">
        <f aca="false">F4+F5+F6+F7</f>
        <v>4532.09524714465</v>
      </c>
      <c r="G8" s="48" t="n">
        <f aca="false">G4+G5+G6+G7</f>
        <v>4511.26736994081</v>
      </c>
      <c r="H8" s="48" t="n">
        <f aca="false">H4+H5+H6+H7</f>
        <v>4445.97312199485</v>
      </c>
      <c r="I8" s="25" t="s">
        <v>390</v>
      </c>
    </row>
    <row r="9" customFormat="false" ht="15" hidden="false" customHeight="false" outlineLevel="0" collapsed="false">
      <c r="A9" s="5" t="s">
        <v>391</v>
      </c>
      <c r="B9" s="36" t="n">
        <v>-7669.9</v>
      </c>
      <c r="C9" s="36" t="n">
        <v>-8403.5</v>
      </c>
      <c r="D9" s="9" t="n">
        <f aca="false">-PPE!D14</f>
        <v>-3791.57737</v>
      </c>
      <c r="E9" s="9" t="n">
        <f aca="false">-PPE!E14</f>
        <v>-3613.12678108095</v>
      </c>
      <c r="F9" s="9" t="n">
        <f aca="false">-PPE!F14</f>
        <v>-3239.74200878665</v>
      </c>
      <c r="G9" s="9" t="n">
        <f aca="false">-PPE!G14</f>
        <v>-2956.31086504652</v>
      </c>
      <c r="H9" s="9" t="n">
        <f aca="false">-PPE!H14</f>
        <v>-2583.0766183344</v>
      </c>
      <c r="I9" s="25" t="s">
        <v>392</v>
      </c>
    </row>
    <row r="10" customFormat="false" ht="15" hidden="false" customHeight="false" outlineLevel="0" collapsed="false">
      <c r="A10" s="5" t="s">
        <v>393</v>
      </c>
      <c r="B10" s="34" t="s">
        <v>255</v>
      </c>
      <c r="C10" s="34" t="s">
        <v>255</v>
      </c>
      <c r="D10" s="9" t="n">
        <f aca="false">PPE!D9</f>
        <v>325.578</v>
      </c>
      <c r="E10" s="9" t="n">
        <f aca="false">PPE!E9</f>
        <v>310.552217064</v>
      </c>
      <c r="F10" s="9" t="n">
        <f aca="false">PPE!F9</f>
        <v>303.019780935463</v>
      </c>
      <c r="G10" s="9" t="n">
        <f aca="false">PPE!G9</f>
        <v>295.163189899562</v>
      </c>
      <c r="H10" s="9" t="n">
        <f aca="false">PPE!H9</f>
        <v>285.961408562382</v>
      </c>
      <c r="I10" s="25" t="s">
        <v>394</v>
      </c>
    </row>
    <row r="11" customFormat="false" ht="15" hidden="false" customHeight="false" outlineLevel="0" collapsed="false">
      <c r="A11" s="5" t="s">
        <v>395</v>
      </c>
      <c r="B11" s="34" t="s">
        <v>255</v>
      </c>
      <c r="C11" s="34" t="s">
        <v>255</v>
      </c>
      <c r="D11" s="9" t="n">
        <f aca="false">-FIN!D62</f>
        <v>-0</v>
      </c>
      <c r="E11" s="9" t="n">
        <f aca="false">-FIN!E62</f>
        <v>-0</v>
      </c>
      <c r="F11" s="9" t="n">
        <f aca="false">-FIN!F62</f>
        <v>-0</v>
      </c>
      <c r="G11" s="9" t="n">
        <f aca="false">-FIN!G62</f>
        <v>-0</v>
      </c>
      <c r="H11" s="9" t="n">
        <f aca="false">-FIN!H62</f>
        <v>-0</v>
      </c>
      <c r="I11" s="25" t="s">
        <v>396</v>
      </c>
    </row>
    <row r="12" customFormat="false" ht="15" hidden="false" customHeight="false" outlineLevel="0" collapsed="false">
      <c r="A12" s="3" t="s">
        <v>397</v>
      </c>
      <c r="B12" s="49" t="n">
        <v>-4518.4</v>
      </c>
      <c r="C12" s="49" t="n">
        <v>-6495.4</v>
      </c>
      <c r="D12" s="48" t="n">
        <f aca="false">D9+D10+D11</f>
        <v>-3465.99937</v>
      </c>
      <c r="E12" s="48" t="n">
        <f aca="false">E9+E10+E11</f>
        <v>-3302.57456401695</v>
      </c>
      <c r="F12" s="48" t="n">
        <f aca="false">F9+F10+F11</f>
        <v>-2936.72222785119</v>
      </c>
      <c r="G12" s="48" t="n">
        <f aca="false">G9+G10+G11</f>
        <v>-2661.14767514696</v>
      </c>
      <c r="H12" s="48" t="n">
        <f aca="false">H9+H10+H11</f>
        <v>-2297.11520977201</v>
      </c>
      <c r="I12" s="25" t="s">
        <v>398</v>
      </c>
    </row>
    <row r="13" customFormat="false" ht="15" hidden="false" customHeight="false" outlineLevel="0" collapsed="false">
      <c r="A13" s="5" t="s">
        <v>399</v>
      </c>
      <c r="B13" s="34" t="s">
        <v>255</v>
      </c>
      <c r="C13" s="34" t="s">
        <v>255</v>
      </c>
      <c r="D13" s="9" t="n">
        <f aca="false">FIN!D57</f>
        <v>169.122655021978</v>
      </c>
      <c r="E13" s="9" t="n">
        <f aca="false">FIN!E57</f>
        <v>153.243538949564</v>
      </c>
      <c r="F13" s="9" t="n">
        <f aca="false">FIN!F57</f>
        <v>-343.841378461848</v>
      </c>
      <c r="G13" s="9" t="n">
        <f aca="false">FIN!G57</f>
        <v>-734.225054528839</v>
      </c>
      <c r="H13" s="9" t="n">
        <f aca="false">FIN!H57</f>
        <v>-1149.5920947766</v>
      </c>
      <c r="I13" s="25" t="s">
        <v>400</v>
      </c>
    </row>
    <row r="14" customFormat="false" ht="15" hidden="false" customHeight="false" outlineLevel="0" collapsed="false">
      <c r="A14" s="5" t="s">
        <v>401</v>
      </c>
      <c r="B14" s="34" t="s">
        <v>255</v>
      </c>
      <c r="C14" s="34" t="s">
        <v>255</v>
      </c>
      <c r="D14" s="9" t="n">
        <f aca="false">-FIN!D64</f>
        <v>-450.428439833793</v>
      </c>
      <c r="E14" s="9" t="n">
        <f aca="false">-FIN!E64</f>
        <v>-455.263932751621</v>
      </c>
      <c r="F14" s="9" t="n">
        <f aca="false">-FIN!F64</f>
        <v>-452.404965204562</v>
      </c>
      <c r="G14" s="9" t="n">
        <f aca="false">-FIN!G64</f>
        <v>-436.233968744518</v>
      </c>
      <c r="H14" s="9" t="n">
        <f aca="false">-FIN!H64</f>
        <v>-407.976711543648</v>
      </c>
      <c r="I14" s="25" t="s">
        <v>402</v>
      </c>
    </row>
    <row r="15" customFormat="false" ht="15" hidden="false" customHeight="false" outlineLevel="0" collapsed="false">
      <c r="A15" s="5" t="s">
        <v>403</v>
      </c>
      <c r="B15" s="34" t="s">
        <v>255</v>
      </c>
      <c r="C15" s="34" t="s">
        <v>255</v>
      </c>
      <c r="D15" s="9" t="n">
        <f aca="false">-Schedules!D26</f>
        <v>-205.53</v>
      </c>
      <c r="E15" s="9" t="n">
        <f aca="false">-Schedules!E26</f>
        <v>-135.583048364711</v>
      </c>
      <c r="F15" s="9" t="n">
        <f aca="false">-Schedules!F26</f>
        <v>-152.042995304377</v>
      </c>
      <c r="G15" s="9" t="n">
        <f aca="false">-Schedules!G26</f>
        <v>-167.120262293682</v>
      </c>
      <c r="H15" s="9" t="n">
        <f aca="false">-Schedules!H26</f>
        <v>-181.628886031845</v>
      </c>
      <c r="I15" s="25" t="s">
        <v>404</v>
      </c>
    </row>
    <row r="16" customFormat="false" ht="15" hidden="false" customHeight="false" outlineLevel="0" collapsed="false">
      <c r="A16" s="3" t="s">
        <v>405</v>
      </c>
      <c r="B16" s="49" t="n">
        <v>1608.3</v>
      </c>
      <c r="C16" s="49" t="n">
        <v>2676.5</v>
      </c>
      <c r="D16" s="48" t="n">
        <f aca="false">D13+D14+D15</f>
        <v>-486.835784811815</v>
      </c>
      <c r="E16" s="48" t="n">
        <f aca="false">E13+E14+E15</f>
        <v>-437.603442166767</v>
      </c>
      <c r="F16" s="48" t="n">
        <f aca="false">F13+F14+F15</f>
        <v>-948.289338970787</v>
      </c>
      <c r="G16" s="48" t="n">
        <f aca="false">G13+G14+G15</f>
        <v>-1337.57928556704</v>
      </c>
      <c r="H16" s="48" t="n">
        <f aca="false">H13+H14+H15</f>
        <v>-1739.1976923521</v>
      </c>
      <c r="I16" s="25" t="s">
        <v>406</v>
      </c>
    </row>
    <row r="17" customFormat="false" ht="15" hidden="false" customHeight="false" outlineLevel="0" collapsed="false">
      <c r="A17" s="3" t="s">
        <v>407</v>
      </c>
      <c r="B17" s="34" t="s">
        <v>255</v>
      </c>
      <c r="C17" s="34" t="s">
        <v>255</v>
      </c>
      <c r="D17" s="48" t="n">
        <f aca="false">D8+D12+D16</f>
        <v>627.346919999999</v>
      </c>
      <c r="E17" s="48" t="n">
        <f aca="false">E8+E12+E16</f>
        <v>787.131462011999</v>
      </c>
      <c r="F17" s="48" t="n">
        <f aca="false">F8+F12+F16</f>
        <v>647.083680322667</v>
      </c>
      <c r="G17" s="48" t="n">
        <f aca="false">G8+G12+G16</f>
        <v>512.540409226817</v>
      </c>
      <c r="H17" s="48" t="n">
        <f aca="false">H8+H12+H16</f>
        <v>409.660219870735</v>
      </c>
      <c r="I17" s="25"/>
    </row>
    <row r="18" customFormat="false" ht="15" hidden="false" customHeight="false" outlineLevel="0" collapsed="false">
      <c r="A18" s="5" t="s">
        <v>408</v>
      </c>
      <c r="B18" s="34" t="s">
        <v>255</v>
      </c>
      <c r="C18" s="34" t="s">
        <v>255</v>
      </c>
      <c r="D18" s="9" t="n">
        <f aca="false">BS!C4</f>
        <v>5872.5</v>
      </c>
      <c r="E18" s="9" t="n">
        <f aca="false">D19</f>
        <v>6499.84692</v>
      </c>
      <c r="F18" s="9" t="n">
        <f aca="false">E19</f>
        <v>7286.978382012</v>
      </c>
      <c r="G18" s="9" t="n">
        <f aca="false">F19</f>
        <v>7934.06206233466</v>
      </c>
      <c r="H18" s="9" t="n">
        <f aca="false">G19</f>
        <v>8446.60247156148</v>
      </c>
      <c r="I18" s="27" t="s">
        <v>409</v>
      </c>
    </row>
    <row r="19" customFormat="false" ht="15" hidden="false" customHeight="false" outlineLevel="0" collapsed="false">
      <c r="A19" s="3" t="s">
        <v>410</v>
      </c>
      <c r="B19" s="49" t="n">
        <v>6364.2</v>
      </c>
      <c r="C19" s="49" t="n">
        <v>5872.5</v>
      </c>
      <c r="D19" s="48" t="n">
        <f aca="false">D18+D17</f>
        <v>6499.84692</v>
      </c>
      <c r="E19" s="48" t="n">
        <f aca="false">E18+E17</f>
        <v>7286.978382012</v>
      </c>
      <c r="F19" s="48" t="n">
        <f aca="false">F18+F17</f>
        <v>7934.06206233466</v>
      </c>
      <c r="G19" s="48" t="n">
        <f aca="false">G18+G17</f>
        <v>8446.60247156148</v>
      </c>
      <c r="H19" s="48" t="n">
        <f aca="false">H18+H17</f>
        <v>8856.26269143222</v>
      </c>
      <c r="I19" s="25" t="s">
        <v>411</v>
      </c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7.3"/>
    <col collapsed="false" customWidth="true" hidden="false" outlineLevel="0" max="8" min="2" style="0" width="10.01"/>
    <col collapsed="false" customWidth="true" hidden="false" outlineLevel="0" max="9" min="9" style="0" width="54.59"/>
  </cols>
  <sheetData>
    <row r="1" customFormat="false" ht="24" hidden="false" customHeight="true" outlineLevel="0" collapsed="false">
      <c r="A1" s="14" t="s">
        <v>412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413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244</v>
      </c>
      <c r="B3" s="45" t="s">
        <v>245</v>
      </c>
      <c r="C3" s="45" t="s">
        <v>246</v>
      </c>
      <c r="D3" s="45" t="s">
        <v>115</v>
      </c>
      <c r="E3" s="45" t="s">
        <v>116</v>
      </c>
      <c r="F3" s="45" t="s">
        <v>117</v>
      </c>
      <c r="G3" s="45" t="s">
        <v>118</v>
      </c>
      <c r="H3" s="45" t="s">
        <v>119</v>
      </c>
      <c r="I3" s="3" t="s">
        <v>50</v>
      </c>
    </row>
    <row r="5" customFormat="false" ht="15.75" hidden="false" customHeight="true" outlineLevel="0" collapsed="false">
      <c r="A5" s="26" t="s">
        <v>414</v>
      </c>
      <c r="B5" s="26"/>
      <c r="C5" s="26"/>
      <c r="D5" s="26"/>
      <c r="E5" s="26"/>
      <c r="F5" s="26"/>
      <c r="G5" s="26"/>
      <c r="H5" s="26"/>
      <c r="I5" s="26"/>
      <c r="J5" s="26"/>
    </row>
    <row r="6" customFormat="false" ht="15" hidden="false" customHeight="false" outlineLevel="0" collapsed="false">
      <c r="A6" s="5" t="s">
        <v>316</v>
      </c>
      <c r="B6" s="9" t="n">
        <f aca="false">BS!B6</f>
        <v>840.2</v>
      </c>
      <c r="C6" s="9" t="n">
        <f aca="false">BS!C6</f>
        <v>1432.7</v>
      </c>
      <c r="D6" s="9" t="n">
        <f aca="false">BS!D6</f>
        <v>1662.06131287671</v>
      </c>
      <c r="E6" s="9" t="n">
        <f aca="false">BS!E6</f>
        <v>1863.33693786608</v>
      </c>
      <c r="F6" s="9" t="n">
        <f aca="false">BS!F6</f>
        <v>2028.80125794859</v>
      </c>
      <c r="G6" s="9" t="n">
        <f aca="false">BS!G6</f>
        <v>2159.86181921207</v>
      </c>
      <c r="H6" s="9" t="n">
        <f aca="false">BS!H6</f>
        <v>2264.61511744385</v>
      </c>
      <c r="I6" s="25" t="s">
        <v>415</v>
      </c>
    </row>
    <row r="7" customFormat="false" ht="15" hidden="false" customHeight="false" outlineLevel="0" collapsed="false">
      <c r="A7" s="5" t="s">
        <v>318</v>
      </c>
      <c r="B7" s="9" t="n">
        <f aca="false">BS!B7</f>
        <v>56.4</v>
      </c>
      <c r="C7" s="9" t="n">
        <f aca="false">BS!C7</f>
        <v>67.5</v>
      </c>
      <c r="D7" s="9" t="n">
        <f aca="false">BS!D7</f>
        <v>77.99816304</v>
      </c>
      <c r="E7" s="9" t="n">
        <f aca="false">BS!E7</f>
        <v>87.443740584144</v>
      </c>
      <c r="F7" s="9" t="n">
        <f aca="false">BS!F7</f>
        <v>95.208744748016</v>
      </c>
      <c r="G7" s="9" t="n">
        <f aca="false">BS!G7</f>
        <v>101.359229658738</v>
      </c>
      <c r="H7" s="9" t="n">
        <f aca="false">BS!H7</f>
        <v>106.275152297187</v>
      </c>
      <c r="I7" s="25" t="s">
        <v>416</v>
      </c>
    </row>
    <row r="8" customFormat="false" ht="15" hidden="false" customHeight="false" outlineLevel="0" collapsed="false">
      <c r="A8" s="5" t="s">
        <v>320</v>
      </c>
      <c r="B8" s="9" t="n">
        <f aca="false">BS!B8</f>
        <v>0</v>
      </c>
      <c r="C8" s="9" t="n">
        <f aca="false">BS!C8</f>
        <v>0</v>
      </c>
      <c r="D8" s="9" t="n">
        <f aca="false">BS!D8</f>
        <v>0</v>
      </c>
      <c r="E8" s="9" t="n">
        <f aca="false">BS!E8</f>
        <v>0</v>
      </c>
      <c r="F8" s="9" t="n">
        <f aca="false">BS!F8</f>
        <v>0</v>
      </c>
      <c r="G8" s="9" t="n">
        <f aca="false">BS!G8</f>
        <v>0</v>
      </c>
      <c r="H8" s="9" t="n">
        <f aca="false">BS!H8</f>
        <v>0</v>
      </c>
      <c r="I8" s="25" t="s">
        <v>417</v>
      </c>
    </row>
    <row r="9" customFormat="false" ht="15" hidden="false" customHeight="false" outlineLevel="0" collapsed="false">
      <c r="A9" s="5" t="s">
        <v>322</v>
      </c>
      <c r="B9" s="9" t="n">
        <f aca="false">BS!B9</f>
        <v>2958.3</v>
      </c>
      <c r="C9" s="9" t="n">
        <f aca="false">BS!C9</f>
        <v>3629.8</v>
      </c>
      <c r="D9" s="9" t="n">
        <f aca="false">BS!D9</f>
        <v>4221.51701604164</v>
      </c>
      <c r="E9" s="9" t="n">
        <f aca="false">BS!E9</f>
        <v>4732.74272668429</v>
      </c>
      <c r="F9" s="9" t="n">
        <f aca="false">BS!F9</f>
        <v>5153.01028081385</v>
      </c>
      <c r="G9" s="9" t="n">
        <f aca="false">BS!G9</f>
        <v>5485.89474495442</v>
      </c>
      <c r="H9" s="9" t="n">
        <f aca="false">BS!H9</f>
        <v>5751.96064008471</v>
      </c>
      <c r="I9" s="25" t="s">
        <v>418</v>
      </c>
    </row>
    <row r="10" customFormat="false" ht="15" hidden="false" customHeight="false" outlineLevel="0" collapsed="false">
      <c r="A10" s="3" t="s">
        <v>419</v>
      </c>
      <c r="B10" s="9" t="n">
        <f aca="false">SUM(B6:B9)</f>
        <v>3854.9</v>
      </c>
      <c r="C10" s="9" t="n">
        <f aca="false">SUM(C6:C9)</f>
        <v>5130</v>
      </c>
      <c r="D10" s="9" t="n">
        <f aca="false">SUM(D6:D9)</f>
        <v>5961.57649195836</v>
      </c>
      <c r="E10" s="9" t="n">
        <f aca="false">SUM(E6:E9)</f>
        <v>6683.52340513451</v>
      </c>
      <c r="F10" s="9" t="n">
        <f aca="false">SUM(F6:F9)</f>
        <v>7277.02028351046</v>
      </c>
      <c r="G10" s="9" t="n">
        <f aca="false">SUM(G6:G9)</f>
        <v>7747.11579382523</v>
      </c>
      <c r="H10" s="9" t="n">
        <f aca="false">SUM(H6:H9)</f>
        <v>8122.85090982576</v>
      </c>
      <c r="I10" s="25"/>
    </row>
    <row r="11" customFormat="false" ht="15" hidden="false" customHeight="false" outlineLevel="0" collapsed="false">
      <c r="A11" s="5" t="s">
        <v>344</v>
      </c>
      <c r="B11" s="9" t="n">
        <f aca="false">BS!B23</f>
        <v>3280.4</v>
      </c>
      <c r="C11" s="9" t="n">
        <f aca="false">BS!C23</f>
        <v>2966</v>
      </c>
      <c r="D11" s="9" t="n">
        <f aca="false">BS!D23</f>
        <v>3447.57222976734</v>
      </c>
      <c r="E11" s="9" t="n">
        <f aca="false">BS!E23</f>
        <v>3865.07322679217</v>
      </c>
      <c r="F11" s="9" t="n">
        <f aca="false">BS!F23</f>
        <v>4208.29172933131</v>
      </c>
      <c r="G11" s="9" t="n">
        <f aca="false">BS!G23</f>
        <v>4480.14737504611</v>
      </c>
      <c r="H11" s="9" t="n">
        <f aca="false">BS!H23</f>
        <v>4697.43452273585</v>
      </c>
      <c r="I11" s="25" t="s">
        <v>420</v>
      </c>
    </row>
    <row r="12" customFormat="false" ht="15" hidden="false" customHeight="false" outlineLevel="0" collapsed="false">
      <c r="A12" s="5" t="s">
        <v>346</v>
      </c>
      <c r="B12" s="9" t="n">
        <f aca="false">BS!B24</f>
        <v>1547.9</v>
      </c>
      <c r="C12" s="9" t="n">
        <f aca="false">BS!C24</f>
        <v>1009.1</v>
      </c>
      <c r="D12" s="9" t="n">
        <f aca="false">BS!D24</f>
        <v>1009.1</v>
      </c>
      <c r="E12" s="9" t="n">
        <f aca="false">BS!E24</f>
        <v>1009.1</v>
      </c>
      <c r="F12" s="9" t="n">
        <f aca="false">BS!F24</f>
        <v>1009.1</v>
      </c>
      <c r="G12" s="9" t="n">
        <f aca="false">BS!G24</f>
        <v>1009.1</v>
      </c>
      <c r="H12" s="9" t="n">
        <f aca="false">BS!H24</f>
        <v>1009.1</v>
      </c>
      <c r="I12" s="25" t="s">
        <v>421</v>
      </c>
    </row>
    <row r="13" customFormat="false" ht="15" hidden="false" customHeight="false" outlineLevel="0" collapsed="false">
      <c r="A13" s="5" t="s">
        <v>347</v>
      </c>
      <c r="B13" s="9" t="n">
        <f aca="false">BS!B25</f>
        <v>0</v>
      </c>
      <c r="C13" s="9" t="n">
        <f aca="false">BS!C25</f>
        <v>0</v>
      </c>
      <c r="D13" s="9" t="n">
        <f aca="false">BS!D25</f>
        <v>0</v>
      </c>
      <c r="E13" s="9" t="n">
        <f aca="false">BS!E25</f>
        <v>0</v>
      </c>
      <c r="F13" s="9" t="n">
        <f aca="false">BS!F25</f>
        <v>0</v>
      </c>
      <c r="G13" s="9" t="n">
        <f aca="false">BS!G25</f>
        <v>0</v>
      </c>
      <c r="H13" s="9" t="n">
        <f aca="false">BS!H25</f>
        <v>0</v>
      </c>
      <c r="I13" s="25" t="s">
        <v>422</v>
      </c>
    </row>
    <row r="14" customFormat="false" ht="15" hidden="false" customHeight="false" outlineLevel="0" collapsed="false">
      <c r="A14" s="5" t="s">
        <v>349</v>
      </c>
      <c r="B14" s="9" t="n">
        <f aca="false">BS!B26</f>
        <v>84.8</v>
      </c>
      <c r="C14" s="9" t="n">
        <f aca="false">BS!C26</f>
        <v>33.5</v>
      </c>
      <c r="D14" s="9" t="n">
        <f aca="false">BS!D26</f>
        <v>38.99908152</v>
      </c>
      <c r="E14" s="9" t="n">
        <f aca="false">BS!E26</f>
        <v>43.721870292072</v>
      </c>
      <c r="F14" s="9" t="n">
        <f aca="false">BS!F26</f>
        <v>47.604372374008</v>
      </c>
      <c r="G14" s="9" t="n">
        <f aca="false">BS!G26</f>
        <v>50.6796148293689</v>
      </c>
      <c r="H14" s="9" t="n">
        <f aca="false">BS!H26</f>
        <v>53.1375761485933</v>
      </c>
      <c r="I14" s="25" t="s">
        <v>422</v>
      </c>
    </row>
    <row r="15" customFormat="false" ht="15" hidden="false" customHeight="false" outlineLevel="0" collapsed="false">
      <c r="A15" s="5" t="s">
        <v>351</v>
      </c>
      <c r="B15" s="9" t="n">
        <f aca="false">BS!B27</f>
        <v>0</v>
      </c>
      <c r="C15" s="9" t="n">
        <f aca="false">BS!C27</f>
        <v>0</v>
      </c>
      <c r="D15" s="9" t="n">
        <f aca="false">BS!D27</f>
        <v>0</v>
      </c>
      <c r="E15" s="9" t="n">
        <f aca="false">BS!E27</f>
        <v>0</v>
      </c>
      <c r="F15" s="9" t="n">
        <f aca="false">BS!F27</f>
        <v>0</v>
      </c>
      <c r="G15" s="9" t="n">
        <f aca="false">BS!G27</f>
        <v>0</v>
      </c>
      <c r="H15" s="9" t="n">
        <f aca="false">BS!H27</f>
        <v>0</v>
      </c>
      <c r="I15" s="25" t="s">
        <v>421</v>
      </c>
    </row>
    <row r="16" customFormat="false" ht="15" hidden="false" customHeight="false" outlineLevel="0" collapsed="false">
      <c r="A16" s="3" t="s">
        <v>423</v>
      </c>
      <c r="B16" s="9" t="n">
        <f aca="false">SUM(B11:B15)</f>
        <v>4913.1</v>
      </c>
      <c r="C16" s="9" t="n">
        <f aca="false">SUM(C11:C15)</f>
        <v>4008.6</v>
      </c>
      <c r="D16" s="9" t="n">
        <f aca="false">SUM(D11:D15)</f>
        <v>4495.67131128734</v>
      </c>
      <c r="E16" s="9" t="n">
        <f aca="false">SUM(E11:E15)</f>
        <v>4917.89509708424</v>
      </c>
      <c r="F16" s="9" t="n">
        <f aca="false">SUM(F11:F15)</f>
        <v>5264.99610170532</v>
      </c>
      <c r="G16" s="9" t="n">
        <f aca="false">SUM(G11:G15)</f>
        <v>5539.92698987548</v>
      </c>
      <c r="H16" s="9" t="n">
        <f aca="false">SUM(H11:H15)</f>
        <v>5759.67209888444</v>
      </c>
      <c r="I16" s="25"/>
    </row>
    <row r="17" customFormat="false" ht="15" hidden="false" customHeight="false" outlineLevel="0" collapsed="false">
      <c r="A17" s="3" t="s">
        <v>424</v>
      </c>
      <c r="B17" s="9" t="n">
        <f aca="false">B10-B16</f>
        <v>-1058.2</v>
      </c>
      <c r="C17" s="9" t="n">
        <f aca="false">C10-C16</f>
        <v>1121.4</v>
      </c>
      <c r="D17" s="9" t="n">
        <f aca="false">D10-D16</f>
        <v>1465.90518067101</v>
      </c>
      <c r="E17" s="9" t="n">
        <f aca="false">E10-E16</f>
        <v>1765.62830805027</v>
      </c>
      <c r="F17" s="9" t="n">
        <f aca="false">F10-F16</f>
        <v>2012.02418180514</v>
      </c>
      <c r="G17" s="9" t="n">
        <f aca="false">G10-G16</f>
        <v>2207.18880394975</v>
      </c>
      <c r="H17" s="9" t="n">
        <f aca="false">H10-H16</f>
        <v>2363.17881094131</v>
      </c>
      <c r="I17" s="25" t="s">
        <v>425</v>
      </c>
    </row>
    <row r="18" customFormat="false" ht="15" hidden="false" customHeight="false" outlineLevel="0" collapsed="false">
      <c r="A18" s="4" t="s">
        <v>426</v>
      </c>
      <c r="D18" s="9" t="n">
        <f aca="false">D17-C17</f>
        <v>344.505180671014</v>
      </c>
      <c r="E18" s="9" t="n">
        <f aca="false">E17-D17</f>
        <v>299.723127379258</v>
      </c>
      <c r="F18" s="9" t="n">
        <f aca="false">F17-E17</f>
        <v>246.395873754865</v>
      </c>
      <c r="G18" s="9" t="n">
        <f aca="false">G17-F17</f>
        <v>195.164622144612</v>
      </c>
      <c r="H18" s="9" t="n">
        <f aca="false">H17-G17</f>
        <v>155.990006991562</v>
      </c>
      <c r="I18" s="27" t="s">
        <v>427</v>
      </c>
    </row>
    <row r="20" customFormat="false" ht="15.75" hidden="false" customHeight="true" outlineLevel="0" collapsed="false">
      <c r="A20" s="26" t="s">
        <v>428</v>
      </c>
      <c r="B20" s="26"/>
      <c r="C20" s="26"/>
      <c r="D20" s="26"/>
      <c r="E20" s="26"/>
      <c r="F20" s="26"/>
      <c r="G20" s="26"/>
      <c r="H20" s="26"/>
      <c r="I20" s="26"/>
      <c r="J20" s="26"/>
    </row>
    <row r="21" customFormat="false" ht="15" hidden="false" customHeight="false" outlineLevel="0" collapsed="false">
      <c r="A21" s="5" t="s">
        <v>429</v>
      </c>
      <c r="D21" s="9" t="n">
        <f aca="false">BS!C14</f>
        <v>20.4</v>
      </c>
      <c r="E21" s="9" t="n">
        <f aca="false">D23</f>
        <v>18.768</v>
      </c>
      <c r="F21" s="9" t="n">
        <f aca="false">E23</f>
        <v>17.26656</v>
      </c>
      <c r="G21" s="9" t="n">
        <f aca="false">F23</f>
        <v>15.8852352</v>
      </c>
      <c r="H21" s="9" t="n">
        <f aca="false">G23</f>
        <v>14.614416384</v>
      </c>
      <c r="I21" s="27" t="s">
        <v>430</v>
      </c>
    </row>
    <row r="22" customFormat="false" ht="15" hidden="false" customHeight="false" outlineLevel="0" collapsed="false">
      <c r="A22" s="5" t="s">
        <v>431</v>
      </c>
      <c r="D22" s="9" t="n">
        <f aca="false">D21*Assumptions!$C$51</f>
        <v>1.632</v>
      </c>
      <c r="E22" s="9" t="n">
        <f aca="false">E21*Assumptions!$C$51</f>
        <v>1.50144</v>
      </c>
      <c r="F22" s="9" t="n">
        <f aca="false">F21*Assumptions!$C$51</f>
        <v>1.3813248</v>
      </c>
      <c r="G22" s="9" t="n">
        <f aca="false">G21*Assumptions!$C$51</f>
        <v>1.270818816</v>
      </c>
      <c r="H22" s="9" t="n">
        <f aca="false">H21*Assumptions!$C$51</f>
        <v>1.16915331072</v>
      </c>
      <c r="I22" s="25" t="s">
        <v>432</v>
      </c>
    </row>
    <row r="23" customFormat="false" ht="15" hidden="false" customHeight="false" outlineLevel="0" collapsed="false">
      <c r="A23" s="5" t="s">
        <v>433</v>
      </c>
      <c r="D23" s="9" t="n">
        <f aca="false">D21-D22</f>
        <v>18.768</v>
      </c>
      <c r="E23" s="9" t="n">
        <f aca="false">E21-E22</f>
        <v>17.26656</v>
      </c>
      <c r="F23" s="9" t="n">
        <f aca="false">F21-F22</f>
        <v>15.8852352</v>
      </c>
      <c r="G23" s="9" t="n">
        <f aca="false">G21-G22</f>
        <v>14.614416384</v>
      </c>
      <c r="H23" s="9" t="n">
        <f aca="false">H21-H22</f>
        <v>13.44526307328</v>
      </c>
      <c r="I23" s="25" t="s">
        <v>434</v>
      </c>
    </row>
    <row r="25" customFormat="false" ht="15.75" hidden="false" customHeight="true" outlineLevel="0" collapsed="false">
      <c r="A25" s="26" t="s">
        <v>435</v>
      </c>
      <c r="B25" s="26"/>
      <c r="C25" s="26"/>
      <c r="D25" s="26"/>
      <c r="E25" s="26"/>
      <c r="F25" s="26"/>
      <c r="G25" s="26"/>
      <c r="H25" s="26"/>
      <c r="I25" s="26"/>
      <c r="J25" s="26"/>
    </row>
    <row r="26" customFormat="false" ht="15" hidden="false" customHeight="false" outlineLevel="0" collapsed="false">
      <c r="A26" s="5" t="s">
        <v>436</v>
      </c>
      <c r="D26" s="9" t="n">
        <f aca="false">IS!C20*Assumptions!C$54</f>
        <v>205.53</v>
      </c>
      <c r="E26" s="9" t="n">
        <f aca="false">IS!D20*Assumptions!D$54</f>
        <v>135.583048364711</v>
      </c>
      <c r="F26" s="9" t="n">
        <f aca="false">IS!E20*Assumptions!E$54</f>
        <v>152.042995304377</v>
      </c>
      <c r="G26" s="9" t="n">
        <f aca="false">IS!F20*Assumptions!F$54</f>
        <v>167.120262293682</v>
      </c>
      <c r="H26" s="9" t="n">
        <f aca="false">IS!G20*Assumptions!G$54</f>
        <v>181.628886031845</v>
      </c>
      <c r="I26" s="25" t="s">
        <v>437</v>
      </c>
    </row>
  </sheetData>
  <mergeCells count="5">
    <mergeCell ref="A1:J1"/>
    <mergeCell ref="A2:J2"/>
    <mergeCell ref="A5:J5"/>
    <mergeCell ref="A20:J20"/>
    <mergeCell ref="A25:J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7.3"/>
    <col collapsed="false" customWidth="true" hidden="false" outlineLevel="0" max="8" min="2" style="0" width="10.01"/>
    <col collapsed="false" customWidth="true" hidden="false" outlineLevel="0" max="9" min="9" style="0" width="60.05"/>
  </cols>
  <sheetData>
    <row r="1" customFormat="false" ht="24" hidden="false" customHeight="true" outlineLevel="0" collapsed="false">
      <c r="A1" s="14" t="s">
        <v>438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439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244</v>
      </c>
      <c r="B3" s="45" t="s">
        <v>245</v>
      </c>
      <c r="C3" s="45" t="s">
        <v>246</v>
      </c>
      <c r="D3" s="45" t="s">
        <v>115</v>
      </c>
      <c r="E3" s="45" t="s">
        <v>116</v>
      </c>
      <c r="F3" s="45" t="s">
        <v>117</v>
      </c>
      <c r="G3" s="45" t="s">
        <v>118</v>
      </c>
      <c r="H3" s="45" t="s">
        <v>119</v>
      </c>
      <c r="I3" s="3" t="s">
        <v>50</v>
      </c>
    </row>
    <row r="5" customFormat="false" ht="15.75" hidden="false" customHeight="true" outlineLevel="0" collapsed="false">
      <c r="A5" s="26" t="s">
        <v>440</v>
      </c>
      <c r="B5" s="26"/>
      <c r="C5" s="26"/>
      <c r="D5" s="26"/>
      <c r="E5" s="26"/>
      <c r="F5" s="26"/>
      <c r="G5" s="26"/>
      <c r="H5" s="26"/>
      <c r="I5" s="26"/>
      <c r="J5" s="26"/>
    </row>
    <row r="6" customFormat="false" ht="15" hidden="false" customHeight="false" outlineLevel="0" collapsed="false">
      <c r="A6" s="5" t="s">
        <v>441</v>
      </c>
      <c r="D6" s="36" t="n">
        <v>32557.8</v>
      </c>
      <c r="E6" s="9" t="n">
        <f aca="false">D10</f>
        <v>31055.2217064</v>
      </c>
      <c r="F6" s="9" t="n">
        <f aca="false">E10</f>
        <v>30301.9780935463</v>
      </c>
      <c r="G6" s="9" t="n">
        <f aca="false">F10</f>
        <v>29516.3189899562</v>
      </c>
      <c r="H6" s="9" t="n">
        <f aca="false">G10</f>
        <v>28596.1408562382</v>
      </c>
      <c r="I6" s="27" t="s">
        <v>442</v>
      </c>
    </row>
    <row r="7" customFormat="false" ht="15" hidden="false" customHeight="false" outlineLevel="0" collapsed="false">
      <c r="A7" s="5" t="s">
        <v>443</v>
      </c>
      <c r="D7" s="9" t="n">
        <f aca="false">(D13+D14)*Assumptions!$C$47</f>
        <v>2843.6830275</v>
      </c>
      <c r="E7" s="9" t="n">
        <f aca="false">(E13+E14)*Assumptions!$C$47</f>
        <v>3420.76584268571</v>
      </c>
      <c r="F7" s="9" t="n">
        <f aca="false">(F13+F14)*Assumptions!$C$47</f>
        <v>3284.99796726142</v>
      </c>
      <c r="G7" s="9" t="n">
        <f aca="false">(G13+G14)*Assumptions!$C$47</f>
        <v>3038.48264060024</v>
      </c>
      <c r="H7" s="9" t="n">
        <f aca="false">(H13+H14)*Assumptions!$C$47</f>
        <v>2696.92812390086</v>
      </c>
      <c r="I7" s="25" t="s">
        <v>444</v>
      </c>
    </row>
    <row r="8" customFormat="false" ht="15" hidden="false" customHeight="false" outlineLevel="0" collapsed="false">
      <c r="A8" s="5" t="s">
        <v>445</v>
      </c>
      <c r="D8" s="9" t="n">
        <f aca="false">D6*Assumptions!$C$48+D7*Assumptions!$C$49</f>
        <v>4020.6833211</v>
      </c>
      <c r="E8" s="9" t="n">
        <f aca="false">E6*Assumptions!$C$48+E7*Assumptions!$C$49</f>
        <v>3863.45723847543</v>
      </c>
      <c r="F8" s="9" t="n">
        <f aca="false">F6*Assumptions!$C$48+F7*Assumptions!$C$49</f>
        <v>3767.63728991601</v>
      </c>
      <c r="G8" s="9" t="n">
        <f aca="false">G6*Assumptions!$C$48+G7*Assumptions!$C$49</f>
        <v>3663.49758441876</v>
      </c>
      <c r="H8" s="9" t="n">
        <f aca="false">H6*Assumptions!$C$48+H7*Assumptions!$C$49</f>
        <v>3539.41402770461</v>
      </c>
      <c r="I8" s="25" t="s">
        <v>446</v>
      </c>
    </row>
    <row r="9" customFormat="false" ht="15" hidden="false" customHeight="false" outlineLevel="0" collapsed="false">
      <c r="A9" s="5" t="s">
        <v>447</v>
      </c>
      <c r="D9" s="9" t="n">
        <f aca="false">D6*Assumptions!$C$50</f>
        <v>325.578</v>
      </c>
      <c r="E9" s="9" t="n">
        <f aca="false">E6*Assumptions!$C$50</f>
        <v>310.552217064</v>
      </c>
      <c r="F9" s="9" t="n">
        <f aca="false">F6*Assumptions!$C$50</f>
        <v>303.019780935463</v>
      </c>
      <c r="G9" s="9" t="n">
        <f aca="false">G6*Assumptions!$C$50</f>
        <v>295.163189899562</v>
      </c>
      <c r="H9" s="9" t="n">
        <f aca="false">H6*Assumptions!$C$50</f>
        <v>285.961408562382</v>
      </c>
      <c r="I9" s="25" t="s">
        <v>448</v>
      </c>
    </row>
    <row r="10" customFormat="false" ht="15" hidden="false" customHeight="false" outlineLevel="0" collapsed="false">
      <c r="A10" s="3" t="s">
        <v>449</v>
      </c>
      <c r="D10" s="9" t="n">
        <f aca="false">D6+D7-D8-D9</f>
        <v>31055.2217064</v>
      </c>
      <c r="E10" s="9" t="n">
        <f aca="false">E6+E7-E8-E9</f>
        <v>30301.9780935463</v>
      </c>
      <c r="F10" s="9" t="n">
        <f aca="false">F6+F7-F8-F9</f>
        <v>29516.3189899562</v>
      </c>
      <c r="G10" s="9" t="n">
        <f aca="false">G6+G7-G8-G9</f>
        <v>28596.1408562382</v>
      </c>
      <c r="H10" s="9" t="n">
        <f aca="false">H6+H7-H8-H9</f>
        <v>27467.693543872</v>
      </c>
      <c r="I10" s="25" t="s">
        <v>450</v>
      </c>
    </row>
    <row r="12" customFormat="false" ht="15.75" hidden="false" customHeight="true" outlineLevel="0" collapsed="false">
      <c r="A12" s="26" t="s">
        <v>451</v>
      </c>
      <c r="B12" s="26"/>
      <c r="C12" s="26"/>
      <c r="D12" s="26"/>
      <c r="E12" s="26"/>
      <c r="F12" s="26"/>
      <c r="G12" s="26"/>
      <c r="H12" s="26"/>
      <c r="I12" s="26"/>
      <c r="J12" s="26"/>
    </row>
    <row r="13" customFormat="false" ht="15" hidden="false" customHeight="false" outlineLevel="0" collapsed="false">
      <c r="A13" s="5" t="s">
        <v>452</v>
      </c>
      <c r="D13" s="36" t="n">
        <v>0</v>
      </c>
      <c r="E13" s="9" t="n">
        <f aca="false">D15</f>
        <v>947.8943425</v>
      </c>
      <c r="F13" s="9" t="n">
        <f aca="false">E15</f>
        <v>1140.25528089524</v>
      </c>
      <c r="G13" s="9" t="n">
        <f aca="false">F15</f>
        <v>1094.99932242047</v>
      </c>
      <c r="H13" s="9" t="n">
        <f aca="false">G15</f>
        <v>1012.82754686675</v>
      </c>
      <c r="I13" s="27" t="s">
        <v>453</v>
      </c>
    </row>
    <row r="14" customFormat="false" ht="15" hidden="false" customHeight="false" outlineLevel="0" collapsed="false">
      <c r="A14" s="5" t="s">
        <v>454</v>
      </c>
      <c r="D14" s="9" t="n">
        <f aca="false">IS!D4*Assumptions!C$46</f>
        <v>3791.57737</v>
      </c>
      <c r="E14" s="9" t="n">
        <f aca="false">IS!E4*Assumptions!D$46</f>
        <v>3613.12678108095</v>
      </c>
      <c r="F14" s="9" t="n">
        <f aca="false">IS!F4*Assumptions!E$46</f>
        <v>3239.74200878665</v>
      </c>
      <c r="G14" s="9" t="n">
        <f aca="false">IS!G4*Assumptions!F$46</f>
        <v>2956.31086504652</v>
      </c>
      <c r="H14" s="9" t="n">
        <f aca="false">IS!H4*Assumptions!G$46</f>
        <v>2583.0766183344</v>
      </c>
      <c r="I14" s="25" t="s">
        <v>455</v>
      </c>
    </row>
    <row r="15" customFormat="false" ht="15" hidden="false" customHeight="false" outlineLevel="0" collapsed="false">
      <c r="A15" s="3" t="s">
        <v>456</v>
      </c>
      <c r="D15" s="9" t="n">
        <f aca="false">D13+D14-D7</f>
        <v>947.8943425</v>
      </c>
      <c r="E15" s="9" t="n">
        <f aca="false">E13+E14-E7</f>
        <v>1140.25528089524</v>
      </c>
      <c r="F15" s="9" t="n">
        <f aca="false">F13+F14-F7</f>
        <v>1094.99932242047</v>
      </c>
      <c r="G15" s="9" t="n">
        <f aca="false">G13+G14-G7</f>
        <v>1012.82754686675</v>
      </c>
      <c r="H15" s="9" t="n">
        <f aca="false">H13+H14-H7</f>
        <v>898.976041300286</v>
      </c>
      <c r="I15" s="25" t="s">
        <v>457</v>
      </c>
    </row>
    <row r="17" customFormat="false" ht="15.75" hidden="false" customHeight="true" outlineLevel="0" collapsed="false">
      <c r="A17" s="26" t="s">
        <v>458</v>
      </c>
      <c r="B17" s="26"/>
      <c r="C17" s="26"/>
      <c r="D17" s="26"/>
      <c r="E17" s="26"/>
      <c r="F17" s="26"/>
      <c r="G17" s="26"/>
      <c r="H17" s="26"/>
      <c r="I17" s="26"/>
      <c r="J17" s="26"/>
    </row>
    <row r="18" customFormat="false" ht="15" hidden="false" customHeight="false" outlineLevel="0" collapsed="false">
      <c r="A18" s="3" t="s">
        <v>459</v>
      </c>
      <c r="B18" s="9" t="n">
        <f aca="false">BS!B12</f>
        <v>28092</v>
      </c>
      <c r="C18" s="9" t="n">
        <f aca="false">BS!C12</f>
        <v>32557.8</v>
      </c>
      <c r="D18" s="9" t="n">
        <f aca="false">D10+D15</f>
        <v>32003.1160489</v>
      </c>
      <c r="E18" s="9" t="n">
        <f aca="false">E10+E15</f>
        <v>31442.2333744415</v>
      </c>
      <c r="F18" s="9" t="n">
        <f aca="false">F10+F15</f>
        <v>30611.3183123767</v>
      </c>
      <c r="G18" s="9" t="n">
        <f aca="false">G10+G15</f>
        <v>29608.9684031049</v>
      </c>
      <c r="H18" s="9" t="n">
        <f aca="false">H10+H15</f>
        <v>28366.6695851723</v>
      </c>
      <c r="I18" s="25" t="s">
        <v>460</v>
      </c>
    </row>
    <row r="19" customFormat="false" ht="15" hidden="false" customHeight="false" outlineLevel="0" collapsed="false">
      <c r="A19" s="10" t="s">
        <v>461</v>
      </c>
      <c r="B19" s="9" t="n">
        <f aca="false">CF!B5</f>
        <v>3223.1</v>
      </c>
      <c r="C19" s="9" t="n">
        <f aca="false">CF!C5</f>
        <v>3810</v>
      </c>
      <c r="D19" s="9" t="n">
        <f aca="false">D8+Schedules!D22</f>
        <v>4022.3153211</v>
      </c>
      <c r="E19" s="9" t="n">
        <f aca="false">E8+Schedules!E22</f>
        <v>3864.95867847543</v>
      </c>
      <c r="F19" s="9" t="n">
        <f aca="false">F8+Schedules!F22</f>
        <v>3769.01861471601</v>
      </c>
      <c r="G19" s="9" t="n">
        <f aca="false">G8+Schedules!G22</f>
        <v>3664.76840323476</v>
      </c>
      <c r="H19" s="9" t="n">
        <f aca="false">H8+Schedules!H22</f>
        <v>3540.58318101533</v>
      </c>
      <c r="I19" s="25" t="s">
        <v>462</v>
      </c>
    </row>
    <row r="20" customFormat="false" ht="15" hidden="false" customHeight="false" outlineLevel="0" collapsed="false">
      <c r="A20" s="5" t="s">
        <v>463</v>
      </c>
      <c r="D20" s="19" t="n">
        <f aca="false">D8/D6</f>
        <v>0.123493704153843</v>
      </c>
      <c r="E20" s="19" t="n">
        <f aca="false">E8/E6</f>
        <v>0.124406042726117</v>
      </c>
      <c r="F20" s="19" t="n">
        <f aca="false">F8/F6</f>
        <v>0.124336347887415</v>
      </c>
      <c r="G20" s="19" t="n">
        <f aca="false">G8/G6</f>
        <v>0.124117698608196</v>
      </c>
      <c r="H20" s="19" t="n">
        <f aca="false">H8/H6</f>
        <v>0.123772436480096</v>
      </c>
      <c r="I20" s="25" t="s">
        <v>464</v>
      </c>
    </row>
    <row r="21" customFormat="false" ht="15" hidden="false" customHeight="false" outlineLevel="0" collapsed="false">
      <c r="A21" s="5" t="s">
        <v>465</v>
      </c>
      <c r="D21" s="51" t="n">
        <f aca="false">D6/D8</f>
        <v>8.09757879441564</v>
      </c>
      <c r="E21" s="51" t="n">
        <f aca="false">E6/E8</f>
        <v>8.03819475394396</v>
      </c>
      <c r="F21" s="51" t="n">
        <f aca="false">F6/F8</f>
        <v>8.04270044110902</v>
      </c>
      <c r="G21" s="51" t="n">
        <f aca="false">G6/G8</f>
        <v>8.05686869168203</v>
      </c>
      <c r="H21" s="51" t="n">
        <f aca="false">H6/H8</f>
        <v>8.07934325637043</v>
      </c>
      <c r="I21" s="25" t="s">
        <v>466</v>
      </c>
    </row>
  </sheetData>
  <mergeCells count="5">
    <mergeCell ref="A1:J1"/>
    <mergeCell ref="A2:J2"/>
    <mergeCell ref="A5:J5"/>
    <mergeCell ref="A12:J12"/>
    <mergeCell ref="A17:J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30.93"/>
    <col collapsed="false" customWidth="true" hidden="false" outlineLevel="0" max="8" min="2" style="0" width="10.01"/>
    <col collapsed="false" customWidth="true" hidden="false" outlineLevel="0" max="9" min="9" style="0" width="63.69"/>
  </cols>
  <sheetData>
    <row r="1" customFormat="false" ht="24" hidden="false" customHeight="true" outlineLevel="0" collapsed="false">
      <c r="A1" s="14" t="s">
        <v>467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468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244</v>
      </c>
      <c r="B3" s="45" t="s">
        <v>245</v>
      </c>
      <c r="C3" s="45" t="s">
        <v>246</v>
      </c>
      <c r="D3" s="45" t="s">
        <v>115</v>
      </c>
      <c r="E3" s="45" t="s">
        <v>116</v>
      </c>
      <c r="F3" s="45" t="s">
        <v>117</v>
      </c>
      <c r="G3" s="45" t="s">
        <v>118</v>
      </c>
      <c r="H3" s="45" t="s">
        <v>119</v>
      </c>
      <c r="I3" s="3" t="s">
        <v>50</v>
      </c>
    </row>
    <row r="5" customFormat="false" ht="15.75" hidden="false" customHeight="true" outlineLevel="0" collapsed="false">
      <c r="A5" s="26" t="s">
        <v>469</v>
      </c>
      <c r="B5" s="26"/>
      <c r="C5" s="26"/>
      <c r="D5" s="26"/>
      <c r="E5" s="26"/>
      <c r="F5" s="26"/>
      <c r="G5" s="26"/>
      <c r="H5" s="26"/>
      <c r="I5" s="26"/>
      <c r="J5" s="26"/>
    </row>
    <row r="6" customFormat="false" ht="15" hidden="false" customHeight="false" outlineLevel="0" collapsed="false">
      <c r="A6" s="5" t="s">
        <v>408</v>
      </c>
      <c r="D6" s="9" t="n">
        <f aca="false">C63</f>
        <v>5872.5</v>
      </c>
      <c r="E6" s="9" t="n">
        <f aca="false">D63</f>
        <v>6499.84692</v>
      </c>
      <c r="F6" s="9" t="n">
        <f aca="false">E63</f>
        <v>7286.978382012</v>
      </c>
      <c r="G6" s="9" t="n">
        <f aca="false">F63</f>
        <v>7934.06206233466</v>
      </c>
      <c r="H6" s="9" t="n">
        <f aca="false">G63</f>
        <v>8446.60247156148</v>
      </c>
      <c r="I6" s="27" t="s">
        <v>470</v>
      </c>
    </row>
    <row r="7" customFormat="false" ht="15" hidden="false" customHeight="false" outlineLevel="0" collapsed="false">
      <c r="A7" s="5" t="s">
        <v>471</v>
      </c>
      <c r="D7" s="9" t="n">
        <f aca="false">CF!D8</f>
        <v>4580.18207481181</v>
      </c>
      <c r="E7" s="9" t="n">
        <f aca="false">CF!E8</f>
        <v>4527.30946819571</v>
      </c>
      <c r="F7" s="9" t="n">
        <f aca="false">CF!F8</f>
        <v>4532.09524714465</v>
      </c>
      <c r="G7" s="9" t="n">
        <f aca="false">CF!G8</f>
        <v>4511.26736994081</v>
      </c>
      <c r="H7" s="9" t="n">
        <f aca="false">CF!H8</f>
        <v>4445.97312199485</v>
      </c>
      <c r="I7" s="25" t="s">
        <v>472</v>
      </c>
    </row>
    <row r="8" customFormat="false" ht="15" hidden="false" customHeight="false" outlineLevel="0" collapsed="false">
      <c r="A8" s="5" t="s">
        <v>473</v>
      </c>
      <c r="D8" s="9" t="n">
        <f aca="false">-PPE!D14+PPE!D9</f>
        <v>-3465.99937</v>
      </c>
      <c r="E8" s="9" t="n">
        <f aca="false">-PPE!E14+PPE!E9</f>
        <v>-3302.57456401695</v>
      </c>
      <c r="F8" s="9" t="n">
        <f aca="false">-PPE!F14+PPE!F9</f>
        <v>-2936.72222785119</v>
      </c>
      <c r="G8" s="9" t="n">
        <f aca="false">-PPE!G14+PPE!G9</f>
        <v>-2661.14767514696</v>
      </c>
      <c r="H8" s="9" t="n">
        <f aca="false">-PPE!H14+PPE!H9</f>
        <v>-2297.11520977201</v>
      </c>
      <c r="I8" s="25" t="s">
        <v>474</v>
      </c>
    </row>
    <row r="9" customFormat="false" ht="15" hidden="false" customHeight="false" outlineLevel="0" collapsed="false">
      <c r="A9" s="5" t="s">
        <v>475</v>
      </c>
      <c r="D9" s="9" t="n">
        <f aca="false">-Schedules!D26</f>
        <v>-205.53</v>
      </c>
      <c r="E9" s="9" t="n">
        <f aca="false">-Schedules!E26</f>
        <v>-135.583048364711</v>
      </c>
      <c r="F9" s="9" t="n">
        <f aca="false">-Schedules!F26</f>
        <v>-152.042995304377</v>
      </c>
      <c r="G9" s="9" t="n">
        <f aca="false">-Schedules!G26</f>
        <v>-167.120262293682</v>
      </c>
      <c r="H9" s="9" t="n">
        <f aca="false">-Schedules!H26</f>
        <v>-181.628886031845</v>
      </c>
      <c r="I9" s="25" t="s">
        <v>476</v>
      </c>
    </row>
    <row r="10" customFormat="false" ht="15" hidden="false" customHeight="false" outlineLevel="0" collapsed="false">
      <c r="A10" s="5" t="s">
        <v>477</v>
      </c>
      <c r="D10" s="9" t="n">
        <f aca="false">-D64</f>
        <v>-450.428439833793</v>
      </c>
      <c r="E10" s="9" t="n">
        <f aca="false">-E64</f>
        <v>-455.263932751621</v>
      </c>
      <c r="F10" s="9" t="n">
        <f aca="false">-F64</f>
        <v>-452.404965204562</v>
      </c>
      <c r="G10" s="9" t="n">
        <f aca="false">-G64</f>
        <v>-436.233968744518</v>
      </c>
      <c r="H10" s="9" t="n">
        <f aca="false">-H64</f>
        <v>-407.976711543648</v>
      </c>
      <c r="I10" s="25" t="s">
        <v>478</v>
      </c>
    </row>
    <row r="11" customFormat="false" ht="15" hidden="false" customHeight="false" outlineLevel="0" collapsed="false">
      <c r="A11" s="5" t="s">
        <v>479</v>
      </c>
      <c r="D11" s="9" t="n">
        <f aca="false">-(D20+D31+D39+D49)</f>
        <v>-0</v>
      </c>
      <c r="E11" s="9" t="n">
        <f aca="false">-(E20+E31+E39+E49)</f>
        <v>-0</v>
      </c>
      <c r="F11" s="9" t="n">
        <f aca="false">-(F20+F31+F39+F49)</f>
        <v>-0</v>
      </c>
      <c r="G11" s="9" t="n">
        <f aca="false">-(G20+G31+G39+G49)</f>
        <v>-0</v>
      </c>
      <c r="H11" s="9" t="n">
        <f aca="false">-(H20+H31+H39+H49)</f>
        <v>-0</v>
      </c>
      <c r="I11" s="25" t="s">
        <v>480</v>
      </c>
    </row>
    <row r="12" customFormat="false" ht="15" hidden="false" customHeight="false" outlineLevel="0" collapsed="false">
      <c r="A12" s="3" t="s">
        <v>481</v>
      </c>
      <c r="D12" s="9" t="n">
        <f aca="false">D6+D7+D8+D9+D10+D11</f>
        <v>6330.72426497802</v>
      </c>
      <c r="E12" s="9" t="n">
        <f aca="false">E6+E7+E8+E9+E10+E11</f>
        <v>7133.73484306243</v>
      </c>
      <c r="F12" s="9" t="n">
        <f aca="false">F6+F7+F8+F9+F10+F11</f>
        <v>8277.90344079651</v>
      </c>
      <c r="G12" s="9" t="n">
        <f aca="false">G6+G7+G8+G9+G10+G11</f>
        <v>9180.82752609032</v>
      </c>
      <c r="H12" s="9" t="n">
        <f aca="false">H6+H7+H8+H9+H10+H11</f>
        <v>10005.8547862088</v>
      </c>
      <c r="I12" s="25" t="s">
        <v>482</v>
      </c>
    </row>
    <row r="13" customFormat="false" ht="15" hidden="false" customHeight="false" outlineLevel="0" collapsed="false">
      <c r="A13" s="5" t="s">
        <v>483</v>
      </c>
      <c r="D13" s="9" t="n">
        <f aca="false">IS!D4*Assumptions!$C$58</f>
        <v>6499.84692</v>
      </c>
      <c r="E13" s="9" t="n">
        <f aca="false">IS!E4*Assumptions!$C$58</f>
        <v>7286.978382012</v>
      </c>
      <c r="F13" s="9" t="n">
        <f aca="false">IS!F4*Assumptions!$C$58</f>
        <v>7934.06206233466</v>
      </c>
      <c r="G13" s="9" t="n">
        <f aca="false">IS!G4*Assumptions!$C$58</f>
        <v>8446.60247156148</v>
      </c>
      <c r="H13" s="9" t="n">
        <f aca="false">IS!H4*Assumptions!$C$58</f>
        <v>8856.26269143222</v>
      </c>
      <c r="I13" s="25" t="s">
        <v>484</v>
      </c>
    </row>
    <row r="14" customFormat="false" ht="15" hidden="false" customHeight="false" outlineLevel="0" collapsed="false">
      <c r="A14" s="3" t="s">
        <v>485</v>
      </c>
      <c r="D14" s="9" t="n">
        <f aca="false">MAX(0,D13-D12)</f>
        <v>169.122655021978</v>
      </c>
      <c r="E14" s="9" t="n">
        <f aca="false">MAX(0,E13-E12)</f>
        <v>153.243538949565</v>
      </c>
      <c r="F14" s="9" t="n">
        <f aca="false">MAX(0,F13-F12)</f>
        <v>0</v>
      </c>
      <c r="G14" s="9" t="n">
        <f aca="false">MAX(0,G13-G12)</f>
        <v>0</v>
      </c>
      <c r="H14" s="9" t="n">
        <f aca="false">MAX(0,H13-H12)</f>
        <v>0</v>
      </c>
      <c r="I14" s="25" t="s">
        <v>486</v>
      </c>
    </row>
    <row r="15" customFormat="false" ht="15" hidden="false" customHeight="false" outlineLevel="0" collapsed="false">
      <c r="A15" s="3" t="s">
        <v>487</v>
      </c>
      <c r="D15" s="9" t="n">
        <f aca="false">MAX(0,D12+D14-D13)</f>
        <v>0</v>
      </c>
      <c r="E15" s="9" t="n">
        <f aca="false">MAX(0,E12+E14-E13)</f>
        <v>0</v>
      </c>
      <c r="F15" s="9" t="n">
        <f aca="false">MAX(0,F12+F14-F13)</f>
        <v>343.841378461848</v>
      </c>
      <c r="G15" s="9" t="n">
        <f aca="false">MAX(0,G12+G14-G13)</f>
        <v>734.225054528839</v>
      </c>
      <c r="H15" s="9" t="n">
        <f aca="false">MAX(0,H12+H14-H13)</f>
        <v>1149.5920947766</v>
      </c>
      <c r="I15" s="25" t="s">
        <v>488</v>
      </c>
    </row>
    <row r="17" customFormat="false" ht="15.75" hidden="false" customHeight="true" outlineLevel="0" collapsed="false">
      <c r="A17" s="52" t="s">
        <v>489</v>
      </c>
      <c r="B17" s="52"/>
      <c r="C17" s="52"/>
      <c r="D17" s="52"/>
      <c r="E17" s="52"/>
      <c r="F17" s="52"/>
      <c r="G17" s="52"/>
      <c r="H17" s="52"/>
      <c r="I17" s="52"/>
      <c r="J17" s="52"/>
    </row>
    <row r="18" customFormat="false" ht="15" hidden="false" customHeight="false" outlineLevel="0" collapsed="false">
      <c r="A18" s="5" t="s">
        <v>490</v>
      </c>
      <c r="D18" s="9" t="n">
        <f aca="false">C24</f>
        <v>2593.1</v>
      </c>
      <c r="E18" s="9" t="n">
        <f aca="false">D24</f>
        <v>2762.22265502198</v>
      </c>
      <c r="F18" s="9" t="n">
        <f aca="false">E24</f>
        <v>2915.46619397154</v>
      </c>
      <c r="G18" s="9" t="n">
        <f aca="false">F24</f>
        <v>2571.6248155097</v>
      </c>
      <c r="H18" s="9" t="n">
        <f aca="false">G24</f>
        <v>1837.39976098086</v>
      </c>
      <c r="I18" s="25" t="s">
        <v>491</v>
      </c>
    </row>
    <row r="19" customFormat="false" ht="15" hidden="false" customHeight="false" outlineLevel="0" collapsed="false">
      <c r="A19" s="5" t="s">
        <v>492</v>
      </c>
      <c r="D19" s="9" t="n">
        <f aca="false">Assumptions!C$59</f>
        <v>0</v>
      </c>
      <c r="E19" s="9" t="n">
        <f aca="false">Assumptions!D$59</f>
        <v>0</v>
      </c>
      <c r="F19" s="9" t="n">
        <f aca="false">Assumptions!E$59</f>
        <v>0</v>
      </c>
      <c r="G19" s="9" t="n">
        <f aca="false">Assumptions!F$59</f>
        <v>0</v>
      </c>
      <c r="H19" s="9" t="n">
        <f aca="false">Assumptions!G$59</f>
        <v>0</v>
      </c>
      <c r="I19" s="25" t="s">
        <v>493</v>
      </c>
    </row>
    <row r="20" customFormat="false" ht="15" hidden="false" customHeight="false" outlineLevel="0" collapsed="false">
      <c r="A20" s="5" t="s">
        <v>494</v>
      </c>
      <c r="D20" s="9" t="n">
        <f aca="false">MIN(D19,D18)</f>
        <v>0</v>
      </c>
      <c r="E20" s="9" t="n">
        <f aca="false">MIN(E19,E18)</f>
        <v>0</v>
      </c>
      <c r="F20" s="9" t="n">
        <f aca="false">MIN(F19,F18)</f>
        <v>0</v>
      </c>
      <c r="G20" s="9" t="n">
        <f aca="false">MIN(G19,G18)</f>
        <v>0</v>
      </c>
      <c r="H20" s="9" t="n">
        <f aca="false">MIN(H19,H18)</f>
        <v>0</v>
      </c>
      <c r="I20" s="25" t="s">
        <v>495</v>
      </c>
    </row>
    <row r="21" customFormat="false" ht="15" hidden="false" customHeight="false" outlineLevel="0" collapsed="false">
      <c r="A21" s="5" t="s">
        <v>496</v>
      </c>
      <c r="D21" s="9" t="n">
        <f aca="false">D14</f>
        <v>169.122655021978</v>
      </c>
      <c r="E21" s="9" t="n">
        <f aca="false">E14</f>
        <v>153.243538949565</v>
      </c>
      <c r="F21" s="9" t="n">
        <f aca="false">F14</f>
        <v>0</v>
      </c>
      <c r="G21" s="9" t="n">
        <f aca="false">G14</f>
        <v>0</v>
      </c>
      <c r="H21" s="9" t="n">
        <f aca="false">H14</f>
        <v>0</v>
      </c>
      <c r="I21" s="25" t="s">
        <v>497</v>
      </c>
    </row>
    <row r="22" customFormat="false" ht="15" hidden="false" customHeight="false" outlineLevel="0" collapsed="false">
      <c r="A22" s="4" t="s">
        <v>498</v>
      </c>
      <c r="D22" s="9" t="n">
        <f aca="false">D18-D20+D21</f>
        <v>2762.22265502198</v>
      </c>
      <c r="E22" s="9" t="n">
        <f aca="false">E18-E20+E21</f>
        <v>2915.46619397154</v>
      </c>
      <c r="F22" s="9" t="n">
        <f aca="false">F18-F20+F21</f>
        <v>2915.46619397154</v>
      </c>
      <c r="G22" s="9" t="n">
        <f aca="false">G18-G20+G21</f>
        <v>2571.6248155097</v>
      </c>
      <c r="H22" s="9" t="n">
        <f aca="false">H18-H20+H21</f>
        <v>1837.39976098086</v>
      </c>
      <c r="I22" s="25" t="s">
        <v>499</v>
      </c>
    </row>
    <row r="23" customFormat="false" ht="15" hidden="false" customHeight="false" outlineLevel="0" collapsed="false">
      <c r="A23" s="5" t="s">
        <v>500</v>
      </c>
      <c r="D23" s="9" t="n">
        <f aca="false">MIN(D15,D22)</f>
        <v>0</v>
      </c>
      <c r="E23" s="9" t="n">
        <f aca="false">MIN(E15,E22)</f>
        <v>0</v>
      </c>
      <c r="F23" s="9" t="n">
        <f aca="false">MIN(F15,F22)</f>
        <v>343.841378461848</v>
      </c>
      <c r="G23" s="9" t="n">
        <f aca="false">MIN(G15,G22)</f>
        <v>734.225054528839</v>
      </c>
      <c r="H23" s="9" t="n">
        <f aca="false">MIN(H15,H22)</f>
        <v>1149.5920947766</v>
      </c>
      <c r="I23" s="25" t="s">
        <v>501</v>
      </c>
    </row>
    <row r="24" customFormat="false" ht="15" hidden="false" customHeight="false" outlineLevel="0" collapsed="false">
      <c r="A24" s="3" t="s">
        <v>502</v>
      </c>
      <c r="C24" s="9" t="n">
        <f aca="false">BS!C22</f>
        <v>2593.1</v>
      </c>
      <c r="D24" s="9" t="n">
        <f aca="false">D22-D23</f>
        <v>2762.22265502198</v>
      </c>
      <c r="E24" s="9" t="n">
        <f aca="false">E22-E23</f>
        <v>2915.46619397154</v>
      </c>
      <c r="F24" s="9" t="n">
        <f aca="false">F22-F23</f>
        <v>2571.6248155097</v>
      </c>
      <c r="G24" s="9" t="n">
        <f aca="false">G22-G23</f>
        <v>1837.39976098086</v>
      </c>
      <c r="H24" s="9" t="n">
        <f aca="false">H22-H23</f>
        <v>687.807666204252</v>
      </c>
      <c r="I24" s="25" t="s">
        <v>503</v>
      </c>
    </row>
    <row r="25" customFormat="false" ht="15" hidden="false" customHeight="false" outlineLevel="0" collapsed="false">
      <c r="A25" s="5" t="s">
        <v>504</v>
      </c>
      <c r="D25" s="9" t="n">
        <f aca="false">(D18+D24)/2</f>
        <v>2677.66132751099</v>
      </c>
      <c r="E25" s="9" t="n">
        <f aca="false">(E18+E24)/2</f>
        <v>2838.84442449676</v>
      </c>
      <c r="F25" s="9" t="n">
        <f aca="false">(F18+F24)/2</f>
        <v>2743.54550474062</v>
      </c>
      <c r="G25" s="9" t="n">
        <f aca="false">(G18+G24)/2</f>
        <v>2204.51228824528</v>
      </c>
      <c r="H25" s="9" t="n">
        <f aca="false">(H18+H24)/2</f>
        <v>1262.60371359255</v>
      </c>
      <c r="I25" s="25" t="s">
        <v>505</v>
      </c>
    </row>
    <row r="26" customFormat="false" ht="15" hidden="false" customHeight="false" outlineLevel="0" collapsed="false">
      <c r="A26" s="5" t="s">
        <v>506</v>
      </c>
      <c r="D26" s="9" t="n">
        <f aca="false">D25*Assumptions!$C$63</f>
        <v>80.3298398253297</v>
      </c>
      <c r="E26" s="9" t="n">
        <f aca="false">E25*Assumptions!$C$63</f>
        <v>85.1653327349028</v>
      </c>
      <c r="F26" s="9" t="n">
        <f aca="false">F25*Assumptions!$C$63</f>
        <v>82.3063651422186</v>
      </c>
      <c r="G26" s="9" t="n">
        <f aca="false">G25*Assumptions!$C$63</f>
        <v>66.1353686473583</v>
      </c>
      <c r="H26" s="9" t="n">
        <f aca="false">H25*Assumptions!$C$63</f>
        <v>37.8781114077766</v>
      </c>
      <c r="I26" s="25" t="s">
        <v>507</v>
      </c>
    </row>
    <row r="28" customFormat="false" ht="15.75" hidden="false" customHeight="true" outlineLevel="0" collapsed="false">
      <c r="A28" s="52" t="s">
        <v>508</v>
      </c>
      <c r="B28" s="52"/>
      <c r="C28" s="52"/>
      <c r="D28" s="52"/>
      <c r="E28" s="52"/>
      <c r="F28" s="52"/>
      <c r="G28" s="52"/>
      <c r="H28" s="52"/>
      <c r="I28" s="52"/>
      <c r="J28" s="52"/>
    </row>
    <row r="29" customFormat="false" ht="15" hidden="false" customHeight="false" outlineLevel="0" collapsed="false">
      <c r="A29" s="5" t="s">
        <v>490</v>
      </c>
      <c r="D29" s="9" t="n">
        <f aca="false">C32</f>
        <v>7.5</v>
      </c>
      <c r="E29" s="9" t="n">
        <f aca="false">D32</f>
        <v>7.5</v>
      </c>
      <c r="F29" s="9" t="n">
        <f aca="false">E32</f>
        <v>7.5</v>
      </c>
      <c r="G29" s="9" t="n">
        <f aca="false">F32</f>
        <v>7.5</v>
      </c>
      <c r="H29" s="9" t="n">
        <f aca="false">G32</f>
        <v>7.5</v>
      </c>
      <c r="I29" s="25" t="s">
        <v>491</v>
      </c>
    </row>
    <row r="30" customFormat="false" ht="15" hidden="false" customHeight="false" outlineLevel="0" collapsed="false">
      <c r="A30" s="5" t="s">
        <v>492</v>
      </c>
      <c r="D30" s="9" t="n">
        <f aca="false">Assumptions!C$60</f>
        <v>0</v>
      </c>
      <c r="E30" s="9" t="n">
        <f aca="false">Assumptions!D$60</f>
        <v>0</v>
      </c>
      <c r="F30" s="9" t="n">
        <f aca="false">Assumptions!E$60</f>
        <v>0</v>
      </c>
      <c r="G30" s="9" t="n">
        <f aca="false">Assumptions!F$60</f>
        <v>0</v>
      </c>
      <c r="H30" s="9" t="n">
        <f aca="false">Assumptions!G$60</f>
        <v>0</v>
      </c>
      <c r="I30" s="25" t="s">
        <v>509</v>
      </c>
    </row>
    <row r="31" customFormat="false" ht="15" hidden="false" customHeight="false" outlineLevel="0" collapsed="false">
      <c r="A31" s="5" t="s">
        <v>494</v>
      </c>
      <c r="D31" s="9" t="n">
        <f aca="false">MIN(D30,D29)</f>
        <v>0</v>
      </c>
      <c r="E31" s="9" t="n">
        <f aca="false">MIN(E30,E29)</f>
        <v>0</v>
      </c>
      <c r="F31" s="9" t="n">
        <f aca="false">MIN(F30,F29)</f>
        <v>0</v>
      </c>
      <c r="G31" s="9" t="n">
        <f aca="false">MIN(G30,G29)</f>
        <v>0</v>
      </c>
      <c r="H31" s="9" t="n">
        <f aca="false">MIN(H30,H29)</f>
        <v>0</v>
      </c>
      <c r="I31" s="25" t="s">
        <v>495</v>
      </c>
    </row>
    <row r="32" customFormat="false" ht="15" hidden="false" customHeight="false" outlineLevel="0" collapsed="false">
      <c r="A32" s="3" t="s">
        <v>502</v>
      </c>
      <c r="C32" s="9" t="n">
        <f aca="false">BS!C28</f>
        <v>7.5</v>
      </c>
      <c r="D32" s="9" t="n">
        <f aca="false">D29-D31</f>
        <v>7.5</v>
      </c>
      <c r="E32" s="9" t="n">
        <f aca="false">E29-E31</f>
        <v>7.5</v>
      </c>
      <c r="F32" s="9" t="n">
        <f aca="false">F29-F31</f>
        <v>7.5</v>
      </c>
      <c r="G32" s="9" t="n">
        <f aca="false">G29-G31</f>
        <v>7.5</v>
      </c>
      <c r="H32" s="9" t="n">
        <f aca="false">H29-H31</f>
        <v>7.5</v>
      </c>
      <c r="I32" s="25" t="s">
        <v>510</v>
      </c>
    </row>
    <row r="33" customFormat="false" ht="15" hidden="false" customHeight="false" outlineLevel="0" collapsed="false">
      <c r="A33" s="5" t="s">
        <v>504</v>
      </c>
      <c r="D33" s="9" t="n">
        <f aca="false">(D29+D32)/2</f>
        <v>7.5</v>
      </c>
      <c r="E33" s="9" t="n">
        <f aca="false">(E29+E32)/2</f>
        <v>7.5</v>
      </c>
      <c r="F33" s="9" t="n">
        <f aca="false">(F29+F32)/2</f>
        <v>7.5</v>
      </c>
      <c r="G33" s="9" t="n">
        <f aca="false">(G29+G32)/2</f>
        <v>7.5</v>
      </c>
      <c r="H33" s="9" t="n">
        <f aca="false">(H29+H32)/2</f>
        <v>7.5</v>
      </c>
      <c r="I33" s="25" t="s">
        <v>505</v>
      </c>
    </row>
    <row r="34" customFormat="false" ht="15" hidden="false" customHeight="false" outlineLevel="0" collapsed="false">
      <c r="A34" s="5" t="s">
        <v>506</v>
      </c>
      <c r="D34" s="9" t="n">
        <f aca="false">D33*Assumptions!$C$64</f>
        <v>0.255</v>
      </c>
      <c r="E34" s="9" t="n">
        <f aca="false">E33*Assumptions!$C$64</f>
        <v>0.255</v>
      </c>
      <c r="F34" s="9" t="n">
        <f aca="false">F33*Assumptions!$C$64</f>
        <v>0.255</v>
      </c>
      <c r="G34" s="9" t="n">
        <f aca="false">G33*Assumptions!$C$64</f>
        <v>0.255</v>
      </c>
      <c r="H34" s="9" t="n">
        <f aca="false">H33*Assumptions!$C$64</f>
        <v>0.255</v>
      </c>
      <c r="I34" s="25" t="s">
        <v>507</v>
      </c>
    </row>
    <row r="36" customFormat="false" ht="15.75" hidden="false" customHeight="true" outlineLevel="0" collapsed="false">
      <c r="A36" s="52" t="s">
        <v>511</v>
      </c>
      <c r="B36" s="52"/>
      <c r="C36" s="52"/>
      <c r="D36" s="52"/>
      <c r="E36" s="52"/>
      <c r="F36" s="52"/>
      <c r="G36" s="52"/>
      <c r="H36" s="52"/>
      <c r="I36" s="52"/>
      <c r="J36" s="52"/>
    </row>
    <row r="37" customFormat="false" ht="15" hidden="false" customHeight="false" outlineLevel="0" collapsed="false">
      <c r="A37" s="5" t="s">
        <v>490</v>
      </c>
      <c r="D37" s="9" t="n">
        <f aca="false">C42</f>
        <v>9994.8</v>
      </c>
      <c r="E37" s="9" t="n">
        <f aca="false">D42</f>
        <v>9994.8</v>
      </c>
      <c r="F37" s="9" t="n">
        <f aca="false">E42</f>
        <v>9994.8</v>
      </c>
      <c r="G37" s="9" t="n">
        <f aca="false">F42</f>
        <v>9994.8</v>
      </c>
      <c r="H37" s="9" t="n">
        <f aca="false">G42</f>
        <v>9994.8</v>
      </c>
      <c r="I37" s="25" t="s">
        <v>491</v>
      </c>
    </row>
    <row r="38" customFormat="false" ht="15" hidden="false" customHeight="false" outlineLevel="0" collapsed="false">
      <c r="A38" s="5" t="s">
        <v>492</v>
      </c>
      <c r="D38" s="9" t="n">
        <f aca="false">Assumptions!C$61</f>
        <v>0</v>
      </c>
      <c r="E38" s="9" t="n">
        <f aca="false">Assumptions!D$61</f>
        <v>0</v>
      </c>
      <c r="F38" s="9" t="n">
        <f aca="false">Assumptions!E$61</f>
        <v>0</v>
      </c>
      <c r="G38" s="9" t="n">
        <f aca="false">Assumptions!F$61</f>
        <v>0</v>
      </c>
      <c r="H38" s="9" t="n">
        <f aca="false">Assumptions!G$61</f>
        <v>0</v>
      </c>
      <c r="I38" s="25" t="s">
        <v>512</v>
      </c>
    </row>
    <row r="39" customFormat="false" ht="15" hidden="false" customHeight="false" outlineLevel="0" collapsed="false">
      <c r="A39" s="5" t="s">
        <v>494</v>
      </c>
      <c r="D39" s="9" t="n">
        <f aca="false">MIN(D38,D37)</f>
        <v>0</v>
      </c>
      <c r="E39" s="9" t="n">
        <f aca="false">MIN(E38,E37)</f>
        <v>0</v>
      </c>
      <c r="F39" s="9" t="n">
        <f aca="false">MIN(F38,F37)</f>
        <v>0</v>
      </c>
      <c r="G39" s="9" t="n">
        <f aca="false">MIN(G38,G37)</f>
        <v>0</v>
      </c>
      <c r="H39" s="9" t="n">
        <f aca="false">MIN(H38,H37)</f>
        <v>0</v>
      </c>
      <c r="I39" s="25" t="s">
        <v>495</v>
      </c>
    </row>
    <row r="40" customFormat="false" ht="15" hidden="false" customHeight="false" outlineLevel="0" collapsed="false">
      <c r="A40" s="4" t="s">
        <v>498</v>
      </c>
      <c r="D40" s="9" t="n">
        <f aca="false">D37-D39</f>
        <v>9994.8</v>
      </c>
      <c r="E40" s="9" t="n">
        <f aca="false">E37-E39</f>
        <v>9994.8</v>
      </c>
      <c r="F40" s="9" t="n">
        <f aca="false">F37-F39</f>
        <v>9994.8</v>
      </c>
      <c r="G40" s="9" t="n">
        <f aca="false">G37-G39</f>
        <v>9994.8</v>
      </c>
      <c r="H40" s="9" t="n">
        <f aca="false">H37-H39</f>
        <v>9994.8</v>
      </c>
      <c r="I40" s="25" t="s">
        <v>499</v>
      </c>
    </row>
    <row r="41" customFormat="false" ht="15" hidden="false" customHeight="false" outlineLevel="0" collapsed="false">
      <c r="A41" s="5" t="s">
        <v>500</v>
      </c>
      <c r="D41" s="9" t="n">
        <f aca="false">MIN(D15-D23,D40)</f>
        <v>0</v>
      </c>
      <c r="E41" s="9" t="n">
        <f aca="false">MIN(E15-E23,E40)</f>
        <v>0</v>
      </c>
      <c r="F41" s="9" t="n">
        <f aca="false">MIN(F15-F23,F40)</f>
        <v>0</v>
      </c>
      <c r="G41" s="9" t="n">
        <f aca="false">MIN(G15-G23,G40)</f>
        <v>0</v>
      </c>
      <c r="H41" s="9" t="n">
        <f aca="false">MIN(H15-H23,H40)</f>
        <v>0</v>
      </c>
      <c r="I41" s="25" t="s">
        <v>501</v>
      </c>
    </row>
    <row r="42" customFormat="false" ht="15" hidden="false" customHeight="false" outlineLevel="0" collapsed="false">
      <c r="A42" s="3" t="s">
        <v>502</v>
      </c>
      <c r="C42" s="9" t="n">
        <f aca="false">BS!C31</f>
        <v>9994.8</v>
      </c>
      <c r="D42" s="9" t="n">
        <f aca="false">D40-D41</f>
        <v>9994.8</v>
      </c>
      <c r="E42" s="9" t="n">
        <f aca="false">E40-E41</f>
        <v>9994.8</v>
      </c>
      <c r="F42" s="9" t="n">
        <f aca="false">F40-F41</f>
        <v>9994.8</v>
      </c>
      <c r="G42" s="9" t="n">
        <f aca="false">G40-G41</f>
        <v>9994.8</v>
      </c>
      <c r="H42" s="9" t="n">
        <f aca="false">H40-H41</f>
        <v>9994.8</v>
      </c>
      <c r="I42" s="25" t="s">
        <v>503</v>
      </c>
    </row>
    <row r="43" customFormat="false" ht="15" hidden="false" customHeight="false" outlineLevel="0" collapsed="false">
      <c r="A43" s="5" t="s">
        <v>504</v>
      </c>
      <c r="D43" s="9" t="n">
        <f aca="false">(D37+D42)/2</f>
        <v>9994.8</v>
      </c>
      <c r="E43" s="9" t="n">
        <f aca="false">(E37+E42)/2</f>
        <v>9994.8</v>
      </c>
      <c r="F43" s="9" t="n">
        <f aca="false">(F37+F42)/2</f>
        <v>9994.8</v>
      </c>
      <c r="G43" s="9" t="n">
        <f aca="false">(G37+G42)/2</f>
        <v>9994.8</v>
      </c>
      <c r="H43" s="9" t="n">
        <f aca="false">(H37+H42)/2</f>
        <v>9994.8</v>
      </c>
      <c r="I43" s="25" t="s">
        <v>505</v>
      </c>
    </row>
    <row r="44" customFormat="false" ht="15" hidden="false" customHeight="false" outlineLevel="0" collapsed="false">
      <c r="A44" s="5" t="s">
        <v>506</v>
      </c>
      <c r="D44" s="9" t="n">
        <f aca="false">D43*Assumptions!$C$65</f>
        <v>369.8076</v>
      </c>
      <c r="E44" s="9" t="n">
        <f aca="false">E43*Assumptions!$C$65</f>
        <v>369.8076</v>
      </c>
      <c r="F44" s="9" t="n">
        <f aca="false">F43*Assumptions!$C$65</f>
        <v>369.8076</v>
      </c>
      <c r="G44" s="9" t="n">
        <f aca="false">G43*Assumptions!$C$65</f>
        <v>369.8076</v>
      </c>
      <c r="H44" s="9" t="n">
        <f aca="false">H43*Assumptions!$C$65</f>
        <v>369.8076</v>
      </c>
      <c r="I44" s="25" t="s">
        <v>507</v>
      </c>
    </row>
    <row r="46" customFormat="false" ht="15.75" hidden="false" customHeight="true" outlineLevel="0" collapsed="false">
      <c r="A46" s="52" t="s">
        <v>513</v>
      </c>
      <c r="B46" s="52"/>
      <c r="C46" s="52"/>
      <c r="D46" s="52"/>
      <c r="E46" s="52"/>
      <c r="F46" s="52"/>
      <c r="G46" s="52"/>
      <c r="H46" s="52"/>
      <c r="I46" s="52"/>
      <c r="J46" s="52"/>
    </row>
    <row r="47" customFormat="false" ht="15" hidden="false" customHeight="false" outlineLevel="0" collapsed="false">
      <c r="A47" s="5" t="s">
        <v>490</v>
      </c>
      <c r="D47" s="9" t="n">
        <f aca="false">C50</f>
        <v>0.8</v>
      </c>
      <c r="E47" s="9" t="n">
        <f aca="false">D50</f>
        <v>0.8</v>
      </c>
      <c r="F47" s="9" t="n">
        <f aca="false">E50</f>
        <v>0.8</v>
      </c>
      <c r="G47" s="9" t="n">
        <f aca="false">F50</f>
        <v>0.8</v>
      </c>
      <c r="H47" s="9" t="n">
        <f aca="false">G50</f>
        <v>0.8</v>
      </c>
      <c r="I47" s="25" t="s">
        <v>491</v>
      </c>
    </row>
    <row r="48" customFormat="false" ht="15" hidden="false" customHeight="false" outlineLevel="0" collapsed="false">
      <c r="A48" s="5" t="s">
        <v>492</v>
      </c>
      <c r="D48" s="9" t="n">
        <f aca="false">Assumptions!C$62</f>
        <v>0</v>
      </c>
      <c r="E48" s="9" t="n">
        <f aca="false">Assumptions!D$62</f>
        <v>0</v>
      </c>
      <c r="F48" s="9" t="n">
        <f aca="false">Assumptions!E$62</f>
        <v>0</v>
      </c>
      <c r="G48" s="9" t="n">
        <f aca="false">Assumptions!F$62</f>
        <v>0</v>
      </c>
      <c r="H48" s="9" t="n">
        <f aca="false">Assumptions!G$62</f>
        <v>0</v>
      </c>
      <c r="I48" s="25" t="s">
        <v>514</v>
      </c>
    </row>
    <row r="49" customFormat="false" ht="15" hidden="false" customHeight="false" outlineLevel="0" collapsed="false">
      <c r="A49" s="5" t="s">
        <v>494</v>
      </c>
      <c r="D49" s="9" t="n">
        <f aca="false">MIN(D48,D47)</f>
        <v>0</v>
      </c>
      <c r="E49" s="9" t="n">
        <f aca="false">MIN(E48,E47)</f>
        <v>0</v>
      </c>
      <c r="F49" s="9" t="n">
        <f aca="false">MIN(F48,F47)</f>
        <v>0</v>
      </c>
      <c r="G49" s="9" t="n">
        <f aca="false">MIN(G48,G47)</f>
        <v>0</v>
      </c>
      <c r="H49" s="9" t="n">
        <f aca="false">MIN(H48,H47)</f>
        <v>0</v>
      </c>
      <c r="I49" s="25" t="s">
        <v>495</v>
      </c>
    </row>
    <row r="50" customFormat="false" ht="15" hidden="false" customHeight="false" outlineLevel="0" collapsed="false">
      <c r="A50" s="3" t="s">
        <v>502</v>
      </c>
      <c r="C50" s="9" t="n">
        <f aca="false">BS!C32</f>
        <v>0.8</v>
      </c>
      <c r="D50" s="9" t="n">
        <f aca="false">D47-D49</f>
        <v>0.8</v>
      </c>
      <c r="E50" s="9" t="n">
        <f aca="false">E47-E49</f>
        <v>0.8</v>
      </c>
      <c r="F50" s="9" t="n">
        <f aca="false">F47-F49</f>
        <v>0.8</v>
      </c>
      <c r="G50" s="9" t="n">
        <f aca="false">G47-G49</f>
        <v>0.8</v>
      </c>
      <c r="H50" s="9" t="n">
        <f aca="false">H47-H49</f>
        <v>0.8</v>
      </c>
      <c r="I50" s="25" t="s">
        <v>510</v>
      </c>
    </row>
    <row r="51" customFormat="false" ht="15" hidden="false" customHeight="false" outlineLevel="0" collapsed="false">
      <c r="A51" s="5" t="s">
        <v>504</v>
      </c>
      <c r="D51" s="9" t="n">
        <f aca="false">(D47+D50)/2</f>
        <v>0.8</v>
      </c>
      <c r="E51" s="9" t="n">
        <f aca="false">(E47+E50)/2</f>
        <v>0.8</v>
      </c>
      <c r="F51" s="9" t="n">
        <f aca="false">(F47+F50)/2</f>
        <v>0.8</v>
      </c>
      <c r="G51" s="9" t="n">
        <f aca="false">(G47+G50)/2</f>
        <v>0.8</v>
      </c>
      <c r="H51" s="9" t="n">
        <f aca="false">(H47+H50)/2</f>
        <v>0.8</v>
      </c>
      <c r="I51" s="25" t="s">
        <v>505</v>
      </c>
    </row>
    <row r="52" customFormat="false" ht="15" hidden="false" customHeight="false" outlineLevel="0" collapsed="false">
      <c r="A52" s="5" t="s">
        <v>506</v>
      </c>
      <c r="D52" s="9" t="n">
        <f aca="false">D51*Assumptions!$C$66</f>
        <v>0.036</v>
      </c>
      <c r="E52" s="9" t="n">
        <f aca="false">E51*Assumptions!$C$66</f>
        <v>0.036</v>
      </c>
      <c r="F52" s="9" t="n">
        <f aca="false">F51*Assumptions!$C$66</f>
        <v>0.036</v>
      </c>
      <c r="G52" s="9" t="n">
        <f aca="false">G51*Assumptions!$C$66</f>
        <v>0.036</v>
      </c>
      <c r="H52" s="9" t="n">
        <f aca="false">H51*Assumptions!$C$66</f>
        <v>0.036</v>
      </c>
      <c r="I52" s="25" t="s">
        <v>507</v>
      </c>
    </row>
    <row r="54" customFormat="false" ht="15.75" hidden="false" customHeight="true" outlineLevel="0" collapsed="false">
      <c r="A54" s="26" t="s">
        <v>515</v>
      </c>
      <c r="B54" s="26"/>
      <c r="C54" s="26"/>
      <c r="D54" s="26"/>
      <c r="E54" s="26"/>
      <c r="F54" s="26"/>
      <c r="G54" s="26"/>
      <c r="H54" s="26"/>
      <c r="I54" s="26"/>
      <c r="J54" s="26"/>
    </row>
    <row r="55" customFormat="false" ht="15" hidden="false" customHeight="false" outlineLevel="0" collapsed="false">
      <c r="A55" s="5" t="s">
        <v>516</v>
      </c>
      <c r="C55" s="9" t="n">
        <f aca="false">C56</f>
        <v>12596.2</v>
      </c>
      <c r="D55" s="9" t="n">
        <f aca="false">D18+D29+D37+D47</f>
        <v>12596.2</v>
      </c>
      <c r="E55" s="9" t="n">
        <f aca="false">E18+E29+E37+E47</f>
        <v>12765.322655022</v>
      </c>
      <c r="F55" s="9" t="n">
        <f aca="false">F18+F29+F37+F47</f>
        <v>12918.5661939715</v>
      </c>
      <c r="G55" s="9" t="n">
        <f aca="false">G18+G29+G37+G47</f>
        <v>12574.7248155097</v>
      </c>
      <c r="H55" s="9" t="n">
        <f aca="false">H18+H29+H37+H47</f>
        <v>11840.4997609809</v>
      </c>
      <c r="I55" s="25" t="s">
        <v>517</v>
      </c>
    </row>
    <row r="56" customFormat="false" ht="15" hidden="false" customHeight="false" outlineLevel="0" collapsed="false">
      <c r="A56" s="3" t="s">
        <v>518</v>
      </c>
      <c r="C56" s="9" t="n">
        <f aca="false">C24+C32+C42+C50</f>
        <v>12596.2</v>
      </c>
      <c r="D56" s="9" t="n">
        <f aca="false">D24+D32+D42+D50</f>
        <v>12765.322655022</v>
      </c>
      <c r="E56" s="9" t="n">
        <f aca="false">E24+E32+E42+E50</f>
        <v>12918.5661939715</v>
      </c>
      <c r="F56" s="9" t="n">
        <f aca="false">F24+F32+F42+F50</f>
        <v>12574.7248155097</v>
      </c>
      <c r="G56" s="9" t="n">
        <f aca="false">G24+G32+G42+G50</f>
        <v>11840.4997609809</v>
      </c>
      <c r="H56" s="9" t="n">
        <f aca="false">H24+H32+H42+H50</f>
        <v>10690.9076662043</v>
      </c>
      <c r="I56" s="25" t="s">
        <v>519</v>
      </c>
    </row>
    <row r="57" customFormat="false" ht="15" hidden="false" customHeight="false" outlineLevel="0" collapsed="false">
      <c r="A57" s="5" t="s">
        <v>520</v>
      </c>
      <c r="D57" s="9" t="n">
        <f aca="false">D56-D55</f>
        <v>169.122655021978</v>
      </c>
      <c r="E57" s="9" t="n">
        <f aca="false">E56-E55</f>
        <v>153.243538949564</v>
      </c>
      <c r="F57" s="9" t="n">
        <f aca="false">F56-F55</f>
        <v>-343.841378461848</v>
      </c>
      <c r="G57" s="9" t="n">
        <f aca="false">G56-G55</f>
        <v>-734.225054528839</v>
      </c>
      <c r="H57" s="9" t="n">
        <f aca="false">H56-H55</f>
        <v>-1149.5920947766</v>
      </c>
      <c r="I57" s="25" t="s">
        <v>521</v>
      </c>
    </row>
    <row r="58" customFormat="false" ht="15" hidden="false" customHeight="false" outlineLevel="0" collapsed="false">
      <c r="A58" s="5" t="s">
        <v>522</v>
      </c>
      <c r="D58" s="9" t="n">
        <f aca="false">D23+D41</f>
        <v>0</v>
      </c>
      <c r="E58" s="9" t="n">
        <f aca="false">E23+E41</f>
        <v>0</v>
      </c>
      <c r="F58" s="9" t="n">
        <f aca="false">F23+F41</f>
        <v>343.841378461848</v>
      </c>
      <c r="G58" s="9" t="n">
        <f aca="false">G23+G41</f>
        <v>734.225054528839</v>
      </c>
      <c r="H58" s="9" t="n">
        <f aca="false">H23+H41</f>
        <v>1149.5920947766</v>
      </c>
      <c r="I58" s="25" t="s">
        <v>523</v>
      </c>
    </row>
    <row r="59" customFormat="false" ht="15" hidden="false" customHeight="false" outlineLevel="0" collapsed="false">
      <c r="A59" s="5" t="s">
        <v>524</v>
      </c>
      <c r="D59" s="9" t="n">
        <f aca="false">D15-D58</f>
        <v>0</v>
      </c>
      <c r="E59" s="9" t="n">
        <f aca="false">E15-E58</f>
        <v>0</v>
      </c>
      <c r="F59" s="9" t="n">
        <f aca="false">F15-F58</f>
        <v>0</v>
      </c>
      <c r="G59" s="9" t="n">
        <f aca="false">G15-G58</f>
        <v>0</v>
      </c>
      <c r="H59" s="9" t="n">
        <f aca="false">H15-H58</f>
        <v>0</v>
      </c>
      <c r="I59" s="25" t="s">
        <v>525</v>
      </c>
    </row>
    <row r="60" customFormat="false" ht="15" hidden="false" customHeight="false" outlineLevel="0" collapsed="false">
      <c r="A60" s="5" t="s">
        <v>526</v>
      </c>
      <c r="D60" s="9" t="n">
        <f aca="false">C61</f>
        <v>4531.5</v>
      </c>
      <c r="E60" s="9" t="n">
        <f aca="false">D61</f>
        <v>4531.5</v>
      </c>
      <c r="F60" s="9" t="n">
        <f aca="false">E61</f>
        <v>4531.5</v>
      </c>
      <c r="G60" s="9" t="n">
        <f aca="false">F61</f>
        <v>4531.5</v>
      </c>
      <c r="H60" s="9" t="n">
        <f aca="false">G61</f>
        <v>4531.5</v>
      </c>
      <c r="I60" s="27" t="s">
        <v>527</v>
      </c>
    </row>
    <row r="61" customFormat="false" ht="15" hidden="false" customHeight="false" outlineLevel="0" collapsed="false">
      <c r="A61" s="5" t="s">
        <v>528</v>
      </c>
      <c r="C61" s="9" t="n">
        <f aca="false">BS!C5</f>
        <v>4531.5</v>
      </c>
      <c r="D61" s="9" t="n">
        <f aca="false">D60+D59</f>
        <v>4531.5</v>
      </c>
      <c r="E61" s="9" t="n">
        <f aca="false">E60+E59</f>
        <v>4531.5</v>
      </c>
      <c r="F61" s="9" t="n">
        <f aca="false">F60+F59</f>
        <v>4531.5</v>
      </c>
      <c r="G61" s="9" t="n">
        <f aca="false">G60+G59</f>
        <v>4531.5</v>
      </c>
      <c r="H61" s="9" t="n">
        <f aca="false">H60+H59</f>
        <v>4531.5</v>
      </c>
      <c r="I61" s="25" t="s">
        <v>529</v>
      </c>
    </row>
    <row r="62" customFormat="false" ht="15" hidden="false" customHeight="false" outlineLevel="0" collapsed="false">
      <c r="A62" s="5" t="s">
        <v>530</v>
      </c>
      <c r="D62" s="9" t="n">
        <f aca="false">D61-D60</f>
        <v>0</v>
      </c>
      <c r="E62" s="9" t="n">
        <f aca="false">E61-E60</f>
        <v>0</v>
      </c>
      <c r="F62" s="9" t="n">
        <f aca="false">F61-F60</f>
        <v>0</v>
      </c>
      <c r="G62" s="9" t="n">
        <f aca="false">G61-G60</f>
        <v>0</v>
      </c>
      <c r="H62" s="9" t="n">
        <f aca="false">H61-H60</f>
        <v>0</v>
      </c>
      <c r="I62" s="25" t="s">
        <v>531</v>
      </c>
    </row>
    <row r="63" customFormat="false" ht="15" hidden="false" customHeight="false" outlineLevel="0" collapsed="false">
      <c r="A63" s="3" t="s">
        <v>532</v>
      </c>
      <c r="C63" s="9" t="n">
        <f aca="false">BS!C4</f>
        <v>5872.5</v>
      </c>
      <c r="D63" s="9" t="n">
        <f aca="false">D12+D14-D58-D59</f>
        <v>6499.84692</v>
      </c>
      <c r="E63" s="9" t="n">
        <f aca="false">E12+E14-E58-E59</f>
        <v>7286.978382012</v>
      </c>
      <c r="F63" s="9" t="n">
        <f aca="false">F12+F14-F58-F59</f>
        <v>7934.06206233466</v>
      </c>
      <c r="G63" s="9" t="n">
        <f aca="false">G12+G14-G58-G59</f>
        <v>8446.60247156148</v>
      </c>
      <c r="H63" s="9" t="n">
        <f aca="false">H12+H14-H58-H59</f>
        <v>8856.26269143222</v>
      </c>
      <c r="I63" s="25" t="s">
        <v>533</v>
      </c>
    </row>
    <row r="64" customFormat="false" ht="15" hidden="false" customHeight="false" outlineLevel="0" collapsed="false">
      <c r="A64" s="5" t="s">
        <v>534</v>
      </c>
      <c r="D64" s="9" t="n">
        <f aca="false">D130</f>
        <v>450.428439833793</v>
      </c>
      <c r="E64" s="9" t="n">
        <f aca="false">E130</f>
        <v>455.263932751621</v>
      </c>
      <c r="F64" s="9" t="n">
        <f aca="false">F130</f>
        <v>452.404965204562</v>
      </c>
      <c r="G64" s="9" t="n">
        <f aca="false">G130</f>
        <v>436.233968744518</v>
      </c>
      <c r="H64" s="9" t="n">
        <f aca="false">H130</f>
        <v>407.976711543648</v>
      </c>
      <c r="I64" s="25" t="s">
        <v>535</v>
      </c>
    </row>
    <row r="65" customFormat="false" ht="15" hidden="false" customHeight="false" outlineLevel="0" collapsed="false">
      <c r="A65" s="5" t="s">
        <v>536</v>
      </c>
      <c r="D65" s="9" t="n">
        <f aca="false">D132</f>
        <v>74.23408152</v>
      </c>
      <c r="E65" s="9" t="n">
        <f aca="false">E132</f>
        <v>82.720951812072</v>
      </c>
      <c r="F65" s="9" t="n">
        <f aca="false">F132</f>
        <v>91.32624266608</v>
      </c>
      <c r="G65" s="9" t="n">
        <f aca="false">G132</f>
        <v>98.2839872033769</v>
      </c>
      <c r="H65" s="9" t="n">
        <f aca="false">H132</f>
        <v>103.817190977962</v>
      </c>
      <c r="I65" s="25" t="s">
        <v>537</v>
      </c>
    </row>
    <row r="66" customFormat="false" ht="15" hidden="false" customHeight="false" outlineLevel="0" collapsed="false">
      <c r="A66" s="5" t="s">
        <v>538</v>
      </c>
      <c r="D66" s="9" t="n">
        <f aca="false">Assumptions!$C$68</f>
        <v>30</v>
      </c>
      <c r="E66" s="9" t="n">
        <f aca="false">Assumptions!$C$68</f>
        <v>30</v>
      </c>
      <c r="F66" s="9" t="n">
        <f aca="false">Assumptions!$C$68</f>
        <v>30</v>
      </c>
      <c r="G66" s="9" t="n">
        <f aca="false">Assumptions!$C$68</f>
        <v>30</v>
      </c>
      <c r="H66" s="9" t="n">
        <f aca="false">Assumptions!$C$68</f>
        <v>30</v>
      </c>
      <c r="I66" s="25" t="s">
        <v>539</v>
      </c>
    </row>
    <row r="67" customFormat="false" ht="15" hidden="false" customHeight="false" outlineLevel="0" collapsed="false">
      <c r="A67" s="3" t="s">
        <v>540</v>
      </c>
      <c r="D67" s="9" t="n">
        <f aca="false">D133</f>
        <v>406.194358313793</v>
      </c>
      <c r="E67" s="9" t="n">
        <f aca="false">E133</f>
        <v>402.542980939549</v>
      </c>
      <c r="F67" s="9" t="n">
        <f aca="false">F133</f>
        <v>391.078722538482</v>
      </c>
      <c r="G67" s="9" t="n">
        <f aca="false">G133</f>
        <v>367.949981541142</v>
      </c>
      <c r="H67" s="9" t="n">
        <f aca="false">H133</f>
        <v>334.159520565685</v>
      </c>
      <c r="I67" s="25" t="s">
        <v>541</v>
      </c>
    </row>
    <row r="69" customFormat="false" ht="15.75" hidden="false" customHeight="true" outlineLevel="0" collapsed="false">
      <c r="A69" s="26" t="s">
        <v>542</v>
      </c>
      <c r="B69" s="26"/>
      <c r="C69" s="26"/>
      <c r="D69" s="26"/>
      <c r="E69" s="26"/>
      <c r="F69" s="26"/>
      <c r="G69" s="26"/>
      <c r="H69" s="26"/>
      <c r="I69" s="26"/>
      <c r="J69" s="26"/>
    </row>
    <row r="70" customFormat="false" ht="30" hidden="false" customHeight="true" outlineLevel="0" collapsed="false">
      <c r="A70" s="13" t="s">
        <v>543</v>
      </c>
      <c r="B70" s="13"/>
      <c r="C70" s="13"/>
      <c r="D70" s="13"/>
      <c r="E70" s="13"/>
      <c r="F70" s="13"/>
      <c r="G70" s="13"/>
      <c r="H70" s="13"/>
      <c r="I70" s="13"/>
    </row>
    <row r="71" customFormat="false" ht="15.75" hidden="false" customHeight="true" outlineLevel="0" collapsed="false">
      <c r="A71" s="52" t="s">
        <v>544</v>
      </c>
      <c r="B71" s="52"/>
      <c r="C71" s="52"/>
      <c r="D71" s="52"/>
      <c r="E71" s="52"/>
      <c r="F71" s="52"/>
      <c r="G71" s="52"/>
      <c r="H71" s="52"/>
      <c r="I71" s="52"/>
      <c r="J71" s="52"/>
    </row>
    <row r="72" customFormat="false" ht="15" hidden="false" customHeight="false" outlineLevel="0" collapsed="false">
      <c r="A72" s="4" t="s">
        <v>545</v>
      </c>
      <c r="D72" s="9" t="n">
        <f aca="false">D18*Assumptions!$C$63+D29*Assumptions!$C$64+D37*Assumptions!$C$65+D47*Assumptions!$C$66</f>
        <v>447.8916</v>
      </c>
      <c r="E72" s="9" t="n">
        <f aca="false">E18*Assumptions!$C$63+E29*Assumptions!$C$64+E37*Assumptions!$C$65+E47*Assumptions!$C$66</f>
        <v>452.965279650659</v>
      </c>
      <c r="F72" s="9" t="n">
        <f aca="false">F18*Assumptions!$C$63+F29*Assumptions!$C$64+F37*Assumptions!$C$65+F47*Assumptions!$C$66</f>
        <v>457.562585819146</v>
      </c>
      <c r="G72" s="9" t="n">
        <f aca="false">G18*Assumptions!$C$63+G29*Assumptions!$C$64+G37*Assumptions!$C$65+G47*Assumptions!$C$66</f>
        <v>447.247344465291</v>
      </c>
      <c r="H72" s="9" t="n">
        <f aca="false">H18*Assumptions!$C$63+H29*Assumptions!$C$64+H37*Assumptions!$C$65+H47*Assumptions!$C$66</f>
        <v>425.220592829426</v>
      </c>
    </row>
    <row r="73" customFormat="false" ht="15" hidden="false" customHeight="false" outlineLevel="0" collapsed="false">
      <c r="A73" s="4" t="s">
        <v>546</v>
      </c>
      <c r="D73" s="9" t="n">
        <f aca="false">D6*Assumptions!$C$67</f>
        <v>70.47</v>
      </c>
      <c r="E73" s="9" t="n">
        <f aca="false">E6*Assumptions!$C$67</f>
        <v>77.99816304</v>
      </c>
      <c r="F73" s="9" t="n">
        <f aca="false">F6*Assumptions!$C$67</f>
        <v>87.443740584144</v>
      </c>
      <c r="G73" s="9" t="n">
        <f aca="false">G6*Assumptions!$C$67</f>
        <v>95.208744748016</v>
      </c>
      <c r="H73" s="9" t="n">
        <f aca="false">H6*Assumptions!$C$67</f>
        <v>101.359229658738</v>
      </c>
    </row>
    <row r="74" customFormat="false" ht="15" hidden="false" customHeight="false" outlineLevel="0" collapsed="false">
      <c r="A74" s="4" t="s">
        <v>547</v>
      </c>
      <c r="D74" s="9" t="n">
        <f aca="false">D72-D73+D66</f>
        <v>407.4216</v>
      </c>
      <c r="E74" s="9" t="n">
        <f aca="false">E72-E73+E66</f>
        <v>404.967116610659</v>
      </c>
      <c r="F74" s="9" t="n">
        <f aca="false">F72-F73+F66</f>
        <v>400.118845235002</v>
      </c>
      <c r="G74" s="9" t="n">
        <f aca="false">G72-G73+G66</f>
        <v>382.038599717275</v>
      </c>
      <c r="H74" s="9" t="n">
        <f aca="false">H72-H73+H66</f>
        <v>353.861363170688</v>
      </c>
    </row>
    <row r="75" customFormat="false" ht="15" hidden="false" customHeight="false" outlineLevel="0" collapsed="false">
      <c r="A75" s="4" t="s">
        <v>548</v>
      </c>
      <c r="D75" s="9" t="n">
        <f aca="false">(IS!D7-IS!D9-IS!D10-IS!D11-IS!D12+IS!D14+IS!D16-D74)*(1-Assumptions!C$33)*(1-Assumptions!C$34)</f>
        <v>451.196202997022</v>
      </c>
      <c r="E75" s="9" t="n">
        <f aca="false">(IS!E7-IS!E9-IS!E10-IS!E11-IS!E12+IS!E14+IS!E16-E74)*(1-Assumptions!D$33)*(1-Assumptions!D$34)</f>
        <v>505.33388055491</v>
      </c>
      <c r="F75" s="9" t="n">
        <f aca="false">(IS!F7-IS!F9-IS!F10-IS!F11-IS!F12+IS!F14+IS!F16-F74)*(1-Assumptions!E$33)*(1-Assumptions!E$34)</f>
        <v>551.562832822267</v>
      </c>
      <c r="G75" s="9" t="n">
        <f aca="false">(IS!G7-IS!G9-IS!G10-IS!G11-IS!G12+IS!G14+IS!G16-G74)*(1-Assumptions!F$33)*(1-Assumptions!F$34)</f>
        <v>596.850783956034</v>
      </c>
      <c r="H75" s="9" t="n">
        <f aca="false">(IS!H7-IS!H9-IS!H10-IS!H11-IS!H12+IS!H14+IS!H16-H74)*(1-Assumptions!G$33)*(1-Assumptions!G$34)</f>
        <v>641.406397741714</v>
      </c>
    </row>
    <row r="76" customFormat="false" ht="15" hidden="false" customHeight="false" outlineLevel="0" collapsed="false">
      <c r="A76" s="4" t="s">
        <v>549</v>
      </c>
      <c r="D76" s="9" t="n">
        <f aca="false">D75+PPE!D19+D72-Schedules!D18</f>
        <v>4576.89794342601</v>
      </c>
      <c r="E76" s="9" t="n">
        <f aca="false">E75+PPE!E19+E72-Schedules!E18</f>
        <v>4523.53471130174</v>
      </c>
      <c r="F76" s="9" t="n">
        <f aca="false">F75+PPE!F19+F72-Schedules!F18</f>
        <v>4531.74815960256</v>
      </c>
      <c r="G76" s="9" t="n">
        <f aca="false">G75+PPE!G19+G72-Schedules!G18</f>
        <v>4513.70190951147</v>
      </c>
      <c r="H76" s="9" t="n">
        <f aca="false">H75+PPE!H19+H72-Schedules!H18</f>
        <v>4451.22016459491</v>
      </c>
    </row>
    <row r="77" customFormat="false" ht="15" hidden="false" customHeight="false" outlineLevel="0" collapsed="false">
      <c r="A77" s="4" t="s">
        <v>550</v>
      </c>
      <c r="D77" s="9" t="n">
        <f aca="false">D6+D76+D8+D9-D72+D11</f>
        <v>6329.97697342601</v>
      </c>
      <c r="E77" s="9" t="n">
        <f aca="false">E6+E76+E8+E9-E72+E11</f>
        <v>7132.25873926942</v>
      </c>
      <c r="F77" s="9" t="n">
        <f aca="false">F6+F76+F8+F9-F72+F11</f>
        <v>8272.39873263984</v>
      </c>
      <c r="G77" s="9" t="n">
        <f aca="false">G6+G76+G8+G9-G72+G11</f>
        <v>9172.2486899402</v>
      </c>
      <c r="H77" s="9" t="n">
        <f aca="false">H6+H76+H8+H9-H72+H11</f>
        <v>9993.85794752311</v>
      </c>
    </row>
    <row r="78" customFormat="false" ht="15" hidden="false" customHeight="false" outlineLevel="0" collapsed="false">
      <c r="A78" s="4" t="s">
        <v>551</v>
      </c>
      <c r="D78" s="9" t="n">
        <f aca="false">MAX(0,D13-D77)</f>
        <v>169.869946573991</v>
      </c>
      <c r="E78" s="9" t="n">
        <f aca="false">MAX(0,E13-E77)</f>
        <v>154.719642742579</v>
      </c>
      <c r="F78" s="9" t="n">
        <f aca="false">MAX(0,F13-F77)</f>
        <v>0</v>
      </c>
      <c r="G78" s="9" t="n">
        <f aca="false">MAX(0,G13-G77)</f>
        <v>0</v>
      </c>
      <c r="H78" s="9" t="n">
        <f aca="false">MAX(0,H13-H77)</f>
        <v>0</v>
      </c>
    </row>
    <row r="79" customFormat="false" ht="15" hidden="false" customHeight="false" outlineLevel="0" collapsed="false">
      <c r="A79" s="4" t="s">
        <v>552</v>
      </c>
      <c r="D79" s="9" t="n">
        <f aca="false">MAX(0,D77+D78-D13)</f>
        <v>0</v>
      </c>
      <c r="E79" s="9" t="n">
        <f aca="false">MAX(0,E77+E78-E13)</f>
        <v>0</v>
      </c>
      <c r="F79" s="9" t="n">
        <f aca="false">MAX(0,F77+F78-F13)</f>
        <v>338.336670305178</v>
      </c>
      <c r="G79" s="9" t="n">
        <f aca="false">MAX(0,G77+G78-G13)</f>
        <v>725.646218378721</v>
      </c>
      <c r="H79" s="9" t="n">
        <f aca="false">MAX(0,H77+H78-H13)</f>
        <v>1137.59525609089</v>
      </c>
    </row>
    <row r="80" customFormat="false" ht="15" hidden="false" customHeight="false" outlineLevel="0" collapsed="false">
      <c r="A80" s="4" t="s">
        <v>553</v>
      </c>
      <c r="D80" s="9" t="n">
        <f aca="false">(D18-D20+D78)-MIN(D79,D18-D20+D78)</f>
        <v>2762.96994657399</v>
      </c>
      <c r="E80" s="9" t="n">
        <f aca="false">(E18-E20+E78)-MIN(E79,E18-E20+E78)</f>
        <v>2916.94229776456</v>
      </c>
      <c r="F80" s="9" t="n">
        <f aca="false">(F18-F20+F78)-MIN(F79,F18-F20+F78)</f>
        <v>2577.12952366637</v>
      </c>
      <c r="G80" s="9" t="n">
        <f aca="false">(G18-G20+G78)-MIN(G79,G18-G20+G78)</f>
        <v>1845.97859713097</v>
      </c>
      <c r="H80" s="9" t="n">
        <f aca="false">(H18-H20+H78)-MIN(H79,H18-H20+H78)</f>
        <v>699.804504889964</v>
      </c>
    </row>
    <row r="81" customFormat="false" ht="15" hidden="false" customHeight="false" outlineLevel="0" collapsed="false">
      <c r="A81" s="4" t="s">
        <v>554</v>
      </c>
      <c r="D81" s="9" t="n">
        <f aca="false">(D37-D39)-MIN(D79-(D18-D20+D78-D80),D37-D39)</f>
        <v>9994.8</v>
      </c>
      <c r="E81" s="9" t="n">
        <f aca="false">(E37-E39)-MIN(E79-(E18-E20+E78-E80),E37-E39)</f>
        <v>9994.8</v>
      </c>
      <c r="F81" s="9" t="n">
        <f aca="false">(F37-F39)-MIN(F79-(F18-F20+F78-F80),F37-F39)</f>
        <v>9994.8</v>
      </c>
      <c r="G81" s="9" t="n">
        <f aca="false">(G37-G39)-MIN(G79-(G18-G20+G78-G80),G37-G39)</f>
        <v>9994.8</v>
      </c>
      <c r="H81" s="9" t="n">
        <f aca="false">(H37-H39)-MIN(H79-(H18-H20+H78-H80),H37-H39)</f>
        <v>9994.8</v>
      </c>
    </row>
    <row r="82" customFormat="false" ht="15" hidden="false" customHeight="false" outlineLevel="0" collapsed="false">
      <c r="A82" s="4" t="s">
        <v>555</v>
      </c>
      <c r="D82" s="9" t="n">
        <f aca="false">(D18+D80)/2*Assumptions!$C$63+(D29+D32)/2*Assumptions!$C$64+(D37+D81)/2*Assumptions!$C$65+(D47+D50)/2*Assumptions!$C$66</f>
        <v>450.43964919861</v>
      </c>
      <c r="E82" s="9" t="n">
        <f aca="false">(E18+E80)/2*Assumptions!$C$63+(E29+E32)/2*Assumptions!$C$64+(E37+E81)/2*Assumptions!$C$65+(E47+E50)/2*Assumptions!$C$66</f>
        <v>455.286074291798</v>
      </c>
      <c r="F82" s="9" t="n">
        <f aca="false">(F18+F80)/2*Assumptions!$C$63+(F29+F32)/2*Assumptions!$C$64+(F37+F81)/2*Assumptions!$C$65+(F47+F50)/2*Assumptions!$C$66</f>
        <v>452.487535764569</v>
      </c>
      <c r="G82" s="9" t="n">
        <f aca="false">(G18+G80)/2*Assumptions!$C$63+(G29+G32)/2*Assumptions!$C$64+(G37+G81)/2*Assumptions!$C$65+(G47+G50)/2*Assumptions!$C$66</f>
        <v>436.36265118961</v>
      </c>
      <c r="H82" s="9" t="n">
        <f aca="false">(H18+H80)/2*Assumptions!$C$63+(H29+H32)/2*Assumptions!$C$64+(H37+H81)/2*Assumptions!$C$65+(H47+H50)/2*Assumptions!$C$66</f>
        <v>408.156663988062</v>
      </c>
    </row>
    <row r="83" customFormat="false" ht="15" hidden="false" customHeight="false" outlineLevel="0" collapsed="false">
      <c r="A83" s="4" t="s">
        <v>556</v>
      </c>
      <c r="D83" s="9" t="n">
        <f aca="false">D77+D78-D79</f>
        <v>6499.84692</v>
      </c>
      <c r="E83" s="9" t="n">
        <f aca="false">E77+E78-E79</f>
        <v>7286.978382012</v>
      </c>
      <c r="F83" s="9" t="n">
        <f aca="false">F77+F78-F79</f>
        <v>7934.06206233466</v>
      </c>
      <c r="G83" s="9" t="n">
        <f aca="false">G77+G78-G79</f>
        <v>8446.60247156148</v>
      </c>
      <c r="H83" s="9" t="n">
        <f aca="false">H77+H78-H79</f>
        <v>8856.26269143222</v>
      </c>
    </row>
    <row r="84" customFormat="false" ht="15" hidden="false" customHeight="false" outlineLevel="0" collapsed="false">
      <c r="A84" s="4" t="s">
        <v>557</v>
      </c>
      <c r="D84" s="9" t="n">
        <f aca="false">(D6+D83)/2*Assumptions!$C$67</f>
        <v>74.23408152</v>
      </c>
      <c r="E84" s="9" t="n">
        <f aca="false">(E6+E83)/2*Assumptions!$C$67</f>
        <v>82.720951812072</v>
      </c>
      <c r="F84" s="9" t="n">
        <f aca="false">(F6+F83)/2*Assumptions!$C$67</f>
        <v>91.32624266608</v>
      </c>
      <c r="G84" s="9" t="n">
        <f aca="false">(G6+G83)/2*Assumptions!$C$67</f>
        <v>98.2839872033769</v>
      </c>
      <c r="H84" s="9" t="n">
        <f aca="false">(H6+H83)/2*Assumptions!$C$67</f>
        <v>103.817190977962</v>
      </c>
    </row>
    <row r="85" customFormat="false" ht="15" hidden="false" customHeight="false" outlineLevel="0" collapsed="false">
      <c r="A85" s="4" t="s">
        <v>558</v>
      </c>
      <c r="D85" s="9" t="n">
        <f aca="false">D82-D84+D66</f>
        <v>406.20556767861</v>
      </c>
      <c r="E85" s="9" t="n">
        <f aca="false">E82-E84+E66</f>
        <v>402.565122479726</v>
      </c>
      <c r="F85" s="9" t="n">
        <f aca="false">F82-F84+F66</f>
        <v>391.161293098489</v>
      </c>
      <c r="G85" s="9" t="n">
        <f aca="false">G82-G84+G66</f>
        <v>368.078663986233</v>
      </c>
      <c r="H85" s="9" t="n">
        <f aca="false">H82-H84+H66</f>
        <v>334.3394730101</v>
      </c>
    </row>
    <row r="86" customFormat="false" ht="15" hidden="false" customHeight="false" outlineLevel="0" collapsed="false">
      <c r="A86" s="10" t="s">
        <v>559</v>
      </c>
      <c r="D86" s="53" t="n">
        <f aca="false">ABS(D82-D72)+ABS(D84-D73)</f>
        <v>6.31213071860988</v>
      </c>
      <c r="E86" s="53" t="n">
        <f aca="false">ABS(E82-E72)+ABS(E84-E73)</f>
        <v>7.04358341321071</v>
      </c>
      <c r="F86" s="53" t="n">
        <f aca="false">ABS(F82-F72)+ABS(F84-F73)</f>
        <v>8.95755213651366</v>
      </c>
      <c r="G86" s="53" t="n">
        <f aca="false">ABS(G82-G72)+ABS(G84-G73)</f>
        <v>13.9599357310417</v>
      </c>
      <c r="H86" s="53" t="n">
        <f aca="false">ABS(H82-H72)+ABS(H84-H73)</f>
        <v>19.5218901605878</v>
      </c>
    </row>
    <row r="87" customFormat="false" ht="15.75" hidden="false" customHeight="true" outlineLevel="0" collapsed="false">
      <c r="A87" s="52" t="s">
        <v>560</v>
      </c>
      <c r="B87" s="52"/>
      <c r="C87" s="52"/>
      <c r="D87" s="52"/>
      <c r="E87" s="52"/>
      <c r="F87" s="52"/>
      <c r="G87" s="52"/>
      <c r="H87" s="52"/>
      <c r="I87" s="52"/>
      <c r="J87" s="52"/>
    </row>
    <row r="88" customFormat="false" ht="15" hidden="false" customHeight="false" outlineLevel="0" collapsed="false">
      <c r="A88" s="4" t="s">
        <v>561</v>
      </c>
      <c r="D88" s="9" t="n">
        <f aca="false">D82</f>
        <v>450.43964919861</v>
      </c>
      <c r="E88" s="9" t="n">
        <f aca="false">E82</f>
        <v>455.286074291798</v>
      </c>
      <c r="F88" s="9" t="n">
        <f aca="false">F82</f>
        <v>452.487535764569</v>
      </c>
      <c r="G88" s="9" t="n">
        <f aca="false">G82</f>
        <v>436.36265118961</v>
      </c>
      <c r="H88" s="9" t="n">
        <f aca="false">H82</f>
        <v>408.156663988062</v>
      </c>
    </row>
    <row r="89" customFormat="false" ht="15" hidden="false" customHeight="false" outlineLevel="0" collapsed="false">
      <c r="A89" s="4" t="s">
        <v>562</v>
      </c>
      <c r="D89" s="9" t="n">
        <f aca="false">D84</f>
        <v>74.23408152</v>
      </c>
      <c r="E89" s="9" t="n">
        <f aca="false">E84</f>
        <v>82.720951812072</v>
      </c>
      <c r="F89" s="9" t="n">
        <f aca="false">F84</f>
        <v>91.32624266608</v>
      </c>
      <c r="G89" s="9" t="n">
        <f aca="false">G84</f>
        <v>98.2839872033769</v>
      </c>
      <c r="H89" s="9" t="n">
        <f aca="false">H84</f>
        <v>103.817190977962</v>
      </c>
    </row>
    <row r="90" customFormat="false" ht="15" hidden="false" customHeight="false" outlineLevel="0" collapsed="false">
      <c r="A90" s="4" t="s">
        <v>563</v>
      </c>
      <c r="D90" s="9" t="n">
        <f aca="false">D88-D89+D66</f>
        <v>406.20556767861</v>
      </c>
      <c r="E90" s="9" t="n">
        <f aca="false">E88-E89+E66</f>
        <v>402.565122479726</v>
      </c>
      <c r="F90" s="9" t="n">
        <f aca="false">F88-F89+F66</f>
        <v>391.161293098489</v>
      </c>
      <c r="G90" s="9" t="n">
        <f aca="false">G88-G89+G66</f>
        <v>368.078663986233</v>
      </c>
      <c r="H90" s="9" t="n">
        <f aca="false">H88-H89+H66</f>
        <v>334.3394730101</v>
      </c>
    </row>
    <row r="91" customFormat="false" ht="15" hidden="false" customHeight="false" outlineLevel="0" collapsed="false">
      <c r="A91" s="4" t="s">
        <v>564</v>
      </c>
      <c r="D91" s="9" t="n">
        <f aca="false">(IS!D7-IS!D9-IS!D10-IS!D11-IS!D12+IS!D14+IS!D16-D90)*(1-Assumptions!C$33)*(1-Assumptions!C$34)</f>
        <v>451.936668946772</v>
      </c>
      <c r="E91" s="9" t="n">
        <f aca="false">(IS!E7-IS!E9-IS!E10-IS!E11-IS!E12+IS!E14+IS!E16-E90)*(1-Assumptions!D$33)*(1-Assumptions!D$34)</f>
        <v>506.796501929498</v>
      </c>
      <c r="F91" s="9" t="n">
        <f aca="false">(IS!F7-IS!F9-IS!F10-IS!F11-IS!F12+IS!F14+IS!F16-F90)*(1-Assumptions!E$33)*(1-Assumptions!E$34)</f>
        <v>557.01726214419</v>
      </c>
      <c r="G91" s="9" t="n">
        <f aca="false">(IS!G7-IS!G9-IS!G10-IS!G11-IS!G12+IS!G14+IS!G16-G90)*(1-Assumptions!F$33)*(1-Assumptions!F$34)</f>
        <v>605.351262839452</v>
      </c>
      <c r="H91" s="9" t="n">
        <f aca="false">(IS!H7-IS!H9-IS!H10-IS!H11-IS!H12+IS!H14+IS!H16-H90)*(1-Assumptions!G$33)*(1-Assumptions!G$34)</f>
        <v>653.293659851773</v>
      </c>
    </row>
    <row r="92" customFormat="false" ht="15" hidden="false" customHeight="false" outlineLevel="0" collapsed="false">
      <c r="A92" s="4" t="s">
        <v>565</v>
      </c>
      <c r="D92" s="9" t="n">
        <f aca="false">D91+PPE!D19+D88-Schedules!D18</f>
        <v>4580.18645857437</v>
      </c>
      <c r="E92" s="9" t="n">
        <f aca="false">E91+PPE!E19+E88-Schedules!E18</f>
        <v>4527.31812731747</v>
      </c>
      <c r="F92" s="9" t="n">
        <f aca="false">F91+PPE!F19+F88-Schedules!F18</f>
        <v>4532.1275388699</v>
      </c>
      <c r="G92" s="9" t="n">
        <f aca="false">G91+PPE!G19+G88-Schedules!G18</f>
        <v>4511.31769511921</v>
      </c>
      <c r="H92" s="9" t="n">
        <f aca="false">H91+PPE!H19+H88-Schedules!H18</f>
        <v>4446.04349786361</v>
      </c>
    </row>
    <row r="93" customFormat="false" ht="15" hidden="false" customHeight="false" outlineLevel="0" collapsed="false">
      <c r="A93" s="4" t="s">
        <v>566</v>
      </c>
      <c r="D93" s="9" t="n">
        <f aca="false">D6+D92+D8+D9-D88+D11</f>
        <v>6330.71743937576</v>
      </c>
      <c r="E93" s="9" t="n">
        <f aca="false">E6+E92+E8+E9-E88+E11</f>
        <v>7133.72136064401</v>
      </c>
      <c r="F93" s="9" t="n">
        <f aca="false">F6+F92+F8+F9-F88+F11</f>
        <v>8277.85316196177</v>
      </c>
      <c r="G93" s="9" t="n">
        <f aca="false">G6+G92+G8+G9-G88+G11</f>
        <v>9180.74916882362</v>
      </c>
      <c r="H93" s="9" t="n">
        <f aca="false">H6+H92+H8+H9-H88+H11</f>
        <v>10005.7452096332</v>
      </c>
    </row>
    <row r="94" customFormat="false" ht="15" hidden="false" customHeight="false" outlineLevel="0" collapsed="false">
      <c r="A94" s="4" t="s">
        <v>567</v>
      </c>
      <c r="D94" s="9" t="n">
        <f aca="false">MAX(0,D13-D93)</f>
        <v>169.12948062424</v>
      </c>
      <c r="E94" s="9" t="n">
        <f aca="false">MAX(0,E13-E93)</f>
        <v>153.257021367989</v>
      </c>
      <c r="F94" s="9" t="n">
        <f aca="false">MAX(0,F13-F93)</f>
        <v>0</v>
      </c>
      <c r="G94" s="9" t="n">
        <f aca="false">MAX(0,G13-G93)</f>
        <v>0</v>
      </c>
      <c r="H94" s="9" t="n">
        <f aca="false">MAX(0,H13-H93)</f>
        <v>0</v>
      </c>
    </row>
    <row r="95" customFormat="false" ht="15" hidden="false" customHeight="false" outlineLevel="0" collapsed="false">
      <c r="A95" s="4" t="s">
        <v>568</v>
      </c>
      <c r="D95" s="9" t="n">
        <f aca="false">MAX(0,D93+D94-D13)</f>
        <v>0</v>
      </c>
      <c r="E95" s="9" t="n">
        <f aca="false">MAX(0,E93+E94-E13)</f>
        <v>0</v>
      </c>
      <c r="F95" s="9" t="n">
        <f aca="false">MAX(0,F93+F94-F13)</f>
        <v>343.791099627102</v>
      </c>
      <c r="G95" s="9" t="n">
        <f aca="false">MAX(0,G93+G94-G13)</f>
        <v>734.14669726214</v>
      </c>
      <c r="H95" s="9" t="n">
        <f aca="false">MAX(0,H93+H94-H13)</f>
        <v>1149.48251820095</v>
      </c>
    </row>
    <row r="96" customFormat="false" ht="15" hidden="false" customHeight="false" outlineLevel="0" collapsed="false">
      <c r="A96" s="4" t="s">
        <v>569</v>
      </c>
      <c r="D96" s="9" t="n">
        <f aca="false">(D18-D20+D94)-MIN(D95,D18-D20+D94)</f>
        <v>2762.22948062424</v>
      </c>
      <c r="E96" s="9" t="n">
        <f aca="false">(E18-E20+E94)-MIN(E95,E18-E20+E94)</f>
        <v>2915.47967638997</v>
      </c>
      <c r="F96" s="9" t="n">
        <f aca="false">(F18-F20+F94)-MIN(F95,F18-F20+F94)</f>
        <v>2571.67509434444</v>
      </c>
      <c r="G96" s="9" t="n">
        <f aca="false">(G18-G20+G94)-MIN(G95,G18-G20+G94)</f>
        <v>1837.47811824756</v>
      </c>
      <c r="H96" s="9" t="n">
        <f aca="false">(H18-H20+H94)-MIN(H95,H18-H20+H94)</f>
        <v>687.917242779906</v>
      </c>
    </row>
    <row r="97" customFormat="false" ht="15" hidden="false" customHeight="false" outlineLevel="0" collapsed="false">
      <c r="A97" s="4" t="s">
        <v>570</v>
      </c>
      <c r="D97" s="9" t="n">
        <f aca="false">(D37-D39)-MIN(D95-(D18-D20+D94-D96),D37-D39)</f>
        <v>9994.8</v>
      </c>
      <c r="E97" s="9" t="n">
        <f aca="false">(E37-E39)-MIN(E95-(E18-E20+E94-E96),E37-E39)</f>
        <v>9994.8</v>
      </c>
      <c r="F97" s="9" t="n">
        <f aca="false">(F37-F39)-MIN(F95-(F18-F20+F94-F96),F37-F39)</f>
        <v>9994.8</v>
      </c>
      <c r="G97" s="9" t="n">
        <f aca="false">(G37-G39)-MIN(G95-(G18-G20+G94-G96),G37-G39)</f>
        <v>9994.8</v>
      </c>
      <c r="H97" s="9" t="n">
        <f aca="false">(H37-H39)-MIN(H95-(H18-H20+H94-H96),H37-H39)</f>
        <v>9994.8</v>
      </c>
    </row>
    <row r="98" customFormat="false" ht="15" hidden="false" customHeight="false" outlineLevel="0" collapsed="false">
      <c r="A98" s="4" t="s">
        <v>571</v>
      </c>
      <c r="D98" s="9" t="n">
        <f aca="false">(D18+D96)/2*Assumptions!$C$63+(D29+D32)/2*Assumptions!$C$64+(D37+D97)/2*Assumptions!$C$65+(D47+D50)/2*Assumptions!$C$66</f>
        <v>450.428542209364</v>
      </c>
      <c r="E98" s="9" t="n">
        <f aca="false">(E18+E96)/2*Assumptions!$C$63+(E29+E32)/2*Assumptions!$C$64+(E37+E97)/2*Assumptions!$C$65+(E47+E50)/2*Assumptions!$C$66</f>
        <v>455.264134971179</v>
      </c>
      <c r="F98" s="9" t="n">
        <f aca="false">(F18+F96)/2*Assumptions!$C$63+(F29+F32)/2*Assumptions!$C$64+(F37+F97)/2*Assumptions!$C$65+(F47+F50)/2*Assumptions!$C$66</f>
        <v>452.40571932474</v>
      </c>
      <c r="G98" s="9" t="n">
        <f aca="false">(G18+G96)/2*Assumptions!$C$63+(G29+G32)/2*Assumptions!$C$64+(G37+G97)/2*Assumptions!$C$65+(G47+G50)/2*Assumptions!$C$66</f>
        <v>436.235144006359</v>
      </c>
      <c r="H98" s="9" t="n">
        <f aca="false">(H18+H96)/2*Assumptions!$C$63+(H29+H32)/2*Assumptions!$C$64+(H37+H97)/2*Assumptions!$C$65+(H47+H50)/2*Assumptions!$C$66</f>
        <v>407.978355056411</v>
      </c>
    </row>
    <row r="99" customFormat="false" ht="15" hidden="false" customHeight="false" outlineLevel="0" collapsed="false">
      <c r="A99" s="4" t="s">
        <v>572</v>
      </c>
      <c r="D99" s="9" t="n">
        <f aca="false">D93+D94-D95</f>
        <v>6499.84692</v>
      </c>
      <c r="E99" s="9" t="n">
        <f aca="false">E93+E94-E95</f>
        <v>7286.978382012</v>
      </c>
      <c r="F99" s="9" t="n">
        <f aca="false">F93+F94-F95</f>
        <v>7934.06206233466</v>
      </c>
      <c r="G99" s="9" t="n">
        <f aca="false">G93+G94-G95</f>
        <v>8446.60247156148</v>
      </c>
      <c r="H99" s="9" t="n">
        <f aca="false">H93+H94-H95</f>
        <v>8856.26269143222</v>
      </c>
    </row>
    <row r="100" customFormat="false" ht="15" hidden="false" customHeight="false" outlineLevel="0" collapsed="false">
      <c r="A100" s="4" t="s">
        <v>573</v>
      </c>
      <c r="D100" s="9" t="n">
        <f aca="false">(D6+D99)/2*Assumptions!$C$67</f>
        <v>74.23408152</v>
      </c>
      <c r="E100" s="9" t="n">
        <f aca="false">(E6+E99)/2*Assumptions!$C$67</f>
        <v>82.720951812072</v>
      </c>
      <c r="F100" s="9" t="n">
        <f aca="false">(F6+F99)/2*Assumptions!$C$67</f>
        <v>91.32624266608</v>
      </c>
      <c r="G100" s="9" t="n">
        <f aca="false">(G6+G99)/2*Assumptions!$C$67</f>
        <v>98.2839872033769</v>
      </c>
      <c r="H100" s="9" t="n">
        <f aca="false">(H6+H99)/2*Assumptions!$C$67</f>
        <v>103.817190977962</v>
      </c>
    </row>
    <row r="101" customFormat="false" ht="15" hidden="false" customHeight="false" outlineLevel="0" collapsed="false">
      <c r="A101" s="4" t="s">
        <v>574</v>
      </c>
      <c r="D101" s="9" t="n">
        <f aca="false">D98-D100+D66</f>
        <v>406.194460689364</v>
      </c>
      <c r="E101" s="9" t="n">
        <f aca="false">E98-E100+E66</f>
        <v>402.543183159107</v>
      </c>
      <c r="F101" s="9" t="n">
        <f aca="false">F98-F100+F66</f>
        <v>391.07947665866</v>
      </c>
      <c r="G101" s="9" t="n">
        <f aca="false">G98-G100+G66</f>
        <v>367.951156802982</v>
      </c>
      <c r="H101" s="9" t="n">
        <f aca="false">H98-H100+H66</f>
        <v>334.161164078449</v>
      </c>
    </row>
    <row r="102" customFormat="false" ht="15" hidden="false" customHeight="false" outlineLevel="0" collapsed="false">
      <c r="A102" s="10" t="s">
        <v>575</v>
      </c>
      <c r="D102" s="53" t="n">
        <f aca="false">ABS(D98-D88)+ABS(D100-D89)</f>
        <v>0.0111069892462865</v>
      </c>
      <c r="E102" s="53" t="n">
        <f aca="false">ABS(E98-E88)+ABS(E100-E89)</f>
        <v>0.0219393206188556</v>
      </c>
      <c r="F102" s="53" t="n">
        <f aca="false">ABS(F98-F88)+ABS(F100-F89)</f>
        <v>0.0818164398288559</v>
      </c>
      <c r="G102" s="53" t="n">
        <f aca="false">ABS(G98-G88)+ABS(G100-G89)</f>
        <v>0.127507183251282</v>
      </c>
      <c r="H102" s="53" t="n">
        <f aca="false">ABS(H98-H88)+ABS(H100-H89)</f>
        <v>0.178308931650861</v>
      </c>
    </row>
    <row r="103" customFormat="false" ht="15.75" hidden="false" customHeight="true" outlineLevel="0" collapsed="false">
      <c r="A103" s="52" t="s">
        <v>576</v>
      </c>
      <c r="B103" s="52"/>
      <c r="C103" s="52"/>
      <c r="D103" s="52"/>
      <c r="E103" s="52"/>
      <c r="F103" s="52"/>
      <c r="G103" s="52"/>
      <c r="H103" s="52"/>
      <c r="I103" s="52"/>
      <c r="J103" s="52"/>
    </row>
    <row r="104" customFormat="false" ht="15" hidden="false" customHeight="false" outlineLevel="0" collapsed="false">
      <c r="A104" s="4" t="s">
        <v>577</v>
      </c>
      <c r="D104" s="9" t="n">
        <f aca="false">D98</f>
        <v>450.428542209364</v>
      </c>
      <c r="E104" s="9" t="n">
        <f aca="false">E98</f>
        <v>455.264134971179</v>
      </c>
      <c r="F104" s="9" t="n">
        <f aca="false">F98</f>
        <v>452.40571932474</v>
      </c>
      <c r="G104" s="9" t="n">
        <f aca="false">G98</f>
        <v>436.235144006359</v>
      </c>
      <c r="H104" s="9" t="n">
        <f aca="false">H98</f>
        <v>407.978355056411</v>
      </c>
    </row>
    <row r="105" customFormat="false" ht="15" hidden="false" customHeight="false" outlineLevel="0" collapsed="false">
      <c r="A105" s="4" t="s">
        <v>578</v>
      </c>
      <c r="D105" s="9" t="n">
        <f aca="false">D100</f>
        <v>74.23408152</v>
      </c>
      <c r="E105" s="9" t="n">
        <f aca="false">E100</f>
        <v>82.720951812072</v>
      </c>
      <c r="F105" s="9" t="n">
        <f aca="false">F100</f>
        <v>91.32624266608</v>
      </c>
      <c r="G105" s="9" t="n">
        <f aca="false">G100</f>
        <v>98.2839872033769</v>
      </c>
      <c r="H105" s="9" t="n">
        <f aca="false">H100</f>
        <v>103.817190977962</v>
      </c>
    </row>
    <row r="106" customFormat="false" ht="15" hidden="false" customHeight="false" outlineLevel="0" collapsed="false">
      <c r="A106" s="4" t="s">
        <v>579</v>
      </c>
      <c r="D106" s="9" t="n">
        <f aca="false">D104-D105+D66</f>
        <v>406.194460689364</v>
      </c>
      <c r="E106" s="9" t="n">
        <f aca="false">E104-E105+E66</f>
        <v>402.543183159107</v>
      </c>
      <c r="F106" s="9" t="n">
        <f aca="false">F104-F105+F66</f>
        <v>391.07947665866</v>
      </c>
      <c r="G106" s="9" t="n">
        <f aca="false">G104-G105+G66</f>
        <v>367.951156802982</v>
      </c>
      <c r="H106" s="9" t="n">
        <f aca="false">H104-H105+H66</f>
        <v>334.161164078449</v>
      </c>
    </row>
    <row r="107" customFormat="false" ht="15" hidden="false" customHeight="false" outlineLevel="0" collapsed="false">
      <c r="A107" s="4" t="s">
        <v>580</v>
      </c>
      <c r="D107" s="9" t="n">
        <f aca="false">(IS!D7-IS!D9-IS!D10-IS!D11-IS!D12+IS!D14+IS!D16-D106)*(1-Assumptions!C$33)*(1-Assumptions!C$34)</f>
        <v>451.943432210541</v>
      </c>
      <c r="E107" s="9" t="n">
        <f aca="false">(IS!E7-IS!E9-IS!E10-IS!E11-IS!E12+IS!E14+IS!E16-E106)*(1-Assumptions!D$33)*(1-Assumptions!D$34)</f>
        <v>506.809861212465</v>
      </c>
      <c r="F107" s="9" t="n">
        <f aca="false">(IS!F7-IS!F9-IS!F10-IS!F11-IS!F12+IS!F14+IS!F16-F106)*(1-Assumptions!E$33)*(1-Assumptions!E$34)</f>
        <v>557.06708178036</v>
      </c>
      <c r="G107" s="9" t="n">
        <f aca="false">(IS!G7-IS!G9-IS!G10-IS!G11-IS!G12+IS!G14+IS!G16-G106)*(1-Assumptions!F$33)*(1-Assumptions!F$34)</f>
        <v>605.428904466146</v>
      </c>
      <c r="H107" s="9" t="n">
        <f aca="false">(IS!H7-IS!H9-IS!H10-IS!H11-IS!H12+IS!H14+IS!H16-H106)*(1-Assumptions!G$33)*(1-Assumptions!G$34)</f>
        <v>653.402235660246</v>
      </c>
    </row>
    <row r="108" customFormat="false" ht="15" hidden="false" customHeight="false" outlineLevel="0" collapsed="false">
      <c r="A108" s="4" t="s">
        <v>581</v>
      </c>
      <c r="D108" s="9" t="n">
        <f aca="false">D107+PPE!D19+D104-Schedules!D18</f>
        <v>4580.18211484889</v>
      </c>
      <c r="E108" s="9" t="n">
        <f aca="false">E107+PPE!E19+E104-Schedules!E18</f>
        <v>4527.30954727982</v>
      </c>
      <c r="F108" s="9" t="n">
        <f aca="false">F107+PPE!F19+F104-Schedules!F18</f>
        <v>4532.09554206625</v>
      </c>
      <c r="G108" s="9" t="n">
        <f aca="false">G107+PPE!G19+G104-Schedules!G18</f>
        <v>4511.26782956265</v>
      </c>
      <c r="H108" s="9" t="n">
        <f aca="false">H107+PPE!H19+H104-Schedules!H18</f>
        <v>4445.97376474043</v>
      </c>
    </row>
    <row r="109" customFormat="false" ht="15" hidden="false" customHeight="false" outlineLevel="0" collapsed="false">
      <c r="A109" s="4" t="s">
        <v>582</v>
      </c>
      <c r="D109" s="9" t="n">
        <f aca="false">D6+D108+D8+D9-D104+D11</f>
        <v>6330.72420263953</v>
      </c>
      <c r="E109" s="9" t="n">
        <f aca="false">E6+E108+E8+E9-E104+E11</f>
        <v>7133.73471992698</v>
      </c>
      <c r="F109" s="9" t="n">
        <f aca="false">F6+F108+F8+F9-F104+F11</f>
        <v>8277.90298159794</v>
      </c>
      <c r="G109" s="9" t="n">
        <f aca="false">G6+G108+G8+G9-G104+G11</f>
        <v>9180.82681045032</v>
      </c>
      <c r="H109" s="9" t="n">
        <f aca="false">H6+H108+H8+H9-H104+H11</f>
        <v>10005.8537854416</v>
      </c>
    </row>
    <row r="110" customFormat="false" ht="15" hidden="false" customHeight="false" outlineLevel="0" collapsed="false">
      <c r="A110" s="4" t="s">
        <v>583</v>
      </c>
      <c r="D110" s="9" t="n">
        <f aca="false">MAX(0,D13-D109)</f>
        <v>169.122717360471</v>
      </c>
      <c r="E110" s="9" t="n">
        <f aca="false">MAX(0,E13-E109)</f>
        <v>153.243662085023</v>
      </c>
      <c r="F110" s="9" t="n">
        <f aca="false">MAX(0,F13-F109)</f>
        <v>0</v>
      </c>
      <c r="G110" s="9" t="n">
        <f aca="false">MAX(0,G13-G109)</f>
        <v>0</v>
      </c>
      <c r="H110" s="9" t="n">
        <f aca="false">MAX(0,H13-H109)</f>
        <v>0</v>
      </c>
    </row>
    <row r="111" customFormat="false" ht="15" hidden="false" customHeight="false" outlineLevel="0" collapsed="false">
      <c r="A111" s="4" t="s">
        <v>584</v>
      </c>
      <c r="D111" s="9" t="n">
        <f aca="false">MAX(0,D109+D110-D13)</f>
        <v>0</v>
      </c>
      <c r="E111" s="9" t="n">
        <f aca="false">MAX(0,E109+E110-E13)</f>
        <v>0</v>
      </c>
      <c r="F111" s="9" t="n">
        <f aca="false">MAX(0,F109+F110-F13)</f>
        <v>343.840919263272</v>
      </c>
      <c r="G111" s="9" t="n">
        <f aca="false">MAX(0,G109+G110-G13)</f>
        <v>734.224338888833</v>
      </c>
      <c r="H111" s="9" t="n">
        <f aca="false">MAX(0,H109+H110-H13)</f>
        <v>1149.59109400942</v>
      </c>
    </row>
    <row r="112" customFormat="false" ht="15" hidden="false" customHeight="false" outlineLevel="0" collapsed="false">
      <c r="A112" s="4" t="s">
        <v>585</v>
      </c>
      <c r="D112" s="9" t="n">
        <f aca="false">(D18-D20+D110)-MIN(D111,D18-D20+D110)</f>
        <v>2762.22271736047</v>
      </c>
      <c r="E112" s="9" t="n">
        <f aca="false">(E18-E20+E110)-MIN(E111,E18-E20+E110)</f>
        <v>2915.466317107</v>
      </c>
      <c r="F112" s="9" t="n">
        <f aca="false">(F18-F20+F110)-MIN(F111,F18-F20+F110)</f>
        <v>2571.62527470827</v>
      </c>
      <c r="G112" s="9" t="n">
        <f aca="false">(G18-G20+G110)-MIN(G111,G18-G20+G110)</f>
        <v>1837.40047662086</v>
      </c>
      <c r="H112" s="9" t="n">
        <f aca="false">(H18-H20+H110)-MIN(H111,H18-H20+H110)</f>
        <v>687.808666971434</v>
      </c>
    </row>
    <row r="113" customFormat="false" ht="15" hidden="false" customHeight="false" outlineLevel="0" collapsed="false">
      <c r="A113" s="4" t="s">
        <v>586</v>
      </c>
      <c r="D113" s="9" t="n">
        <f aca="false">(D37-D39)-MIN(D111-(D18-D20+D110-D112),D37-D39)</f>
        <v>9994.8</v>
      </c>
      <c r="E113" s="9" t="n">
        <f aca="false">(E37-E39)-MIN(E111-(E18-E20+E110-E112),E37-E39)</f>
        <v>9994.8</v>
      </c>
      <c r="F113" s="9" t="n">
        <f aca="false">(F37-F39)-MIN(F111-(F18-F20+F110-F112),F37-F39)</f>
        <v>9994.8</v>
      </c>
      <c r="G113" s="9" t="n">
        <f aca="false">(G37-G39)-MIN(G111-(G18-G20+G110-G112),G37-G39)</f>
        <v>9994.8</v>
      </c>
      <c r="H113" s="9" t="n">
        <f aca="false">(H37-H39)-MIN(H111-(H18-H20+H110-H112),H37-H39)</f>
        <v>9994.8</v>
      </c>
    </row>
    <row r="114" customFormat="false" ht="15" hidden="false" customHeight="false" outlineLevel="0" collapsed="false">
      <c r="A114" s="4" t="s">
        <v>587</v>
      </c>
      <c r="D114" s="9" t="n">
        <f aca="false">(D18+D112)/2*Assumptions!$C$63+(D29+D32)/2*Assumptions!$C$64+(D37+D113)/2*Assumptions!$C$65+(D47+D50)/2*Assumptions!$C$66</f>
        <v>450.428440760407</v>
      </c>
      <c r="E114" s="9" t="n">
        <f aca="false">(E18+E112)/2*Assumptions!$C$63+(E29+E32)/2*Assumptions!$C$64+(E37+E113)/2*Assumptions!$C$65+(E47+E50)/2*Assumptions!$C$66</f>
        <v>455.263934581935</v>
      </c>
      <c r="F114" s="9" t="n">
        <f aca="false">(F18+F112)/2*Assumptions!$C$63+(F29+F32)/2*Assumptions!$C$64+(F37+F113)/2*Assumptions!$C$65+(F47+F50)/2*Assumptions!$C$66</f>
        <v>452.404972030197</v>
      </c>
      <c r="G114" s="9" t="n">
        <f aca="false">(G18+G112)/2*Assumptions!$C$63+(G29+G32)/2*Assumptions!$C$64+(G37+G113)/2*Assumptions!$C$65+(G47+G50)/2*Assumptions!$C$66</f>
        <v>436.233979381958</v>
      </c>
      <c r="H114" s="9" t="n">
        <f aca="false">(H18+H112)/2*Assumptions!$C$63+(H29+H32)/2*Assumptions!$C$64+(H37+H113)/2*Assumptions!$C$65+(H47+H50)/2*Assumptions!$C$66</f>
        <v>407.976726419284</v>
      </c>
    </row>
    <row r="115" customFormat="false" ht="15" hidden="false" customHeight="false" outlineLevel="0" collapsed="false">
      <c r="A115" s="4" t="s">
        <v>588</v>
      </c>
      <c r="D115" s="9" t="n">
        <f aca="false">D109+D110-D111</f>
        <v>6499.84692</v>
      </c>
      <c r="E115" s="9" t="n">
        <f aca="false">E109+E110-E111</f>
        <v>7286.978382012</v>
      </c>
      <c r="F115" s="9" t="n">
        <f aca="false">F109+F110-F111</f>
        <v>7934.06206233466</v>
      </c>
      <c r="G115" s="9" t="n">
        <f aca="false">G109+G110-G111</f>
        <v>8446.60247156148</v>
      </c>
      <c r="H115" s="9" t="n">
        <f aca="false">H109+H110-H111</f>
        <v>8856.26269143222</v>
      </c>
    </row>
    <row r="116" customFormat="false" ht="15" hidden="false" customHeight="false" outlineLevel="0" collapsed="false">
      <c r="A116" s="4" t="s">
        <v>589</v>
      </c>
      <c r="D116" s="9" t="n">
        <f aca="false">(D6+D115)/2*Assumptions!$C$67</f>
        <v>74.23408152</v>
      </c>
      <c r="E116" s="9" t="n">
        <f aca="false">(E6+E115)/2*Assumptions!$C$67</f>
        <v>82.720951812072</v>
      </c>
      <c r="F116" s="9" t="n">
        <f aca="false">(F6+F115)/2*Assumptions!$C$67</f>
        <v>91.32624266608</v>
      </c>
      <c r="G116" s="9" t="n">
        <f aca="false">(G6+G115)/2*Assumptions!$C$67</f>
        <v>98.2839872033769</v>
      </c>
      <c r="H116" s="9" t="n">
        <f aca="false">(H6+H115)/2*Assumptions!$C$67</f>
        <v>103.817190977962</v>
      </c>
    </row>
    <row r="117" customFormat="false" ht="15" hidden="false" customHeight="false" outlineLevel="0" collapsed="false">
      <c r="A117" s="4" t="s">
        <v>590</v>
      </c>
      <c r="D117" s="9" t="n">
        <f aca="false">D114-D116+D66</f>
        <v>406.194359240407</v>
      </c>
      <c r="E117" s="9" t="n">
        <f aca="false">E114-E116+E66</f>
        <v>402.542982769863</v>
      </c>
      <c r="F117" s="9" t="n">
        <f aca="false">F114-F116+F66</f>
        <v>391.078729364117</v>
      </c>
      <c r="G117" s="9" t="n">
        <f aca="false">G114-G116+G66</f>
        <v>367.949992178582</v>
      </c>
      <c r="H117" s="9" t="n">
        <f aca="false">H114-H116+H66</f>
        <v>334.159535441322</v>
      </c>
    </row>
    <row r="118" customFormat="false" ht="15" hidden="false" customHeight="false" outlineLevel="0" collapsed="false">
      <c r="A118" s="10" t="s">
        <v>591</v>
      </c>
      <c r="D118" s="53" t="n">
        <f aca="false">ABS(D114-D104)+ABS(D116-D105)</f>
        <v>0.00010144895651365</v>
      </c>
      <c r="E118" s="53" t="n">
        <f aca="false">ABS(E114-E104)+ABS(E116-E105)</f>
        <v>0.000200389244469079</v>
      </c>
      <c r="F118" s="53" t="n">
        <f aca="false">ABS(F114-F104)+ABS(F116-F105)</f>
        <v>0.000747294542520649</v>
      </c>
      <c r="G118" s="53" t="n">
        <f aca="false">ABS(G114-G104)+ABS(G116-G105)</f>
        <v>0.00116462440036003</v>
      </c>
      <c r="H118" s="53" t="n">
        <f aca="false">ABS(H114-H104)+ABS(H116-H105)</f>
        <v>0.00162863712711214</v>
      </c>
    </row>
    <row r="119" customFormat="false" ht="15.75" hidden="false" customHeight="true" outlineLevel="0" collapsed="false">
      <c r="A119" s="52" t="s">
        <v>592</v>
      </c>
      <c r="B119" s="52"/>
      <c r="C119" s="52"/>
      <c r="D119" s="52"/>
      <c r="E119" s="52"/>
      <c r="F119" s="52"/>
      <c r="G119" s="52"/>
      <c r="H119" s="52"/>
      <c r="I119" s="52"/>
      <c r="J119" s="52"/>
    </row>
    <row r="120" customFormat="false" ht="15" hidden="false" customHeight="false" outlineLevel="0" collapsed="false">
      <c r="A120" s="4" t="s">
        <v>593</v>
      </c>
      <c r="D120" s="9" t="n">
        <f aca="false">D114</f>
        <v>450.428440760407</v>
      </c>
      <c r="E120" s="9" t="n">
        <f aca="false">E114</f>
        <v>455.263934581935</v>
      </c>
      <c r="F120" s="9" t="n">
        <f aca="false">F114</f>
        <v>452.404972030197</v>
      </c>
      <c r="G120" s="9" t="n">
        <f aca="false">G114</f>
        <v>436.233979381958</v>
      </c>
      <c r="H120" s="9" t="n">
        <f aca="false">H114</f>
        <v>407.976726419284</v>
      </c>
    </row>
    <row r="121" customFormat="false" ht="15" hidden="false" customHeight="false" outlineLevel="0" collapsed="false">
      <c r="A121" s="4" t="s">
        <v>594</v>
      </c>
      <c r="D121" s="9" t="n">
        <f aca="false">D116</f>
        <v>74.23408152</v>
      </c>
      <c r="E121" s="9" t="n">
        <f aca="false">E116</f>
        <v>82.720951812072</v>
      </c>
      <c r="F121" s="9" t="n">
        <f aca="false">F116</f>
        <v>91.32624266608</v>
      </c>
      <c r="G121" s="9" t="n">
        <f aca="false">G116</f>
        <v>98.2839872033769</v>
      </c>
      <c r="H121" s="9" t="n">
        <f aca="false">H116</f>
        <v>103.817190977962</v>
      </c>
    </row>
    <row r="122" customFormat="false" ht="15" hidden="false" customHeight="false" outlineLevel="0" collapsed="false">
      <c r="A122" s="4" t="s">
        <v>595</v>
      </c>
      <c r="D122" s="9" t="n">
        <f aca="false">D120-D121+D66</f>
        <v>406.194359240407</v>
      </c>
      <c r="E122" s="9" t="n">
        <f aca="false">E120-E121+E66</f>
        <v>402.542982769863</v>
      </c>
      <c r="F122" s="9" t="n">
        <f aca="false">F120-F121+F66</f>
        <v>391.078729364117</v>
      </c>
      <c r="G122" s="9" t="n">
        <f aca="false">G120-G121+G66</f>
        <v>367.949992178582</v>
      </c>
      <c r="H122" s="9" t="n">
        <f aca="false">H120-H121+H66</f>
        <v>334.159535441322</v>
      </c>
    </row>
    <row r="123" customFormat="false" ht="15" hidden="false" customHeight="false" outlineLevel="0" collapsed="false">
      <c r="A123" s="4" t="s">
        <v>596</v>
      </c>
      <c r="D123" s="9" t="n">
        <f aca="false">(IS!D7-IS!D9-IS!D10-IS!D11-IS!D12+IS!D14+IS!D16-D122)*(1-Assumptions!C$33)*(1-Assumptions!C$34)</f>
        <v>451.943493984802</v>
      </c>
      <c r="E123" s="9" t="n">
        <f aca="false">(IS!E7-IS!E9-IS!E10-IS!E11-IS!E12+IS!E14+IS!E16-E122)*(1-Assumptions!D$33)*(1-Assumptions!D$34)</f>
        <v>506.80998323341</v>
      </c>
      <c r="F123" s="9" t="n">
        <f aca="false">(IS!F7-IS!F9-IS!F10-IS!F11-IS!F12+IS!F14+IS!F16-F122)*(1-Assumptions!E$33)*(1-Assumptions!E$34)</f>
        <v>557.067536822676</v>
      </c>
      <c r="G123" s="9" t="n">
        <f aca="false">(IS!G7-IS!G9-IS!G10-IS!G11-IS!G12+IS!G14+IS!G16-G122)*(1-Assumptions!F$33)*(1-Assumptions!F$34)</f>
        <v>605.429613628804</v>
      </c>
      <c r="H123" s="9" t="n">
        <f aca="false">(IS!H7-IS!H9-IS!H10-IS!H11-IS!H12+IS!H14+IS!H16-H122)*(1-Assumptions!G$33)*(1-Assumptions!G$34)</f>
        <v>653.403227369361</v>
      </c>
    </row>
    <row r="124" customFormat="false" ht="15" hidden="false" customHeight="false" outlineLevel="0" collapsed="false">
      <c r="A124" s="4" t="s">
        <v>597</v>
      </c>
      <c r="D124" s="9" t="n">
        <f aca="false">D123+PPE!D19+D120-Schedules!D18</f>
        <v>4580.18207517419</v>
      </c>
      <c r="E124" s="9" t="n">
        <f aca="false">E123+PPE!E19+E120-Schedules!E18</f>
        <v>4527.30946891151</v>
      </c>
      <c r="F124" s="9" t="n">
        <f aca="false">F123+PPE!F19+F120-Schedules!F18</f>
        <v>4532.09524981402</v>
      </c>
      <c r="G124" s="9" t="n">
        <f aca="false">G123+PPE!G19+G120-Schedules!G18</f>
        <v>4511.26737410091</v>
      </c>
      <c r="H124" s="9" t="n">
        <f aca="false">H123+PPE!H19+H120-Schedules!H18</f>
        <v>4445.97312781242</v>
      </c>
    </row>
    <row r="125" customFormat="false" ht="15" hidden="false" customHeight="false" outlineLevel="0" collapsed="false">
      <c r="A125" s="4" t="s">
        <v>598</v>
      </c>
      <c r="D125" s="9" t="n">
        <f aca="false">D6+D124+D8+D9-D120+D11</f>
        <v>6330.72426441379</v>
      </c>
      <c r="E125" s="9" t="n">
        <f aca="false">E6+E124+E8+E9-E120+E11</f>
        <v>7133.73484194792</v>
      </c>
      <c r="F125" s="9" t="n">
        <f aca="false">F6+F124+F8+F9-F120+F11</f>
        <v>8277.90343664025</v>
      </c>
      <c r="G125" s="9" t="n">
        <f aca="false">G6+G124+G8+G9-G120+G11</f>
        <v>9180.82751961297</v>
      </c>
      <c r="H125" s="9" t="n">
        <f aca="false">H6+H124+H8+H9-H120+H11</f>
        <v>10005.8547771508</v>
      </c>
    </row>
    <row r="126" customFormat="false" ht="15" hidden="false" customHeight="false" outlineLevel="0" collapsed="false">
      <c r="A126" s="4" t="s">
        <v>599</v>
      </c>
      <c r="D126" s="9" t="n">
        <f aca="false">MAX(0,D13-D125)</f>
        <v>169.122655586211</v>
      </c>
      <c r="E126" s="9" t="n">
        <f aca="false">MAX(0,E13-E125)</f>
        <v>153.243540064079</v>
      </c>
      <c r="F126" s="9" t="n">
        <f aca="false">MAX(0,F13-F125)</f>
        <v>0</v>
      </c>
      <c r="G126" s="9" t="n">
        <f aca="false">MAX(0,G13-G125)</f>
        <v>0</v>
      </c>
      <c r="H126" s="9" t="n">
        <f aca="false">MAX(0,H13-H125)</f>
        <v>0</v>
      </c>
    </row>
    <row r="127" customFormat="false" ht="15" hidden="false" customHeight="false" outlineLevel="0" collapsed="false">
      <c r="A127" s="4" t="s">
        <v>600</v>
      </c>
      <c r="D127" s="9" t="n">
        <f aca="false">MAX(0,D125+D126-D13)</f>
        <v>0</v>
      </c>
      <c r="E127" s="9" t="n">
        <f aca="false">MAX(0,E125+E126-E13)</f>
        <v>0</v>
      </c>
      <c r="F127" s="9" t="n">
        <f aca="false">MAX(0,F125+F126-F13)</f>
        <v>343.841374305588</v>
      </c>
      <c r="G127" s="9" t="n">
        <f aca="false">MAX(0,G125+G126-G13)</f>
        <v>734.225048051492</v>
      </c>
      <c r="H127" s="9" t="n">
        <f aca="false">MAX(0,H125+H126-H13)</f>
        <v>1149.59208571854</v>
      </c>
    </row>
    <row r="128" customFormat="false" ht="15" hidden="false" customHeight="false" outlineLevel="0" collapsed="false">
      <c r="A128" s="4" t="s">
        <v>601</v>
      </c>
      <c r="D128" s="9" t="n">
        <f aca="false">(D18-D20+D126)-MIN(D127,D18-D20+D126)</f>
        <v>2762.22265558621</v>
      </c>
      <c r="E128" s="9" t="n">
        <f aca="false">(E18-E20+E126)-MIN(E127,E18-E20+E126)</f>
        <v>2915.46619508606</v>
      </c>
      <c r="F128" s="9" t="n">
        <f aca="false">(F18-F20+F126)-MIN(F127,F18-F20+F126)</f>
        <v>2571.62481966596</v>
      </c>
      <c r="G128" s="9" t="n">
        <f aca="false">(G18-G20+G126)-MIN(G127,G18-G20+G126)</f>
        <v>1837.3997674582</v>
      </c>
      <c r="H128" s="9" t="n">
        <f aca="false">(H18-H20+H126)-MIN(H127,H18-H20+H126)</f>
        <v>687.807675262321</v>
      </c>
    </row>
    <row r="129" customFormat="false" ht="15" hidden="false" customHeight="false" outlineLevel="0" collapsed="false">
      <c r="A129" s="4" t="s">
        <v>602</v>
      </c>
      <c r="D129" s="9" t="n">
        <f aca="false">(D37-D39)-MIN(D127-(D18-D20+D126-D128),D37-D39)</f>
        <v>9994.8</v>
      </c>
      <c r="E129" s="9" t="n">
        <f aca="false">(E37-E39)-MIN(E127-(E18-E20+E126-E128),E37-E39)</f>
        <v>9994.8</v>
      </c>
      <c r="F129" s="9" t="n">
        <f aca="false">(F37-F39)-MIN(F127-(F18-F20+F126-F128),F37-F39)</f>
        <v>9994.8</v>
      </c>
      <c r="G129" s="9" t="n">
        <f aca="false">(G37-G39)-MIN(G127-(G18-G20+G126-G128),G37-G39)</f>
        <v>9994.8</v>
      </c>
      <c r="H129" s="9" t="n">
        <f aca="false">(H37-H39)-MIN(H127-(H18-H20+H126-H128),H37-H39)</f>
        <v>9994.8</v>
      </c>
    </row>
    <row r="130" customFormat="false" ht="15" hidden="false" customHeight="false" outlineLevel="0" collapsed="false">
      <c r="A130" s="4" t="s">
        <v>603</v>
      </c>
      <c r="D130" s="9" t="n">
        <f aca="false">(D18+D128)/2*Assumptions!$C$63+(D29+D32)/2*Assumptions!$C$64+(D37+D129)/2*Assumptions!$C$65+(D47+D50)/2*Assumptions!$C$66</f>
        <v>450.428439833793</v>
      </c>
      <c r="E130" s="9" t="n">
        <f aca="false">(E18+E128)/2*Assumptions!$C$63+(E29+E32)/2*Assumptions!$C$64+(E37+E129)/2*Assumptions!$C$65+(E47+E50)/2*Assumptions!$C$66</f>
        <v>455.263932751621</v>
      </c>
      <c r="F130" s="9" t="n">
        <f aca="false">(F18+F128)/2*Assumptions!$C$63+(F29+F32)/2*Assumptions!$C$64+(F37+F129)/2*Assumptions!$C$65+(F47+F50)/2*Assumptions!$C$66</f>
        <v>452.404965204562</v>
      </c>
      <c r="G130" s="9" t="n">
        <f aca="false">(G18+G128)/2*Assumptions!$C$63+(G29+G32)/2*Assumptions!$C$64+(G37+G129)/2*Assumptions!$C$65+(G47+G50)/2*Assumptions!$C$66</f>
        <v>436.233968744518</v>
      </c>
      <c r="H130" s="9" t="n">
        <f aca="false">(H18+H128)/2*Assumptions!$C$63+(H29+H32)/2*Assumptions!$C$64+(H37+H129)/2*Assumptions!$C$65+(H47+H50)/2*Assumptions!$C$66</f>
        <v>407.976711543648</v>
      </c>
    </row>
    <row r="131" customFormat="false" ht="15" hidden="false" customHeight="false" outlineLevel="0" collapsed="false">
      <c r="A131" s="4" t="s">
        <v>604</v>
      </c>
      <c r="D131" s="9" t="n">
        <f aca="false">D125+D126-D127</f>
        <v>6499.84692</v>
      </c>
      <c r="E131" s="9" t="n">
        <f aca="false">E125+E126-E127</f>
        <v>7286.978382012</v>
      </c>
      <c r="F131" s="9" t="n">
        <f aca="false">F125+F126-F127</f>
        <v>7934.06206233466</v>
      </c>
      <c r="G131" s="9" t="n">
        <f aca="false">G125+G126-G127</f>
        <v>8446.60247156148</v>
      </c>
      <c r="H131" s="9" t="n">
        <f aca="false">H125+H126-H127</f>
        <v>8856.26269143222</v>
      </c>
    </row>
    <row r="132" customFormat="false" ht="15" hidden="false" customHeight="false" outlineLevel="0" collapsed="false">
      <c r="A132" s="4" t="s">
        <v>605</v>
      </c>
      <c r="D132" s="9" t="n">
        <f aca="false">(D6+D131)/2*Assumptions!$C$67</f>
        <v>74.23408152</v>
      </c>
      <c r="E132" s="9" t="n">
        <f aca="false">(E6+E131)/2*Assumptions!$C$67</f>
        <v>82.720951812072</v>
      </c>
      <c r="F132" s="9" t="n">
        <f aca="false">(F6+F131)/2*Assumptions!$C$67</f>
        <v>91.32624266608</v>
      </c>
      <c r="G132" s="9" t="n">
        <f aca="false">(G6+G131)/2*Assumptions!$C$67</f>
        <v>98.2839872033769</v>
      </c>
      <c r="H132" s="9" t="n">
        <f aca="false">(H6+H131)/2*Assumptions!$C$67</f>
        <v>103.817190977962</v>
      </c>
    </row>
    <row r="133" customFormat="false" ht="15" hidden="false" customHeight="false" outlineLevel="0" collapsed="false">
      <c r="A133" s="4" t="s">
        <v>606</v>
      </c>
      <c r="D133" s="9" t="n">
        <f aca="false">D130-D132+D66</f>
        <v>406.194358313793</v>
      </c>
      <c r="E133" s="9" t="n">
        <f aca="false">E130-E132+E66</f>
        <v>402.542980939549</v>
      </c>
      <c r="F133" s="9" t="n">
        <f aca="false">F130-F132+F66</f>
        <v>391.078722538482</v>
      </c>
      <c r="G133" s="9" t="n">
        <f aca="false">G130-G132+G66</f>
        <v>367.949981541142</v>
      </c>
      <c r="H133" s="9" t="n">
        <f aca="false">H130-H132+H66</f>
        <v>334.159520565685</v>
      </c>
    </row>
    <row r="134" customFormat="false" ht="15" hidden="false" customHeight="false" outlineLevel="0" collapsed="false">
      <c r="A134" s="10" t="s">
        <v>607</v>
      </c>
      <c r="D134" s="53" t="n">
        <f aca="false">ABS(D130-D120)+ABS(D132-D121)</f>
        <v>9.26613950014144E-007</v>
      </c>
      <c r="E134" s="53" t="n">
        <f aca="false">ABS(E130-E120)+ABS(E132-E121)</f>
        <v>1.83031414735524E-006</v>
      </c>
      <c r="F134" s="53" t="n">
        <f aca="false">ABS(F130-F120)+ABS(F132-F121)</f>
        <v>6.82563478449083E-006</v>
      </c>
      <c r="G134" s="53" t="n">
        <f aca="false">ABS(G130-G120)+ABS(G132-G121)</f>
        <v>1.06374399138076E-005</v>
      </c>
      <c r="H134" s="53" t="n">
        <f aca="false">ABS(H130-H120)+ABS(H132-H121)</f>
        <v>1.48756366797898E-005</v>
      </c>
    </row>
    <row r="136" customFormat="false" ht="15.75" hidden="false" customHeight="true" outlineLevel="0" collapsed="false">
      <c r="A136" s="26" t="s">
        <v>608</v>
      </c>
      <c r="B136" s="26"/>
      <c r="C136" s="26"/>
      <c r="D136" s="26"/>
      <c r="E136" s="26"/>
      <c r="F136" s="26"/>
      <c r="G136" s="26"/>
      <c r="H136" s="26"/>
      <c r="I136" s="26"/>
      <c r="J136" s="26"/>
    </row>
    <row r="137" customFormat="false" ht="15" hidden="false" customHeight="false" outlineLevel="0" collapsed="false">
      <c r="A137" s="5" t="s">
        <v>609</v>
      </c>
      <c r="D137" s="53" t="n">
        <f aca="false">ABS(D64-(D26+D34+D44+D52))</f>
        <v>8.46347347760457E-009</v>
      </c>
      <c r="E137" s="53" t="n">
        <f aca="false">ABS(E64-(E26+E34+E44+E52))</f>
        <v>1.67177631738014E-008</v>
      </c>
      <c r="F137" s="53" t="n">
        <f aca="false">ABS(F64-(F26+F34+F44+F52))</f>
        <v>6.23438722868741E-008</v>
      </c>
      <c r="G137" s="53" t="n">
        <f aca="false">ABS(G64-(G26+G34+G44+G52))</f>
        <v>9.71601821220247E-008</v>
      </c>
      <c r="H137" s="53" t="n">
        <f aca="false">ABS(H64-(H26+H34+H44+H52))</f>
        <v>1.35871061957005E-007</v>
      </c>
      <c r="I137" s="25" t="s">
        <v>610</v>
      </c>
    </row>
    <row r="138" customFormat="false" ht="15" hidden="false" customHeight="false" outlineLevel="0" collapsed="false">
      <c r="A138" s="5" t="s">
        <v>611</v>
      </c>
      <c r="D138" s="53" t="n">
        <f aca="false">ABS(D65-(D6+D63)/2*Assumptions!$C$67)</f>
        <v>0</v>
      </c>
      <c r="E138" s="53" t="n">
        <f aca="false">ABS(E65-(E6+E63)/2*Assumptions!$C$67)</f>
        <v>0</v>
      </c>
      <c r="F138" s="53" t="n">
        <f aca="false">ABS(F65-(F6+F63)/2*Assumptions!$C$67)</f>
        <v>0</v>
      </c>
      <c r="G138" s="53" t="n">
        <f aca="false">ABS(G65-(G6+G63)/2*Assumptions!$C$67)</f>
        <v>0</v>
      </c>
      <c r="H138" s="53" t="n">
        <f aca="false">ABS(H65-(H6+H63)/2*Assumptions!$C$67)</f>
        <v>0</v>
      </c>
      <c r="I138" s="25" t="s">
        <v>612</v>
      </c>
    </row>
    <row r="139" customFormat="false" ht="15" hidden="false" customHeight="false" outlineLevel="0" collapsed="false">
      <c r="A139" s="3" t="s">
        <v>613</v>
      </c>
      <c r="D139" s="54" t="n">
        <f aca="false">MAX(D137,D138)</f>
        <v>8.46347347760457E-009</v>
      </c>
      <c r="E139" s="54" t="n">
        <f aca="false">MAX(E137,E138)</f>
        <v>1.67177631738014E-008</v>
      </c>
      <c r="F139" s="54" t="n">
        <f aca="false">MAX(F137,F138)</f>
        <v>6.23438722868741E-008</v>
      </c>
      <c r="G139" s="54" t="n">
        <f aca="false">MAX(G137,G138)</f>
        <v>9.71601821220247E-008</v>
      </c>
      <c r="H139" s="54" t="n">
        <f aca="false">MAX(H137,H138)</f>
        <v>1.35871061957005E-007</v>
      </c>
      <c r="I139" s="25" t="s">
        <v>614</v>
      </c>
    </row>
    <row r="140" customFormat="false" ht="15" hidden="false" customHeight="false" outlineLevel="0" collapsed="false">
      <c r="A140" s="3" t="s">
        <v>615</v>
      </c>
      <c r="D140" s="55" t="b">
        <f aca="false">D139&lt;0.01</f>
        <v>1</v>
      </c>
      <c r="E140" s="55" t="b">
        <f aca="false">E139&lt;0.01</f>
        <v>1</v>
      </c>
      <c r="F140" s="55" t="b">
        <f aca="false">F139&lt;0.01</f>
        <v>1</v>
      </c>
      <c r="G140" s="55" t="b">
        <f aca="false">G139&lt;0.01</f>
        <v>1</v>
      </c>
      <c r="H140" s="55" t="b">
        <f aca="false">H139&lt;0.01</f>
        <v>1</v>
      </c>
      <c r="I140" s="25"/>
    </row>
  </sheetData>
  <mergeCells count="15">
    <mergeCell ref="A1:J1"/>
    <mergeCell ref="A2:J2"/>
    <mergeCell ref="A5:J5"/>
    <mergeCell ref="A17:J17"/>
    <mergeCell ref="A28:J28"/>
    <mergeCell ref="A36:J36"/>
    <mergeCell ref="A46:J46"/>
    <mergeCell ref="A54:J54"/>
    <mergeCell ref="A69:J69"/>
    <mergeCell ref="A70:I70"/>
    <mergeCell ref="A71:J71"/>
    <mergeCell ref="A87:J87"/>
    <mergeCell ref="A103:J103"/>
    <mergeCell ref="A119:J119"/>
    <mergeCell ref="A136:J1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7.3"/>
    <col collapsed="false" customWidth="true" hidden="false" outlineLevel="0" max="8" min="2" style="0" width="10.01"/>
    <col collapsed="false" customWidth="true" hidden="false" outlineLevel="0" max="9" min="9" style="0" width="54.59"/>
  </cols>
  <sheetData>
    <row r="1" customFormat="false" ht="24" hidden="false" customHeight="true" outlineLevel="0" collapsed="false">
      <c r="A1" s="14" t="s">
        <v>616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617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244</v>
      </c>
      <c r="B3" s="45" t="s">
        <v>245</v>
      </c>
      <c r="C3" s="45" t="s">
        <v>246</v>
      </c>
      <c r="D3" s="45" t="s">
        <v>115</v>
      </c>
      <c r="E3" s="45" t="s">
        <v>116</v>
      </c>
      <c r="F3" s="45" t="s">
        <v>117</v>
      </c>
      <c r="G3" s="45" t="s">
        <v>118</v>
      </c>
      <c r="H3" s="45" t="s">
        <v>119</v>
      </c>
      <c r="I3" s="3" t="s">
        <v>50</v>
      </c>
    </row>
    <row r="5" customFormat="false" ht="15" hidden="false" customHeight="false" outlineLevel="0" collapsed="false">
      <c r="A5" s="5" t="s">
        <v>363</v>
      </c>
      <c r="B5" s="36" t="n">
        <v>31.9</v>
      </c>
      <c r="C5" s="36" t="n">
        <v>32</v>
      </c>
      <c r="D5" s="9" t="n">
        <f aca="false">C5</f>
        <v>32</v>
      </c>
      <c r="E5" s="9" t="n">
        <f aca="false">D5</f>
        <v>32</v>
      </c>
      <c r="F5" s="9" t="n">
        <f aca="false">E5</f>
        <v>32</v>
      </c>
      <c r="G5" s="9" t="n">
        <f aca="false">F5</f>
        <v>32</v>
      </c>
      <c r="H5" s="9" t="n">
        <f aca="false">G5</f>
        <v>32</v>
      </c>
      <c r="I5" s="25" t="s">
        <v>618</v>
      </c>
    </row>
    <row r="6" customFormat="false" ht="15" hidden="false" customHeight="false" outlineLevel="0" collapsed="false">
      <c r="A6" s="5" t="s">
        <v>365</v>
      </c>
      <c r="B6" s="36" t="n">
        <v>14266.4</v>
      </c>
      <c r="C6" s="36" t="n">
        <v>14394.8</v>
      </c>
      <c r="D6" s="9" t="n">
        <f aca="false">C6</f>
        <v>14394.8</v>
      </c>
      <c r="E6" s="9" t="n">
        <f aca="false">D6</f>
        <v>14394.8</v>
      </c>
      <c r="F6" s="9" t="n">
        <f aca="false">E6</f>
        <v>14394.8</v>
      </c>
      <c r="G6" s="9" t="n">
        <f aca="false">F6</f>
        <v>14394.8</v>
      </c>
      <c r="H6" s="9" t="n">
        <f aca="false">G6</f>
        <v>14394.8</v>
      </c>
      <c r="I6" s="25" t="s">
        <v>321</v>
      </c>
    </row>
    <row r="7" customFormat="false" ht="15" hidden="false" customHeight="false" outlineLevel="0" collapsed="false">
      <c r="A7" s="5" t="s">
        <v>619</v>
      </c>
      <c r="B7" s="36" t="n">
        <v>0</v>
      </c>
      <c r="C7" s="36" t="n">
        <v>0</v>
      </c>
      <c r="D7" s="9" t="n">
        <f aca="false">C7</f>
        <v>0</v>
      </c>
      <c r="E7" s="9" t="n">
        <f aca="false">D7</f>
        <v>0</v>
      </c>
      <c r="F7" s="9" t="n">
        <f aca="false">E7</f>
        <v>0</v>
      </c>
      <c r="G7" s="9" t="n">
        <f aca="false">F7</f>
        <v>0</v>
      </c>
      <c r="H7" s="9" t="n">
        <f aca="false">G7</f>
        <v>0</v>
      </c>
      <c r="I7" s="25" t="s">
        <v>321</v>
      </c>
    </row>
    <row r="8" customFormat="false" ht="15" hidden="false" customHeight="false" outlineLevel="0" collapsed="false">
      <c r="A8" s="5" t="s">
        <v>367</v>
      </c>
      <c r="B8" s="36" t="n">
        <v>142.5</v>
      </c>
      <c r="C8" s="36" t="n">
        <v>154.7</v>
      </c>
      <c r="D8" s="9" t="n">
        <f aca="false">C8</f>
        <v>154.7</v>
      </c>
      <c r="E8" s="9" t="n">
        <f aca="false">D8</f>
        <v>154.7</v>
      </c>
      <c r="F8" s="9" t="n">
        <f aca="false">E8</f>
        <v>154.7</v>
      </c>
      <c r="G8" s="9" t="n">
        <f aca="false">F8</f>
        <v>154.7</v>
      </c>
      <c r="H8" s="9" t="n">
        <f aca="false">G8</f>
        <v>154.7</v>
      </c>
      <c r="I8" s="25" t="s">
        <v>620</v>
      </c>
    </row>
    <row r="9" customFormat="false" ht="15" hidden="false" customHeight="false" outlineLevel="0" collapsed="false">
      <c r="A9" s="5" t="s">
        <v>621</v>
      </c>
      <c r="D9" s="9" t="n">
        <f aca="false">IS!D20*Assumptions!$C$55</f>
        <v>0</v>
      </c>
      <c r="E9" s="9" t="n">
        <f aca="false">IS!E20*Assumptions!$C$55</f>
        <v>0</v>
      </c>
      <c r="F9" s="9" t="n">
        <f aca="false">IS!F20*Assumptions!$C$55</f>
        <v>0</v>
      </c>
      <c r="G9" s="9" t="n">
        <f aca="false">IS!G20*Assumptions!$C$55</f>
        <v>0</v>
      </c>
      <c r="H9" s="9" t="n">
        <f aca="false">IS!H20*Assumptions!$C$55</f>
        <v>0</v>
      </c>
      <c r="I9" s="25" t="s">
        <v>622</v>
      </c>
    </row>
    <row r="10" customFormat="false" ht="15" hidden="false" customHeight="false" outlineLevel="0" collapsed="false">
      <c r="A10" s="5" t="s">
        <v>623</v>
      </c>
      <c r="B10" s="36" t="n">
        <v>0</v>
      </c>
      <c r="C10" s="36" t="n">
        <v>0</v>
      </c>
      <c r="D10" s="9" t="n">
        <f aca="false">C10+D9</f>
        <v>0</v>
      </c>
      <c r="E10" s="9" t="n">
        <f aca="false">D10+E9</f>
        <v>0</v>
      </c>
      <c r="F10" s="9" t="n">
        <f aca="false">E10+F9</f>
        <v>0</v>
      </c>
      <c r="G10" s="9" t="n">
        <f aca="false">F10+G9</f>
        <v>0</v>
      </c>
      <c r="H10" s="9" t="n">
        <f aca="false">G10+H9</f>
        <v>0</v>
      </c>
      <c r="I10" s="25" t="s">
        <v>624</v>
      </c>
    </row>
    <row r="11" customFormat="false" ht="15" hidden="false" customHeight="false" outlineLevel="0" collapsed="false">
      <c r="A11" s="5" t="s">
        <v>625</v>
      </c>
      <c r="D11" s="9" t="n">
        <f aca="false">Schedules!D26</f>
        <v>205.53</v>
      </c>
      <c r="E11" s="9" t="n">
        <f aca="false">Schedules!E26</f>
        <v>135.583048364711</v>
      </c>
      <c r="F11" s="9" t="n">
        <f aca="false">Schedules!F26</f>
        <v>152.042995304377</v>
      </c>
      <c r="G11" s="9" t="n">
        <f aca="false">Schedules!G26</f>
        <v>167.120262293682</v>
      </c>
      <c r="H11" s="9" t="n">
        <f aca="false">Schedules!H26</f>
        <v>181.628886031845</v>
      </c>
      <c r="I11" s="25" t="s">
        <v>626</v>
      </c>
    </row>
    <row r="12" customFormat="false" ht="15" hidden="false" customHeight="false" outlineLevel="0" collapsed="false">
      <c r="A12" s="5" t="s">
        <v>627</v>
      </c>
      <c r="B12" s="36" t="n">
        <v>6173.1</v>
      </c>
      <c r="C12" s="36" t="n">
        <v>6858.2</v>
      </c>
      <c r="D12" s="9" t="n">
        <f aca="false">C12+IS!D20-D11-D9</f>
        <v>7104.61349454904</v>
      </c>
      <c r="E12" s="9" t="n">
        <f aca="false">D12+IS!E20-E11-E9</f>
        <v>7475.84043053225</v>
      </c>
      <c r="F12" s="9" t="n">
        <f aca="false">E12+IS!F20-F11-F9</f>
        <v>7880.86497620681</v>
      </c>
      <c r="G12" s="9" t="n">
        <f aca="false">F12+IS!G20-G11-G9</f>
        <v>8319.17433401928</v>
      </c>
      <c r="H12" s="9" t="n">
        <f aca="false">G12+IS!H20-H11-H9</f>
        <v>8790.94868441486</v>
      </c>
      <c r="I12" s="25" t="s">
        <v>628</v>
      </c>
    </row>
    <row r="13" customFormat="false" ht="15" hidden="false" customHeight="false" outlineLevel="0" collapsed="false">
      <c r="A13" s="5" t="s">
        <v>629</v>
      </c>
      <c r="B13" s="36" t="n">
        <v>-0.1</v>
      </c>
      <c r="C13" s="36" t="n">
        <v>0</v>
      </c>
      <c r="D13" s="9" t="n">
        <f aca="false">C13</f>
        <v>0</v>
      </c>
      <c r="E13" s="9" t="n">
        <f aca="false">D13</f>
        <v>0</v>
      </c>
      <c r="F13" s="9" t="n">
        <f aca="false">E13</f>
        <v>0</v>
      </c>
      <c r="G13" s="9" t="n">
        <f aca="false">F13</f>
        <v>0</v>
      </c>
      <c r="H13" s="9" t="n">
        <f aca="false">G13</f>
        <v>0</v>
      </c>
      <c r="I13" s="25" t="s">
        <v>630</v>
      </c>
    </row>
    <row r="14" customFormat="false" ht="15" hidden="false" customHeight="false" outlineLevel="0" collapsed="false">
      <c r="A14" s="3" t="s">
        <v>374</v>
      </c>
      <c r="B14" s="47" t="n">
        <f aca="false">B5+B6-B7+B8+B10+B12+B13</f>
        <v>20613.8</v>
      </c>
      <c r="C14" s="47" t="n">
        <f aca="false">C5+C6-C7+C8+C10+C12+C13</f>
        <v>21439.7</v>
      </c>
      <c r="D14" s="47" t="n">
        <f aca="false">D5+D6-D7+D8+D10+D12+D13</f>
        <v>21686.113494549</v>
      </c>
      <c r="E14" s="47" t="n">
        <f aca="false">E5+E6-E7+E8+E10+E12+E13</f>
        <v>22057.3404305322</v>
      </c>
      <c r="F14" s="47" t="n">
        <f aca="false">F5+F6-F7+F8+F10+F12+F13</f>
        <v>22462.3649762068</v>
      </c>
      <c r="G14" s="47" t="n">
        <f aca="false">G5+G6-G7+G8+G10+G12+G13</f>
        <v>22900.6743340193</v>
      </c>
      <c r="H14" s="47" t="n">
        <f aca="false">H5+H6-H7+H8+H10+H12+H13</f>
        <v>23372.4486844149</v>
      </c>
      <c r="I14" s="25"/>
    </row>
    <row r="15" customFormat="false" ht="15" hidden="false" customHeight="false" outlineLevel="0" collapsed="false">
      <c r="A15" s="5" t="s">
        <v>375</v>
      </c>
      <c r="B15" s="36" t="n">
        <v>11255.8</v>
      </c>
      <c r="C15" s="36" t="n">
        <v>13580.9</v>
      </c>
      <c r="D15" s="9" t="n">
        <f aca="false">C15</f>
        <v>13580.9</v>
      </c>
      <c r="E15" s="9" t="n">
        <f aca="false">D15</f>
        <v>13580.9</v>
      </c>
      <c r="F15" s="9" t="n">
        <f aca="false">E15</f>
        <v>13580.9</v>
      </c>
      <c r="G15" s="9" t="n">
        <f aca="false">F15</f>
        <v>13580.9</v>
      </c>
      <c r="H15" s="9" t="n">
        <f aca="false">G15</f>
        <v>13580.9</v>
      </c>
      <c r="I15" s="25"/>
    </row>
    <row r="16" customFormat="false" ht="15" hidden="false" customHeight="false" outlineLevel="0" collapsed="false">
      <c r="A16" s="3" t="s">
        <v>376</v>
      </c>
      <c r="B16" s="48" t="n">
        <f aca="false">B14+B15</f>
        <v>31869.6</v>
      </c>
      <c r="C16" s="48" t="n">
        <f aca="false">C14+C15</f>
        <v>35020.6</v>
      </c>
      <c r="D16" s="48" t="n">
        <f aca="false">D14+D15</f>
        <v>35267.013494549</v>
      </c>
      <c r="E16" s="48" t="n">
        <f aca="false">E14+E15</f>
        <v>35638.2404305323</v>
      </c>
      <c r="F16" s="48" t="n">
        <f aca="false">F14+F15</f>
        <v>36043.2649762068</v>
      </c>
      <c r="G16" s="48" t="n">
        <f aca="false">G14+G15</f>
        <v>36481.5743340193</v>
      </c>
      <c r="H16" s="48" t="n">
        <f aca="false">H14+H15</f>
        <v>36953.3486844149</v>
      </c>
      <c r="I16" s="25"/>
    </row>
    <row r="18" customFormat="false" ht="15.75" hidden="false" customHeight="true" outlineLevel="0" collapsed="false">
      <c r="A18" s="26" t="s">
        <v>631</v>
      </c>
      <c r="B18" s="26"/>
      <c r="C18" s="26"/>
      <c r="D18" s="26"/>
      <c r="E18" s="26"/>
      <c r="F18" s="26"/>
      <c r="G18" s="26"/>
      <c r="H18" s="26"/>
      <c r="I18" s="26"/>
      <c r="J18" s="26"/>
    </row>
    <row r="19" customFormat="false" ht="15" hidden="false" customHeight="false" outlineLevel="0" collapsed="false">
      <c r="A19" s="5" t="s">
        <v>632</v>
      </c>
      <c r="C19" s="9" t="n">
        <f aca="false">Assumptions!$C$8</f>
        <v>8561.1</v>
      </c>
      <c r="I19" s="25" t="s">
        <v>633</v>
      </c>
    </row>
    <row r="20" customFormat="false" ht="15" hidden="false" customHeight="false" outlineLevel="0" collapsed="false">
      <c r="A20" s="5" t="s">
        <v>634</v>
      </c>
      <c r="C20" s="39" t="n">
        <v>0</v>
      </c>
      <c r="I20" s="25" t="s">
        <v>635</v>
      </c>
    </row>
    <row r="21" customFormat="false" ht="15" hidden="false" customHeight="false" outlineLevel="0" collapsed="false">
      <c r="A21" s="3" t="s">
        <v>636</v>
      </c>
      <c r="C21" s="50" t="n">
        <f aca="false">C19+C20</f>
        <v>8561.1</v>
      </c>
      <c r="I21" s="27" t="s">
        <v>637</v>
      </c>
    </row>
  </sheetData>
  <mergeCells count="3">
    <mergeCell ref="A1:J1"/>
    <mergeCell ref="A2:J2"/>
    <mergeCell ref="A18:J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9.11"/>
    <col collapsed="false" customWidth="true" hidden="false" outlineLevel="0" max="8" min="2" style="0" width="10.01"/>
    <col collapsed="false" customWidth="true" hidden="false" outlineLevel="0" max="9" min="9" style="0" width="54.59"/>
  </cols>
  <sheetData>
    <row r="1" customFormat="false" ht="24" hidden="false" customHeight="true" outlineLevel="0" collapsed="false">
      <c r="A1" s="14" t="s">
        <v>638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639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244</v>
      </c>
      <c r="D3" s="45" t="s">
        <v>115</v>
      </c>
      <c r="E3" s="45" t="s">
        <v>116</v>
      </c>
      <c r="F3" s="45" t="s">
        <v>117</v>
      </c>
      <c r="G3" s="45" t="s">
        <v>118</v>
      </c>
      <c r="H3" s="45" t="s">
        <v>119</v>
      </c>
      <c r="I3" s="3" t="s">
        <v>50</v>
      </c>
    </row>
    <row r="4" customFormat="false" ht="15" hidden="false" customHeight="false" outlineLevel="0" collapsed="false">
      <c r="A4" s="4" t="s">
        <v>640</v>
      </c>
      <c r="D4" s="9" t="n">
        <f aca="false">IS!D24</f>
        <v>1148.39985338</v>
      </c>
      <c r="E4" s="9" t="n">
        <f aca="false">IS!E24</f>
        <v>1234.85312562432</v>
      </c>
      <c r="F4" s="9" t="n">
        <f aca="false">IS!F24</f>
        <v>1305.92448317976</v>
      </c>
      <c r="G4" s="9" t="n">
        <f aca="false">IS!G24</f>
        <v>1362.21850479317</v>
      </c>
      <c r="H4" s="9" t="n">
        <f aca="false">IS!H24</f>
        <v>1407.21285227564</v>
      </c>
      <c r="I4" s="25" t="s">
        <v>641</v>
      </c>
    </row>
    <row r="5" customFormat="false" ht="15" hidden="false" customHeight="false" outlineLevel="0" collapsed="false">
      <c r="A5" s="5" t="s">
        <v>642</v>
      </c>
      <c r="D5" s="19" t="n">
        <f aca="false">Assumptions!C$33</f>
        <v>0.1096</v>
      </c>
      <c r="E5" s="19" t="n">
        <f aca="false">Assumptions!D$33</f>
        <v>0.1096</v>
      </c>
      <c r="F5" s="19" t="n">
        <f aca="false">Assumptions!E$33</f>
        <v>0.1096</v>
      </c>
      <c r="G5" s="19" t="n">
        <f aca="false">Assumptions!F$33</f>
        <v>0.1096</v>
      </c>
      <c r="H5" s="19" t="n">
        <f aca="false">Assumptions!G$33</f>
        <v>0.1096</v>
      </c>
      <c r="I5" s="25"/>
    </row>
    <row r="6" customFormat="false" ht="15" hidden="false" customHeight="false" outlineLevel="0" collapsed="false">
      <c r="A6" s="10" t="s">
        <v>643</v>
      </c>
      <c r="D6" s="48" t="n">
        <f aca="false">D4*(1-D5)</f>
        <v>1022.53522944955</v>
      </c>
      <c r="E6" s="48" t="n">
        <f aca="false">E4*(1-E5)</f>
        <v>1099.51322305589</v>
      </c>
      <c r="F6" s="48" t="n">
        <f aca="false">F4*(1-F5)</f>
        <v>1162.79515982326</v>
      </c>
      <c r="G6" s="48" t="n">
        <f aca="false">G4*(1-G5)</f>
        <v>1212.91935666784</v>
      </c>
      <c r="H6" s="48" t="n">
        <f aca="false">H4*(1-H5)</f>
        <v>1252.98232366623</v>
      </c>
      <c r="I6" s="25"/>
    </row>
    <row r="7" customFormat="false" ht="15" hidden="false" customHeight="false" outlineLevel="0" collapsed="false">
      <c r="A7" s="5" t="s">
        <v>644</v>
      </c>
      <c r="D7" s="9" t="n">
        <f aca="false">PPE!D19</f>
        <v>4022.3153211</v>
      </c>
      <c r="E7" s="9" t="n">
        <f aca="false">PPE!E19</f>
        <v>3864.95867847543</v>
      </c>
      <c r="F7" s="9" t="n">
        <f aca="false">PPE!F19</f>
        <v>3769.01861471601</v>
      </c>
      <c r="G7" s="9" t="n">
        <f aca="false">PPE!G19</f>
        <v>3664.76840323476</v>
      </c>
      <c r="H7" s="9" t="n">
        <f aca="false">PPE!H19</f>
        <v>3540.58318101533</v>
      </c>
      <c r="I7" s="25"/>
    </row>
    <row r="8" customFormat="false" ht="15" hidden="false" customHeight="false" outlineLevel="0" collapsed="false">
      <c r="A8" s="5" t="s">
        <v>645</v>
      </c>
      <c r="D8" s="9" t="n">
        <f aca="false">Schedules!D18</f>
        <v>344.505180671014</v>
      </c>
      <c r="E8" s="9" t="n">
        <f aca="false">Schedules!E18</f>
        <v>299.723127379258</v>
      </c>
      <c r="F8" s="9" t="n">
        <f aca="false">Schedules!F18</f>
        <v>246.395873754865</v>
      </c>
      <c r="G8" s="9" t="n">
        <f aca="false">Schedules!G18</f>
        <v>195.164622144612</v>
      </c>
      <c r="H8" s="9" t="n">
        <f aca="false">Schedules!H18</f>
        <v>155.990006991562</v>
      </c>
      <c r="I8" s="27" t="s">
        <v>646</v>
      </c>
    </row>
    <row r="9" customFormat="false" ht="15" hidden="false" customHeight="false" outlineLevel="0" collapsed="false">
      <c r="A9" s="5" t="s">
        <v>647</v>
      </c>
      <c r="D9" s="9" t="n">
        <f aca="false">PPE!D14</f>
        <v>3791.57737</v>
      </c>
      <c r="E9" s="9" t="n">
        <f aca="false">PPE!E14</f>
        <v>3613.12678108095</v>
      </c>
      <c r="F9" s="9" t="n">
        <f aca="false">PPE!F14</f>
        <v>3239.74200878665</v>
      </c>
      <c r="G9" s="9" t="n">
        <f aca="false">PPE!G14</f>
        <v>2956.31086504652</v>
      </c>
      <c r="H9" s="9" t="n">
        <f aca="false">PPE!H14</f>
        <v>2583.0766183344</v>
      </c>
      <c r="I9" s="25"/>
    </row>
    <row r="10" customFormat="false" ht="15" hidden="false" customHeight="false" outlineLevel="0" collapsed="false">
      <c r="A10" s="10" t="s">
        <v>648</v>
      </c>
      <c r="D10" s="48" t="n">
        <f aca="false">D6+D7-D8-D9</f>
        <v>908.767999878539</v>
      </c>
      <c r="E10" s="48" t="n">
        <f aca="false">E6+E7-E8-E9</f>
        <v>1051.62199307111</v>
      </c>
      <c r="F10" s="48" t="n">
        <f aca="false">F6+F7-F8-F9</f>
        <v>1445.67589199775</v>
      </c>
      <c r="G10" s="48" t="n">
        <f aca="false">G6+G7-G8-G9</f>
        <v>1726.21227271147</v>
      </c>
      <c r="H10" s="48" t="n">
        <f aca="false">H6+H7-H8-H9</f>
        <v>2054.4988793556</v>
      </c>
      <c r="I10" s="25"/>
    </row>
    <row r="11" customFormat="false" ht="15" hidden="false" customHeight="false" outlineLevel="0" collapsed="false">
      <c r="A11" s="5" t="s">
        <v>649</v>
      </c>
      <c r="D11" s="56" t="n">
        <v>0.5</v>
      </c>
      <c r="E11" s="56" t="n">
        <v>1.5</v>
      </c>
      <c r="F11" s="56" t="n">
        <v>2.5</v>
      </c>
      <c r="G11" s="56" t="n">
        <v>3.5</v>
      </c>
      <c r="H11" s="56" t="n">
        <v>4.5</v>
      </c>
      <c r="I11" s="25" t="s">
        <v>650</v>
      </c>
    </row>
    <row r="12" customFormat="false" ht="15" hidden="false" customHeight="false" outlineLevel="0" collapsed="false">
      <c r="A12" s="5" t="s">
        <v>651</v>
      </c>
      <c r="D12" s="42" t="n">
        <f aca="false">1/(1+Assumptions!$C$83)^D11</f>
        <v>0.956546400640816</v>
      </c>
      <c r="E12" s="42" t="n">
        <f aca="false">1/(1+Assumptions!$C$83)^E11</f>
        <v>0.875221798063222</v>
      </c>
      <c r="F12" s="42" t="n">
        <f aca="false">1/(1+Assumptions!$C$83)^F11</f>
        <v>0.8008113305239</v>
      </c>
      <c r="G12" s="42" t="n">
        <f aca="false">1/(1+Assumptions!$C$83)^G11</f>
        <v>0.73272716529066</v>
      </c>
      <c r="H12" s="42" t="n">
        <f aca="false">1/(1+Assumptions!$C$83)^H11</f>
        <v>0.670431446572624</v>
      </c>
      <c r="I12" s="25"/>
    </row>
    <row r="13" customFormat="false" ht="15" hidden="false" customHeight="false" outlineLevel="0" collapsed="false">
      <c r="A13" s="4" t="s">
        <v>652</v>
      </c>
      <c r="D13" s="9" t="n">
        <f aca="false">D10*D12</f>
        <v>869.27875930137</v>
      </c>
      <c r="E13" s="9" t="n">
        <f aca="false">E10*E12</f>
        <v>920.402491658529</v>
      </c>
      <c r="F13" s="9" t="n">
        <f aca="false">F10*F12</f>
        <v>1157.71363457704</v>
      </c>
      <c r="G13" s="9" t="n">
        <f aca="false">G10*G12</f>
        <v>1264.84262527382</v>
      </c>
      <c r="H13" s="9" t="n">
        <f aca="false">H10*H12</f>
        <v>1377.40065566821</v>
      </c>
      <c r="I13" s="25"/>
    </row>
    <row r="15" customFormat="false" ht="15" hidden="false" customHeight="false" outlineLevel="0" collapsed="false">
      <c r="A15" s="3" t="s">
        <v>653</v>
      </c>
      <c r="D15" s="48" t="n">
        <f aca="false">SUM(D13:H13)</f>
        <v>5589.63816647897</v>
      </c>
      <c r="I15" s="25"/>
    </row>
    <row r="16" customFormat="false" ht="15" hidden="false" customHeight="false" outlineLevel="0" collapsed="false">
      <c r="A16" s="5" t="s">
        <v>654</v>
      </c>
      <c r="D16" s="9" t="n">
        <f aca="false">H10*(1+Assumptions!$C$84)/(Assumptions!$C$83-Assumptions!$C$84)</f>
        <v>33632.748545987</v>
      </c>
      <c r="I16" s="25" t="s">
        <v>655</v>
      </c>
    </row>
    <row r="17" customFormat="false" ht="15" hidden="false" customHeight="false" outlineLevel="0" collapsed="false">
      <c r="A17" s="4" t="s">
        <v>656</v>
      </c>
      <c r="D17" s="9" t="n">
        <f aca="false">D16*H12</f>
        <v>22548.4522598994</v>
      </c>
      <c r="I17" s="25" t="s">
        <v>657</v>
      </c>
    </row>
    <row r="18" customFormat="false" ht="15" hidden="false" customHeight="false" outlineLevel="0" collapsed="false">
      <c r="A18" s="3" t="s">
        <v>658</v>
      </c>
      <c r="D18" s="48" t="n">
        <f aca="false">D15+D17</f>
        <v>28138.0904263783</v>
      </c>
      <c r="I18" s="25"/>
    </row>
    <row r="19" customFormat="false" ht="15" hidden="false" customHeight="false" outlineLevel="0" collapsed="false">
      <c r="A19" s="5" t="s">
        <v>659</v>
      </c>
      <c r="D19" s="9" t="n">
        <f aca="false">BS!C4</f>
        <v>5872.5</v>
      </c>
      <c r="I19" s="25"/>
    </row>
    <row r="20" customFormat="false" ht="15" hidden="false" customHeight="false" outlineLevel="0" collapsed="false">
      <c r="A20" s="5" t="s">
        <v>660</v>
      </c>
      <c r="D20" s="9" t="n">
        <f aca="false">BS!C5</f>
        <v>4531.5</v>
      </c>
      <c r="I20" s="25"/>
    </row>
    <row r="21" customFormat="false" ht="15" hidden="false" customHeight="false" outlineLevel="0" collapsed="false">
      <c r="A21" s="5" t="s">
        <v>661</v>
      </c>
      <c r="D21" s="9" t="n">
        <f aca="false">BS!C18</f>
        <v>1532.3</v>
      </c>
      <c r="I21" s="27" t="s">
        <v>662</v>
      </c>
    </row>
    <row r="22" customFormat="false" ht="15" hidden="false" customHeight="false" outlineLevel="0" collapsed="false">
      <c r="A22" s="5" t="s">
        <v>663</v>
      </c>
      <c r="D22" s="9" t="n">
        <f aca="false">-(BS!C22+BS!C28+BS!C31+BS!C32)</f>
        <v>-12596.2</v>
      </c>
      <c r="I22" s="25"/>
    </row>
    <row r="23" customFormat="false" ht="15" hidden="false" customHeight="false" outlineLevel="0" collapsed="false">
      <c r="A23" s="5" t="s">
        <v>664</v>
      </c>
      <c r="D23" s="9" t="n">
        <f aca="false">-BS!C44</f>
        <v>-13580.9</v>
      </c>
      <c r="I23" s="27" t="s">
        <v>665</v>
      </c>
    </row>
    <row r="24" customFormat="false" ht="15" hidden="false" customHeight="false" outlineLevel="0" collapsed="false">
      <c r="A24" s="5" t="s">
        <v>666</v>
      </c>
      <c r="D24" s="9" t="n">
        <f aca="false">D19+D20+D21+D22+D23</f>
        <v>-14240.8</v>
      </c>
      <c r="I24" s="25" t="s">
        <v>667</v>
      </c>
    </row>
    <row r="25" customFormat="false" ht="15" hidden="false" customHeight="false" outlineLevel="0" collapsed="false">
      <c r="A25" s="3" t="s">
        <v>668</v>
      </c>
      <c r="D25" s="48" t="n">
        <f aca="false">D18+D24</f>
        <v>13897.2904263783</v>
      </c>
      <c r="I25" s="25"/>
    </row>
    <row r="26" customFormat="false" ht="15" hidden="false" customHeight="false" outlineLevel="0" collapsed="false">
      <c r="A26" s="3" t="s">
        <v>669</v>
      </c>
      <c r="D26" s="18" t="n">
        <f aca="false">D25/Equity_Roll!$C$21</f>
        <v>1.6233066342384</v>
      </c>
      <c r="I26" s="25" t="s">
        <v>670</v>
      </c>
    </row>
    <row r="27" customFormat="false" ht="15" hidden="false" customHeight="false" outlineLevel="0" collapsed="false">
      <c r="A27" s="5" t="s">
        <v>671</v>
      </c>
      <c r="D27" s="8" t="n">
        <f aca="false">Assumptions!$C$7</f>
        <v>9.6667</v>
      </c>
      <c r="I27" s="25"/>
    </row>
    <row r="28" customFormat="false" ht="15" hidden="false" customHeight="false" outlineLevel="0" collapsed="false">
      <c r="A28" s="3" t="s">
        <v>672</v>
      </c>
      <c r="D28" s="57" t="n">
        <f aca="false">D26/D27-1</f>
        <v>-0.832072306553592</v>
      </c>
      <c r="I28" s="25"/>
    </row>
    <row r="29" customFormat="false" ht="15" hidden="false" customHeight="false" outlineLevel="0" collapsed="false">
      <c r="A29" s="5" t="s">
        <v>673</v>
      </c>
      <c r="D29" s="58" t="n">
        <f aca="false">D25/IS!D20</f>
        <v>30.7500618860451</v>
      </c>
      <c r="I29" s="25" t="s">
        <v>674</v>
      </c>
    </row>
    <row r="30" customFormat="false" ht="15" hidden="false" customHeight="false" outlineLevel="0" collapsed="false">
      <c r="A30" s="5" t="s">
        <v>675</v>
      </c>
      <c r="D30" s="58" t="n">
        <f aca="false">D18/(IS!D24+PPE!D19)</f>
        <v>5.44181790659318</v>
      </c>
      <c r="I30" s="25"/>
    </row>
    <row r="31" customFormat="false" ht="15" hidden="false" customHeight="false" outlineLevel="0" collapsed="false">
      <c r="A31" s="15" t="s">
        <v>676</v>
      </c>
      <c r="B31" s="15"/>
      <c r="C31" s="15"/>
      <c r="D31" s="15"/>
      <c r="E31" s="15"/>
      <c r="F31" s="15"/>
      <c r="G31" s="15"/>
      <c r="H31" s="15"/>
      <c r="I31" s="15"/>
    </row>
  </sheetData>
  <mergeCells count="3">
    <mergeCell ref="A1:J1"/>
    <mergeCell ref="A2:J2"/>
    <mergeCell ref="A31:I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9.11"/>
    <col collapsed="false" customWidth="true" hidden="false" outlineLevel="0" max="8" min="2" style="0" width="10.01"/>
    <col collapsed="false" customWidth="true" hidden="false" outlineLevel="0" max="9" min="9" style="0" width="54.59"/>
  </cols>
  <sheetData>
    <row r="1" customFormat="false" ht="24" hidden="false" customHeight="true" outlineLevel="0" collapsed="false">
      <c r="A1" s="14" t="s">
        <v>677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678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244</v>
      </c>
      <c r="D3" s="45" t="s">
        <v>115</v>
      </c>
      <c r="E3" s="45" t="s">
        <v>116</v>
      </c>
      <c r="F3" s="45" t="s">
        <v>117</v>
      </c>
      <c r="G3" s="45" t="s">
        <v>118</v>
      </c>
      <c r="H3" s="45" t="s">
        <v>119</v>
      </c>
      <c r="I3" s="3" t="s">
        <v>50</v>
      </c>
    </row>
    <row r="4" customFormat="false" ht="15" hidden="false" customHeight="false" outlineLevel="0" collapsed="false">
      <c r="A4" s="5" t="s">
        <v>300</v>
      </c>
      <c r="D4" s="9" t="n">
        <f aca="false">IS!D20</f>
        <v>451.943494549035</v>
      </c>
      <c r="E4" s="9" t="n">
        <f aca="false">IS!E20</f>
        <v>506.809984347924</v>
      </c>
      <c r="F4" s="9" t="n">
        <f aca="false">IS!F20</f>
        <v>557.067540978939</v>
      </c>
      <c r="G4" s="9" t="n">
        <f aca="false">IS!G20</f>
        <v>605.42962010615</v>
      </c>
      <c r="H4" s="9" t="n">
        <f aca="false">IS!H20</f>
        <v>653.403236427428</v>
      </c>
      <c r="I4" s="25" t="s">
        <v>679</v>
      </c>
    </row>
    <row r="5" customFormat="false" ht="15" hidden="false" customHeight="false" outlineLevel="0" collapsed="false">
      <c r="A5" s="5" t="s">
        <v>644</v>
      </c>
      <c r="D5" s="9" t="n">
        <f aca="false">PPE!D19</f>
        <v>4022.3153211</v>
      </c>
      <c r="E5" s="9" t="n">
        <f aca="false">PPE!E19</f>
        <v>3864.95867847543</v>
      </c>
      <c r="F5" s="9" t="n">
        <f aca="false">PPE!F19</f>
        <v>3769.01861471601</v>
      </c>
      <c r="G5" s="9" t="n">
        <f aca="false">PPE!G19</f>
        <v>3664.76840323476</v>
      </c>
      <c r="H5" s="9" t="n">
        <f aca="false">PPE!H19</f>
        <v>3540.58318101533</v>
      </c>
      <c r="I5" s="25" t="s">
        <v>680</v>
      </c>
    </row>
    <row r="6" customFormat="false" ht="15" hidden="false" customHeight="false" outlineLevel="0" collapsed="false">
      <c r="A6" s="5" t="s">
        <v>645</v>
      </c>
      <c r="D6" s="9" t="n">
        <f aca="false">Schedules!D18</f>
        <v>344.505180671014</v>
      </c>
      <c r="E6" s="9" t="n">
        <f aca="false">Schedules!E18</f>
        <v>299.723127379258</v>
      </c>
      <c r="F6" s="9" t="n">
        <f aca="false">Schedules!F18</f>
        <v>246.395873754865</v>
      </c>
      <c r="G6" s="9" t="n">
        <f aca="false">Schedules!G18</f>
        <v>195.164622144612</v>
      </c>
      <c r="H6" s="9" t="n">
        <f aca="false">Schedules!H18</f>
        <v>155.990006991562</v>
      </c>
      <c r="I6" s="25" t="s">
        <v>681</v>
      </c>
    </row>
    <row r="7" customFormat="false" ht="15" hidden="false" customHeight="false" outlineLevel="0" collapsed="false">
      <c r="A7" s="5" t="s">
        <v>647</v>
      </c>
      <c r="D7" s="9" t="n">
        <f aca="false">PPE!D14</f>
        <v>3791.57737</v>
      </c>
      <c r="E7" s="9" t="n">
        <f aca="false">PPE!E14</f>
        <v>3613.12678108095</v>
      </c>
      <c r="F7" s="9" t="n">
        <f aca="false">PPE!F14</f>
        <v>3239.74200878665</v>
      </c>
      <c r="G7" s="9" t="n">
        <f aca="false">PPE!G14</f>
        <v>2956.31086504652</v>
      </c>
      <c r="H7" s="9" t="n">
        <f aca="false">PPE!H14</f>
        <v>2583.0766183344</v>
      </c>
      <c r="I7" s="25" t="s">
        <v>682</v>
      </c>
    </row>
    <row r="8" customFormat="false" ht="15" hidden="false" customHeight="false" outlineLevel="0" collapsed="false">
      <c r="A8" s="5" t="s">
        <v>683</v>
      </c>
      <c r="D8" s="9" t="n">
        <f aca="false">FIN!D57</f>
        <v>169.122655021978</v>
      </c>
      <c r="E8" s="9" t="n">
        <f aca="false">FIN!E57</f>
        <v>153.243538949564</v>
      </c>
      <c r="F8" s="9" t="n">
        <f aca="false">FIN!F57</f>
        <v>-343.841378461848</v>
      </c>
      <c r="G8" s="9" t="n">
        <f aca="false">FIN!G57</f>
        <v>-734.225054528839</v>
      </c>
      <c r="H8" s="9" t="n">
        <f aca="false">FIN!H57</f>
        <v>-1149.5920947766</v>
      </c>
      <c r="I8" s="25" t="s">
        <v>684</v>
      </c>
    </row>
    <row r="9" customFormat="false" ht="15" hidden="false" customHeight="false" outlineLevel="0" collapsed="false">
      <c r="A9" s="5" t="s">
        <v>685</v>
      </c>
      <c r="D9" s="9" t="n">
        <f aca="false">-FIN!D62</f>
        <v>-0</v>
      </c>
      <c r="E9" s="9" t="n">
        <f aca="false">-FIN!E62</f>
        <v>-0</v>
      </c>
      <c r="F9" s="9" t="n">
        <f aca="false">-FIN!F62</f>
        <v>-0</v>
      </c>
      <c r="G9" s="9" t="n">
        <f aca="false">-FIN!G62</f>
        <v>-0</v>
      </c>
      <c r="H9" s="9" t="n">
        <f aca="false">-FIN!H62</f>
        <v>-0</v>
      </c>
      <c r="I9" s="25" t="s">
        <v>686</v>
      </c>
    </row>
    <row r="10" customFormat="false" ht="15" hidden="false" customHeight="false" outlineLevel="0" collapsed="false">
      <c r="A10" s="10" t="s">
        <v>687</v>
      </c>
      <c r="D10" s="48" t="n">
        <f aca="false">D4+D5-D6-D7+D8</f>
        <v>507.298919999999</v>
      </c>
      <c r="E10" s="48" t="n">
        <f aca="false">E4+E5-E6-E7+E8</f>
        <v>612.162293312709</v>
      </c>
      <c r="F10" s="48" t="n">
        <f aca="false">F4+F5-F6-F7+F8</f>
        <v>496.106894691582</v>
      </c>
      <c r="G10" s="48" t="n">
        <f aca="false">G4+G5-G6-G7+G8</f>
        <v>384.497481620936</v>
      </c>
      <c r="H10" s="48" t="n">
        <f aca="false">H4+H5-H6-H7+H8</f>
        <v>305.327697340198</v>
      </c>
      <c r="I10" s="25" t="s">
        <v>688</v>
      </c>
    </row>
    <row r="11" customFormat="false" ht="15" hidden="false" customHeight="false" outlineLevel="0" collapsed="false">
      <c r="A11" s="5" t="s">
        <v>649</v>
      </c>
      <c r="D11" s="56" t="n">
        <v>0.5</v>
      </c>
      <c r="E11" s="56" t="n">
        <v>1.5</v>
      </c>
      <c r="F11" s="56" t="n">
        <v>2.5</v>
      </c>
      <c r="G11" s="56" t="n">
        <v>3.5</v>
      </c>
      <c r="H11" s="56" t="n">
        <v>4.5</v>
      </c>
      <c r="I11" s="25" t="s">
        <v>689</v>
      </c>
    </row>
    <row r="12" customFormat="false" ht="15" hidden="false" customHeight="false" outlineLevel="0" collapsed="false">
      <c r="A12" s="5" t="s">
        <v>690</v>
      </c>
      <c r="D12" s="42" t="n">
        <f aca="false">1/(1+KE)^D11</f>
        <v>0.952400893999694</v>
      </c>
      <c r="E12" s="42" t="n">
        <f aca="false">1/(1+KE)^E11</f>
        <v>0.86389186257582</v>
      </c>
      <c r="F12" s="42" t="n">
        <f aca="false">1/(1+KE)^F11</f>
        <v>0.783608199999189</v>
      </c>
      <c r="G12" s="42" t="n">
        <f aca="false">1/(1+KE)^G11</f>
        <v>0.710785501874174</v>
      </c>
      <c r="H12" s="42" t="n">
        <f aca="false">1/(1+KE)^H11</f>
        <v>0.644730401845009</v>
      </c>
      <c r="I12" s="25" t="s">
        <v>691</v>
      </c>
    </row>
    <row r="13" customFormat="false" ht="15" hidden="false" customHeight="false" outlineLevel="0" collapsed="false">
      <c r="A13" s="4" t="s">
        <v>692</v>
      </c>
      <c r="D13" s="9" t="n">
        <f aca="false">D10*D12</f>
        <v>483.151944933079</v>
      </c>
      <c r="E13" s="9" t="n">
        <f aca="false">E10*E12</f>
        <v>528.842023768601</v>
      </c>
      <c r="F13" s="9" t="n">
        <f aca="false">F10*F12</f>
        <v>388.753430756458</v>
      </c>
      <c r="G13" s="9" t="n">
        <f aca="false">G10*G12</f>
        <v>273.295235443293</v>
      </c>
      <c r="H13" s="9" t="n">
        <f aca="false">H10*H12</f>
        <v>196.854049000557</v>
      </c>
      <c r="I13" s="25"/>
    </row>
    <row r="15" customFormat="false" ht="15" hidden="false" customHeight="false" outlineLevel="0" collapsed="false">
      <c r="A15" s="3" t="s">
        <v>653</v>
      </c>
      <c r="D15" s="48" t="n">
        <f aca="false">SUM(D13:H13)</f>
        <v>1870.89668390199</v>
      </c>
      <c r="I15" s="25"/>
    </row>
    <row r="16" customFormat="false" ht="15" hidden="false" customHeight="false" outlineLevel="0" collapsed="false">
      <c r="A16" s="5" t="s">
        <v>693</v>
      </c>
      <c r="D16" s="9" t="n">
        <f aca="false">H10-H8+FIN!H56*TERM_G</f>
        <v>1775.64702210293</v>
      </c>
      <c r="I16" s="25" t="s">
        <v>694</v>
      </c>
    </row>
    <row r="17" customFormat="false" ht="15" hidden="false" customHeight="false" outlineLevel="0" collapsed="false">
      <c r="A17" s="5" t="s">
        <v>695</v>
      </c>
      <c r="D17" s="9" t="n">
        <f aca="false">D16*(1+TERM_G)/(KE-TERM_G)</f>
        <v>25242.5081178181</v>
      </c>
      <c r="I17" s="25" t="s">
        <v>696</v>
      </c>
    </row>
    <row r="18" customFormat="false" ht="15" hidden="false" customHeight="false" outlineLevel="0" collapsed="false">
      <c r="A18" s="4" t="s">
        <v>656</v>
      </c>
      <c r="D18" s="9" t="n">
        <f aca="false">D17*H12</f>
        <v>16274.6124023768</v>
      </c>
      <c r="I18" s="25" t="s">
        <v>697</v>
      </c>
    </row>
    <row r="19" customFormat="false" ht="15" hidden="false" customHeight="false" outlineLevel="0" collapsed="false">
      <c r="A19" s="3" t="s">
        <v>698</v>
      </c>
      <c r="D19" s="48" t="n">
        <f aca="false">D15+D18</f>
        <v>18145.5090862788</v>
      </c>
      <c r="I19" s="27" t="s">
        <v>699</v>
      </c>
    </row>
    <row r="20" customFormat="false" ht="15" hidden="false" customHeight="false" outlineLevel="0" collapsed="false">
      <c r="A20" s="3" t="s">
        <v>669</v>
      </c>
      <c r="D20" s="18" t="n">
        <f aca="false">D19/SHARES_DIL</f>
        <v>2.11953009382892</v>
      </c>
      <c r="I20" s="25" t="s">
        <v>700</v>
      </c>
    </row>
    <row r="21" customFormat="false" ht="15" hidden="false" customHeight="false" outlineLevel="0" collapsed="false">
      <c r="A21" s="5" t="s">
        <v>701</v>
      </c>
      <c r="D21" s="8" t="n">
        <f aca="false">DCF!D26</f>
        <v>1.6233066342384</v>
      </c>
      <c r="I21" s="25" t="s">
        <v>702</v>
      </c>
    </row>
    <row r="22" customFormat="false" ht="15" hidden="false" customHeight="false" outlineLevel="0" collapsed="false">
      <c r="A22" s="3" t="s">
        <v>703</v>
      </c>
      <c r="D22" s="57" t="n">
        <f aca="false">D20/D21-1</f>
        <v>0.305686830278579</v>
      </c>
      <c r="I22" s="27" t="s">
        <v>704</v>
      </c>
    </row>
    <row r="23" customFormat="false" ht="15" hidden="false" customHeight="false" outlineLevel="0" collapsed="false">
      <c r="A23" s="10" t="s">
        <v>84</v>
      </c>
      <c r="D23" s="3" t="str">
        <f aca="false">IF("已复核：重资产扩产期最低现金储备与滚动续债形成动态杠杆路径，使FCFE较恒定资本结构FCFF高约30.6%；差异保留并分别列示，不作机械配平。"&lt;&gt;"","WAIVED: 已复核：重资产扩产期最低现金储备与滚动续债形成动态杠杆路径，使FCFE较恒定资本结构FCFF高约30.6%；差异保留并分别列示，不作机械配平。",IF(ABS(D22)&gt;=0.3,"警告: 差异≥30%, 复核债务调度/资本结构/终值","通过: 差异&lt;30%"))</f>
        <v>WAIVED: 已复核：重资产扩产期最低现金储备与滚动续债形成动态杠杆路径，使FCFE较恒定资本结构FCFF高约30.6%；差异保留并分别列示，不作机械配平。</v>
      </c>
      <c r="I23" s="25" t="s">
        <v>705</v>
      </c>
    </row>
    <row r="24" customFormat="false" ht="51.75" hidden="false" customHeight="true" outlineLevel="0" collapsed="false">
      <c r="A24" s="3" t="s">
        <v>706</v>
      </c>
      <c r="B24" s="13" t="s">
        <v>707</v>
      </c>
      <c r="C24" s="13"/>
      <c r="D24" s="13"/>
      <c r="E24" s="13"/>
      <c r="F24" s="13"/>
      <c r="G24" s="13"/>
      <c r="H24" s="13"/>
      <c r="I24" s="13"/>
    </row>
  </sheetData>
  <mergeCells count="3">
    <mergeCell ref="A1:J1"/>
    <mergeCell ref="A2:J2"/>
    <mergeCell ref="B24:I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12.74"/>
    <col collapsed="false" customWidth="true" hidden="false" outlineLevel="0" max="2" min="2" style="0" width="9.1"/>
    <col collapsed="false" customWidth="true" hidden="false" outlineLevel="0" max="3" min="3" style="0" width="10.92"/>
    <col collapsed="false" customWidth="true" hidden="false" outlineLevel="0" max="4" min="4" style="0" width="9.1"/>
    <col collapsed="false" customWidth="true" hidden="false" outlineLevel="0" max="5" min="5" style="0" width="12.74"/>
    <col collapsed="false" customWidth="true" hidden="false" outlineLevel="0" max="6" min="6" style="0" width="10.01"/>
    <col collapsed="false" customWidth="true" hidden="false" outlineLevel="0" max="7" min="7" style="0" width="12.74"/>
    <col collapsed="false" customWidth="true" hidden="false" outlineLevel="0" max="8" min="8" style="0" width="10.01"/>
    <col collapsed="false" customWidth="true" hidden="false" outlineLevel="0" max="9" min="9" style="0" width="10.92"/>
    <col collapsed="false" customWidth="true" hidden="false" outlineLevel="0" max="10" min="10" style="0" width="9.1"/>
    <col collapsed="false" customWidth="true" hidden="false" outlineLevel="0" max="11" min="11" style="0" width="50.95"/>
    <col collapsed="false" customWidth="true" hidden="false" outlineLevel="0" max="13" min="12" style="0" width="8.19"/>
    <col collapsed="false" customWidth="true" hidden="false" outlineLevel="0" max="14" min="14" style="0" width="7.28"/>
    <col collapsed="false" customWidth="true" hidden="false" outlineLevel="0" max="15" min="15" style="0" width="8.19"/>
  </cols>
  <sheetData>
    <row r="1" customFormat="false" ht="24" hidden="false" customHeight="true" outlineLevel="0" collapsed="false">
      <c r="A1" s="14" t="s">
        <v>708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customFormat="false" ht="13.5" hidden="false" customHeight="true" outlineLevel="0" collapsed="false">
      <c r="A2" s="15" t="s">
        <v>709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</row>
    <row r="4" customFormat="false" ht="15" hidden="false" customHeight="false" outlineLevel="0" collapsed="false">
      <c r="A4" s="16" t="s">
        <v>710</v>
      </c>
      <c r="B4" s="16" t="s">
        <v>711</v>
      </c>
      <c r="C4" s="16" t="s">
        <v>712</v>
      </c>
      <c r="D4" s="45" t="s">
        <v>713</v>
      </c>
      <c r="E4" s="45" t="s">
        <v>714</v>
      </c>
      <c r="F4" s="45" t="s">
        <v>715</v>
      </c>
      <c r="G4" s="45" t="s">
        <v>716</v>
      </c>
      <c r="H4" s="45" t="s">
        <v>717</v>
      </c>
      <c r="I4" s="45" t="s">
        <v>718</v>
      </c>
      <c r="J4" s="45" t="s">
        <v>719</v>
      </c>
      <c r="K4" s="16" t="s">
        <v>720</v>
      </c>
      <c r="L4" s="45" t="s">
        <v>721</v>
      </c>
      <c r="M4" s="45" t="s">
        <v>722</v>
      </c>
      <c r="N4" s="16" t="s">
        <v>723</v>
      </c>
      <c r="O4" s="45" t="s">
        <v>724</v>
      </c>
    </row>
    <row r="5" customFormat="false" ht="25.35" hidden="false" customHeight="false" outlineLevel="0" collapsed="false">
      <c r="A5" s="3" t="s">
        <v>725</v>
      </c>
      <c r="K5" s="20" t="s">
        <v>726</v>
      </c>
    </row>
    <row r="6" customFormat="false" ht="25.35" hidden="false" customHeight="false" outlineLevel="0" collapsed="false">
      <c r="A6" s="3" t="s">
        <v>727</v>
      </c>
      <c r="B6" s="31" t="s">
        <v>728</v>
      </c>
      <c r="C6" s="9" t="n">
        <f aca="false">Assumptions!$C$9/100</f>
        <v>827.5758537</v>
      </c>
      <c r="D6" s="59" t="n">
        <v>121.07</v>
      </c>
      <c r="E6" s="9" t="n">
        <f aca="false">Assumptions!$C$13/100</f>
        <v>7.958</v>
      </c>
      <c r="F6" s="60" t="n">
        <f aca="false">C6/E6</f>
        <v>103.992944672028</v>
      </c>
      <c r="G6" s="9" t="n">
        <f aca="false">Assumptions!$C$15/100</f>
        <v>7.681</v>
      </c>
      <c r="H6" s="58" t="n">
        <f aca="false">C6/G6</f>
        <v>107.743243549017</v>
      </c>
      <c r="K6" s="22" t="s">
        <v>729</v>
      </c>
    </row>
    <row r="8" customFormat="false" ht="15.75" hidden="false" customHeight="true" outlineLevel="0" collapsed="false">
      <c r="A8" s="26" t="s">
        <v>730</v>
      </c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</row>
    <row r="9" customFormat="false" ht="15" hidden="false" customHeight="false" outlineLevel="0" collapsed="false">
      <c r="A9" s="5" t="s">
        <v>731</v>
      </c>
      <c r="C9" s="61" t="n">
        <v>25</v>
      </c>
      <c r="K9" s="25" t="s">
        <v>732</v>
      </c>
    </row>
    <row r="10" customFormat="false" ht="15" hidden="false" customHeight="false" outlineLevel="0" collapsed="false">
      <c r="A10" s="5" t="s">
        <v>733</v>
      </c>
      <c r="C10" s="58" t="n">
        <f aca="false">C9</f>
        <v>25</v>
      </c>
      <c r="K10" s="25" t="s">
        <v>734</v>
      </c>
    </row>
    <row r="11" customFormat="false" ht="15" hidden="false" customHeight="false" outlineLevel="0" collapsed="false">
      <c r="A11" s="5" t="s">
        <v>735</v>
      </c>
      <c r="C11" s="9" t="n">
        <f aca="false">IS!D20</f>
        <v>451.943494549035</v>
      </c>
    </row>
    <row r="12" customFormat="false" ht="15" hidden="false" customHeight="false" outlineLevel="0" collapsed="false">
      <c r="A12" s="3" t="s">
        <v>736</v>
      </c>
      <c r="C12" s="18" t="n">
        <f aca="false">C9*C11/Equity_Roll!$C$21</f>
        <v>1.31975883516439</v>
      </c>
    </row>
    <row r="13" customFormat="false" ht="15" hidden="false" customHeight="false" outlineLevel="0" collapsed="false">
      <c r="A13" s="3" t="s">
        <v>737</v>
      </c>
      <c r="C13" s="18" t="n">
        <f aca="false">C10*C11/Equity_Roll!$C$21</f>
        <v>1.31975883516439</v>
      </c>
    </row>
    <row r="14" customFormat="false" ht="15" hidden="false" customHeight="false" outlineLevel="0" collapsed="false">
      <c r="A14" s="5" t="s">
        <v>738</v>
      </c>
      <c r="C14" s="8" t="n">
        <f aca="false">C9*Assumptions!$C$13/Equity_Roll!$C$21</f>
        <v>2.3238836130871</v>
      </c>
      <c r="D14" s="8" t="n">
        <f aca="false">C10*Assumptions!$C$13/Equity_Roll!$C$21</f>
        <v>2.3238836130871</v>
      </c>
      <c r="K14" s="25" t="s">
        <v>739</v>
      </c>
    </row>
    <row r="15" customFormat="false" ht="15" hidden="false" customHeight="false" outlineLevel="0" collapsed="false">
      <c r="A15" s="5" t="s">
        <v>740</v>
      </c>
      <c r="C15" s="19" t="n">
        <f aca="false">C12/Assumptions!$C$7-1</f>
        <v>-0.863473694728874</v>
      </c>
      <c r="D15" s="19" t="n">
        <f aca="false">C13/Assumptions!$C$7-1</f>
        <v>-0.863473694728874</v>
      </c>
    </row>
  </sheetData>
  <mergeCells count="3">
    <mergeCell ref="A1:O1"/>
    <mergeCell ref="A2:O2"/>
    <mergeCell ref="A8:O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3.66"/>
    <col collapsed="false" customWidth="true" hidden="false" outlineLevel="0" max="7" min="2" style="0" width="10.92"/>
    <col collapsed="false" customWidth="true" hidden="false" outlineLevel="0" max="9" min="9" style="0" width="54.59"/>
  </cols>
  <sheetData>
    <row r="1" customFormat="false" ht="24" hidden="false" customHeight="true" outlineLevel="0" collapsed="false">
      <c r="A1" s="14" t="s">
        <v>741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742</v>
      </c>
      <c r="B2" s="15"/>
      <c r="C2" s="15"/>
      <c r="D2" s="15"/>
      <c r="E2" s="15"/>
      <c r="F2" s="15"/>
      <c r="G2" s="15"/>
      <c r="H2" s="15"/>
      <c r="I2" s="15"/>
      <c r="J2" s="15"/>
    </row>
    <row r="4" customFormat="false" ht="15.75" hidden="false" customHeight="true" outlineLevel="0" collapsed="false">
      <c r="A4" s="26" t="s">
        <v>743</v>
      </c>
      <c r="B4" s="26"/>
      <c r="C4" s="26"/>
      <c r="D4" s="26"/>
      <c r="E4" s="26"/>
      <c r="F4" s="26"/>
      <c r="G4" s="26"/>
      <c r="H4" s="26"/>
      <c r="I4" s="26"/>
    </row>
    <row r="5" customFormat="false" ht="15" hidden="false" customHeight="false" outlineLevel="0" collapsed="false">
      <c r="A5" s="37" t="s">
        <v>744</v>
      </c>
      <c r="C5" s="57" t="n">
        <f aca="false">Assumptions!$C$84-0.01</f>
        <v>0.02</v>
      </c>
      <c r="D5" s="57" t="n">
        <f aca="false">Assumptions!$C$84-0.005</f>
        <v>0.025</v>
      </c>
      <c r="E5" s="57" t="n">
        <f aca="false">Assumptions!$C$84</f>
        <v>0.03</v>
      </c>
      <c r="F5" s="57" t="n">
        <f aca="false">Assumptions!$C$84+0.005</f>
        <v>0.035</v>
      </c>
      <c r="G5" s="57" t="n">
        <f aca="false">Assumptions!$C$84+0.01</f>
        <v>0.04</v>
      </c>
    </row>
    <row r="6" customFormat="false" ht="15" hidden="false" customHeight="false" outlineLevel="0" collapsed="false">
      <c r="B6" s="57" t="n">
        <f aca="false">Assumptions!$C$83-0.01</f>
        <v>0.0829188495505451</v>
      </c>
      <c r="C6" s="8" t="n">
        <f aca="false">(DCF!$D$10/(1+$B6)^0.5+DCF!$E$10/(1+$B6)^1.5+DCF!$F$10/(1+$B6)^2.5+DCF!$G$10/(1+$B6)^3.5+DCF!$H$10/(1+$B6)^4.5+DCF!$H$10*(1+C$5)/($B6-C$5)/(1+$B6)^4.5+DCF!$D$24)/Equity_Roll!$C$21</f>
        <v>1.72461379491264</v>
      </c>
      <c r="D6" s="8" t="n">
        <f aca="false">(DCF!$D$10/(1+$B6)^0.5+DCF!$E$10/(1+$B6)^1.5+DCF!$F$10/(1+$B6)^2.5+DCF!$G$10/(1+$B6)^3.5+DCF!$H$10/(1+$B6)^4.5+DCF!$H$10*(1+D$5)/($B6-D$5)/(1+$B6)^4.5+DCF!$D$24)/Equity_Roll!$C$21</f>
        <v>1.97376325300287</v>
      </c>
      <c r="E6" s="8" t="n">
        <f aca="false">(DCF!$D$10/(1+$B6)^0.5+DCF!$E$10/(1+$B6)^1.5+DCF!$F$10/(1+$B6)^2.5+DCF!$G$10/(1+$B6)^3.5+DCF!$H$10/(1+$B6)^4.5+DCF!$H$10*(1+E$5)/($B6-E$5)/(1+$B6)^4.5+DCF!$D$24)/Equity_Roll!$C$21</f>
        <v>2.2699941310798</v>
      </c>
      <c r="F6" s="8" t="n">
        <f aca="false">(DCF!$D$10/(1+$B6)^0.5+DCF!$E$10/(1+$B6)^1.5+DCF!$F$10/(1+$B6)^2.5+DCF!$G$10/(1+$B6)^3.5+DCF!$H$10/(1+$B6)^4.5+DCF!$H$10*(1+F$5)/($B6-F$5)/(1+$B6)^4.5+DCF!$D$24)/Equity_Roll!$C$21</f>
        <v>2.62804428922197</v>
      </c>
      <c r="G6" s="8" t="n">
        <f aca="false">(DCF!$D$10/(1+$B6)^0.5+DCF!$E$10/(1+$B6)^1.5+DCF!$F$10/(1+$B6)^2.5+DCF!$G$10/(1+$B6)^3.5+DCF!$H$10/(1+$B6)^4.5+DCF!$H$10*(1+G$5)/($B6-G$5)/(1+$B6)^4.5+DCF!$D$24)/Equity_Roll!$C$21</f>
        <v>3.06951936715854</v>
      </c>
    </row>
    <row r="7" customFormat="false" ht="15" hidden="false" customHeight="false" outlineLevel="0" collapsed="false">
      <c r="B7" s="57" t="n">
        <f aca="false">Assumptions!$C$83-0.005</f>
        <v>0.0879188495505451</v>
      </c>
      <c r="C7" s="8" t="n">
        <f aca="false">(DCF!$D$10/(1+$B7)^0.5+DCF!$E$10/(1+$B7)^1.5+DCF!$F$10/(1+$B7)^2.5+DCF!$G$10/(1+$B7)^3.5+DCF!$H$10/(1+$B7)^4.5+DCF!$H$10*(1+C$5)/($B7-C$5)/(1+$B7)^4.5+DCF!$D$24)/Equity_Roll!$C$21</f>
        <v>1.46437711420403</v>
      </c>
      <c r="D7" s="8" t="n">
        <f aca="false">(DCF!$D$10/(1+$B7)^0.5+DCF!$E$10/(1+$B7)^1.5+DCF!$F$10/(1+$B7)^2.5+DCF!$G$10/(1+$B7)^3.5+DCF!$H$10/(1+$B7)^4.5+DCF!$H$10*(1+D$5)/($B7-D$5)/(1+$B7)^4.5+DCF!$D$24)/Equity_Roll!$C$21</f>
        <v>1.6734450800434</v>
      </c>
      <c r="E7" s="8" t="n">
        <f aca="false">(DCF!$D$10/(1+$B7)^0.5+DCF!$E$10/(1+$B7)^1.5+DCF!$F$10/(1+$B7)^2.5+DCF!$G$10/(1+$B7)^3.5+DCF!$H$10/(1+$B7)^4.5+DCF!$H$10*(1+E$5)/($B7-E$5)/(1+$B7)^4.5+DCF!$D$24)/Equity_Roll!$C$21</f>
        <v>1.9186097514392</v>
      </c>
      <c r="F7" s="8" t="n">
        <f aca="false">(DCF!$D$10/(1+$B7)^0.5+DCF!$E$10/(1+$B7)^1.5+DCF!$F$10/(1+$B7)^2.5+DCF!$G$10/(1+$B7)^3.5+DCF!$H$10/(1+$B7)^4.5+DCF!$H$10*(1+F$5)/($B7-F$5)/(1+$B7)^4.5+DCF!$D$24)/Equity_Roll!$C$21</f>
        <v>2.21010284332753</v>
      </c>
      <c r="G7" s="8" t="n">
        <f aca="false">(DCF!$D$10/(1+$B7)^0.5+DCF!$E$10/(1+$B7)^1.5+DCF!$F$10/(1+$B7)^2.5+DCF!$G$10/(1+$B7)^3.5+DCF!$H$10/(1+$B7)^4.5+DCF!$H$10*(1+G$5)/($B7-G$5)/(1+$B7)^4.5+DCF!$D$24)/Equity_Roll!$C$21</f>
        <v>2.56242650494413</v>
      </c>
    </row>
    <row r="8" customFormat="false" ht="15" hidden="false" customHeight="false" outlineLevel="0" collapsed="false">
      <c r="B8" s="57" t="n">
        <f aca="false">Assumptions!$C$83</f>
        <v>0.0929188495505451</v>
      </c>
      <c r="C8" s="8" t="n">
        <f aca="false">(DCF!$D$10/(1+$B8)^0.5+DCF!$E$10/(1+$B8)^1.5+DCF!$F$10/(1+$B8)^2.5+DCF!$G$10/(1+$B8)^3.5+DCF!$H$10/(1+$B8)^4.5+DCF!$H$10*(1+C$5)/($B8-C$5)/(1+$B8)^4.5+DCF!$D$24)/Equity_Roll!$C$21</f>
        <v>1.24004261427688</v>
      </c>
      <c r="D8" s="8" t="n">
        <f aca="false">(DCF!$D$10/(1+$B8)^0.5+DCF!$E$10/(1+$B8)^1.5+DCF!$F$10/(1+$B8)^2.5+DCF!$G$10/(1+$B8)^3.5+DCF!$H$10/(1+$B8)^4.5+DCF!$H$10*(1+D$5)/($B8-D$5)/(1+$B8)^4.5+DCF!$D$24)/Equity_Roll!$C$21</f>
        <v>1.41756719964364</v>
      </c>
      <c r="E8" s="62" t="n">
        <f aca="false">(DCF!$D$10/(1+$B8)^0.5+DCF!$E$10/(1+$B8)^1.5+DCF!$F$10/(1+$B8)^2.5+DCF!$G$10/(1+$B8)^3.5+DCF!$H$10/(1+$B8)^4.5+DCF!$H$10*(1+E$5)/($B8-E$5)/(1+$B8)^4.5+DCF!$D$24)/Equity_Roll!$C$21</f>
        <v>1.6233066342384</v>
      </c>
      <c r="F8" s="8" t="n">
        <f aca="false">(DCF!$D$10/(1+$B8)^0.5+DCF!$E$10/(1+$B8)^1.5+DCF!$F$10/(1+$B8)^2.5+DCF!$G$10/(1+$B8)^3.5+DCF!$H$10/(1+$B8)^4.5+DCF!$H$10*(1+F$5)/($B8-F$5)/(1+$B8)^4.5+DCF!$D$24)/Equity_Roll!$C$21</f>
        <v>1.86456808561893</v>
      </c>
      <c r="G8" s="8" t="n">
        <f aca="false">(DCF!$D$10/(1+$B8)^0.5+DCF!$E$10/(1+$B8)^1.5+DCF!$F$10/(1+$B8)^2.5+DCF!$G$10/(1+$B8)^3.5+DCF!$H$10/(1+$B8)^4.5+DCF!$H$10*(1+G$5)/($B8-G$5)/(1+$B8)^4.5+DCF!$D$24)/Equity_Roll!$C$21</f>
        <v>2.15142037153757</v>
      </c>
    </row>
    <row r="9" customFormat="false" ht="15" hidden="false" customHeight="false" outlineLevel="0" collapsed="false">
      <c r="B9" s="57" t="n">
        <f aca="false">Assumptions!$C$83+0.005</f>
        <v>0.0979188495505451</v>
      </c>
      <c r="C9" s="8" t="n">
        <f aca="false">(DCF!$D$10/(1+$B9)^0.5+DCF!$E$10/(1+$B9)^1.5+DCF!$F$10/(1+$B9)^2.5+DCF!$G$10/(1+$B9)^3.5+DCF!$H$10/(1+$B9)^4.5+DCF!$H$10*(1+C$5)/($B9-C$5)/(1+$B9)^4.5+DCF!$D$24)/Equity_Roll!$C$21</f>
        <v>1.04469436624562</v>
      </c>
      <c r="D9" s="8" t="n">
        <f aca="false">(DCF!$D$10/(1+$B9)^0.5+DCF!$E$10/(1+$B9)^1.5+DCF!$F$10/(1+$B9)^2.5+DCF!$G$10/(1+$B9)^3.5+DCF!$H$10/(1+$B9)^4.5+DCF!$H$10*(1+D$5)/($B9-D$5)/(1+$B9)^4.5+DCF!$D$24)/Equity_Roll!$C$21</f>
        <v>1.19698323433186</v>
      </c>
      <c r="E9" s="8" t="n">
        <f aca="false">(DCF!$D$10/(1+$B9)^0.5+DCF!$E$10/(1+$B9)^1.5+DCF!$F$10/(1+$B9)^2.5+DCF!$G$10/(1+$B9)^3.5+DCF!$H$10/(1+$B9)^4.5+DCF!$H$10*(1+E$5)/($B9-E$5)/(1+$B9)^4.5+DCF!$D$24)/Equity_Roll!$C$21</f>
        <v>1.3716942825778</v>
      </c>
      <c r="F9" s="8" t="n">
        <f aca="false">(DCF!$D$10/(1+$B9)^0.5+DCF!$E$10/(1+$B9)^1.5+DCF!$F$10/(1+$B9)^2.5+DCF!$G$10/(1+$B9)^3.5+DCF!$H$10/(1+$B9)^4.5+DCF!$H$10*(1+F$5)/($B9-F$5)/(1+$B9)^4.5+DCF!$D$24)/Equity_Roll!$C$21</f>
        <v>1.57417301085826</v>
      </c>
      <c r="G9" s="8" t="n">
        <f aca="false">(DCF!$D$10/(1+$B9)^0.5+DCF!$E$10/(1+$B9)^1.5+DCF!$F$10/(1+$B9)^2.5+DCF!$G$10/(1+$B9)^3.5+DCF!$H$10/(1+$B9)^4.5+DCF!$H$10*(1+G$5)/($B9-G$5)/(1+$B9)^4.5+DCF!$D$24)/Equity_Roll!$C$21</f>
        <v>1.81161077749181</v>
      </c>
    </row>
    <row r="10" customFormat="false" ht="15" hidden="false" customHeight="false" outlineLevel="0" collapsed="false">
      <c r="B10" s="57" t="n">
        <f aca="false">Assumptions!$C$83+0.01</f>
        <v>0.102918849550545</v>
      </c>
      <c r="C10" s="8" t="n">
        <f aca="false">(DCF!$D$10/(1+$B10)^0.5+DCF!$E$10/(1+$B10)^1.5+DCF!$F$10/(1+$B10)^2.5+DCF!$G$10/(1+$B10)^3.5+DCF!$H$10/(1+$B10)^4.5+DCF!$H$10*(1+C$5)/($B10-C$5)/(1+$B10)^4.5+DCF!$D$24)/Equity_Roll!$C$21</f>
        <v>0.873084674633494</v>
      </c>
      <c r="D10" s="8" t="n">
        <f aca="false">(DCF!$D$10/(1+$B10)^0.5+DCF!$E$10/(1+$B10)^1.5+DCF!$F$10/(1+$B10)^2.5+DCF!$G$10/(1+$B10)^3.5+DCF!$H$10/(1+$B10)^4.5+DCF!$H$10*(1+D$5)/($B10-D$5)/(1+$B10)^4.5+DCF!$D$24)/Equity_Roll!$C$21</f>
        <v>1.00489459162093</v>
      </c>
      <c r="E10" s="8" t="n">
        <f aca="false">(DCF!$D$10/(1+$B10)^0.5+DCF!$E$10/(1+$B10)^1.5+DCF!$F$10/(1+$B10)^2.5+DCF!$G$10/(1+$B10)^3.5+DCF!$H$10/(1+$B10)^4.5+DCF!$H$10*(1+E$5)/($B10-E$5)/(1+$B10)^4.5+DCF!$D$24)/Equity_Roll!$C$21</f>
        <v>1.1547807560807</v>
      </c>
      <c r="F10" s="8" t="n">
        <f aca="false">(DCF!$D$10/(1+$B10)^0.5+DCF!$E$10/(1+$B10)^1.5+DCF!$F$10/(1+$B10)^2.5+DCF!$G$10/(1+$B10)^3.5+DCF!$H$10/(1+$B10)^4.5+DCF!$H$10*(1+F$5)/($B10-F$5)/(1+$B10)^4.5+DCF!$D$24)/Equity_Roll!$C$21</f>
        <v>1.32673533975718</v>
      </c>
      <c r="G10" s="8" t="n">
        <f aca="false">(DCF!$D$10/(1+$B10)^0.5+DCF!$E$10/(1+$B10)^1.5+DCF!$F$10/(1+$B10)^2.5+DCF!$G$10/(1+$B10)^3.5+DCF!$H$10/(1+$B10)^4.5+DCF!$H$10*(1+G$5)/($B10-G$5)/(1+$B10)^4.5+DCF!$D$24)/Equity_Roll!$C$21</f>
        <v>1.52601950509398</v>
      </c>
    </row>
    <row r="11" customFormat="false" ht="15" hidden="false" customHeight="false" outlineLevel="0" collapsed="false">
      <c r="A11" s="25" t="s">
        <v>745</v>
      </c>
    </row>
    <row r="13" customFormat="false" ht="15.75" hidden="false" customHeight="true" outlineLevel="0" collapsed="false">
      <c r="A13" s="26" t="s">
        <v>746</v>
      </c>
      <c r="B13" s="26"/>
      <c r="C13" s="26"/>
      <c r="D13" s="26"/>
      <c r="E13" s="26"/>
      <c r="F13" s="26"/>
      <c r="G13" s="26"/>
      <c r="H13" s="26"/>
      <c r="I13" s="26"/>
    </row>
    <row r="14" customFormat="false" ht="15" hidden="false" customHeight="false" outlineLevel="0" collapsed="false">
      <c r="A14" s="37" t="s">
        <v>747</v>
      </c>
      <c r="C14" s="63" t="n">
        <v>25</v>
      </c>
      <c r="D14" s="63" t="n">
        <v>30</v>
      </c>
      <c r="E14" s="63" t="n">
        <v>35</v>
      </c>
      <c r="F14" s="63" t="n">
        <v>40</v>
      </c>
      <c r="G14" s="63" t="n">
        <v>45</v>
      </c>
      <c r="H14" s="63" t="n">
        <v>50</v>
      </c>
    </row>
    <row r="15" customFormat="false" ht="15" hidden="false" customHeight="false" outlineLevel="0" collapsed="false">
      <c r="B15" s="64" t="n">
        <v>0.4</v>
      </c>
      <c r="C15" s="8" t="n">
        <f aca="false">IS!$C$20*(1+$B15)*C$14/Equity_Roll!$C$21</f>
        <v>2.80086671105349</v>
      </c>
      <c r="D15" s="8" t="n">
        <f aca="false">IS!$C$20*(1+$B15)*D$14/Equity_Roll!$C$21</f>
        <v>3.36104005326418</v>
      </c>
      <c r="E15" s="8" t="n">
        <f aca="false">IS!$C$20*(1+$B15)*E$14/Equity_Roll!$C$21</f>
        <v>3.92121339547488</v>
      </c>
      <c r="F15" s="8" t="n">
        <f aca="false">IS!$C$20*(1+$B15)*F$14/Equity_Roll!$C$21</f>
        <v>4.48138673768558</v>
      </c>
      <c r="G15" s="8" t="n">
        <f aca="false">IS!$C$20*(1+$B15)*G$14/Equity_Roll!$C$21</f>
        <v>5.04156007989628</v>
      </c>
      <c r="H15" s="8" t="n">
        <f aca="false">IS!$C$20*(1+$B15)*H$14/Equity_Roll!$C$21</f>
        <v>5.60173342210697</v>
      </c>
    </row>
    <row r="16" customFormat="false" ht="15" hidden="false" customHeight="false" outlineLevel="0" collapsed="false">
      <c r="B16" s="64" t="n">
        <v>0.6</v>
      </c>
      <c r="C16" s="8" t="n">
        <f aca="false">IS!$C$20*(1+$B16)*C$14/Equity_Roll!$C$21</f>
        <v>3.20099052691827</v>
      </c>
      <c r="D16" s="8" t="n">
        <f aca="false">IS!$C$20*(1+$B16)*D$14/Equity_Roll!$C$21</f>
        <v>3.84118863230192</v>
      </c>
      <c r="E16" s="8" t="n">
        <f aca="false">IS!$C$20*(1+$B16)*E$14/Equity_Roll!$C$21</f>
        <v>4.48138673768558</v>
      </c>
      <c r="F16" s="8" t="n">
        <f aca="false">IS!$C$20*(1+$B16)*F$14/Equity_Roll!$C$21</f>
        <v>5.12158484306923</v>
      </c>
      <c r="G16" s="8" t="n">
        <f aca="false">IS!$C$20*(1+$B16)*G$14/Equity_Roll!$C$21</f>
        <v>5.76178294845289</v>
      </c>
      <c r="H16" s="8" t="n">
        <f aca="false">IS!$C$20*(1+$B16)*H$14/Equity_Roll!$C$21</f>
        <v>6.40198105383654</v>
      </c>
    </row>
    <row r="17" customFormat="false" ht="15" hidden="false" customHeight="false" outlineLevel="0" collapsed="false">
      <c r="B17" s="64" t="n">
        <v>0.8</v>
      </c>
      <c r="C17" s="8" t="n">
        <f aca="false">IS!$C$20*(1+$B17)*C$14/Equity_Roll!$C$21</f>
        <v>3.60111434278305</v>
      </c>
      <c r="D17" s="8" t="n">
        <f aca="false">IS!$C$20*(1+$B17)*D$14/Equity_Roll!$C$21</f>
        <v>4.32133721133967</v>
      </c>
      <c r="E17" s="8" t="n">
        <f aca="false">IS!$C$20*(1+$B17)*E$14/Equity_Roll!$C$21</f>
        <v>5.04156007989628</v>
      </c>
      <c r="F17" s="8" t="n">
        <f aca="false">IS!$C$20*(1+$B17)*F$14/Equity_Roll!$C$21</f>
        <v>5.76178294845289</v>
      </c>
      <c r="G17" s="8" t="n">
        <f aca="false">IS!$C$20*(1+$B17)*G$14/Equity_Roll!$C$21</f>
        <v>6.4820058170095</v>
      </c>
      <c r="H17" s="8" t="n">
        <f aca="false">IS!$C$20*(1+$B17)*H$14/Equity_Roll!$C$21</f>
        <v>7.20222868556611</v>
      </c>
    </row>
    <row r="18" customFormat="false" ht="15" hidden="false" customHeight="false" outlineLevel="0" collapsed="false">
      <c r="B18" s="64" t="n">
        <v>1</v>
      </c>
      <c r="C18" s="8" t="n">
        <f aca="false">IS!$C$20*(1+$B18)*C$14/Equity_Roll!$C$21</f>
        <v>4.00123815864784</v>
      </c>
      <c r="D18" s="8" t="n">
        <f aca="false">IS!$C$20*(1+$B18)*D$14/Equity_Roll!$C$21</f>
        <v>4.80148579037741</v>
      </c>
      <c r="E18" s="8" t="n">
        <f aca="false">IS!$C$20*(1+$B18)*E$14/Equity_Roll!$C$21</f>
        <v>5.60173342210697</v>
      </c>
      <c r="F18" s="8" t="n">
        <f aca="false">IS!$C$20*(1+$B18)*F$14/Equity_Roll!$C$21</f>
        <v>6.40198105383654</v>
      </c>
      <c r="G18" s="8" t="n">
        <f aca="false">IS!$C$20*(1+$B18)*G$14/Equity_Roll!$C$21</f>
        <v>7.20222868556611</v>
      </c>
      <c r="H18" s="8" t="n">
        <f aca="false">IS!$C$20*(1+$B18)*H$14/Equity_Roll!$C$21</f>
        <v>8.00247631729567</v>
      </c>
    </row>
    <row r="19" customFormat="false" ht="15" hidden="false" customHeight="false" outlineLevel="0" collapsed="false">
      <c r="B19" s="64" t="n">
        <v>1.115</v>
      </c>
      <c r="C19" s="8" t="n">
        <f aca="false">IS!$C$20*(1+$B19)*C$14/Equity_Roll!$C$21</f>
        <v>4.23130935277009</v>
      </c>
      <c r="D19" s="8" t="n">
        <f aca="false">IS!$C$20*(1+$B19)*D$14/Equity_Roll!$C$21</f>
        <v>5.07757122332411</v>
      </c>
      <c r="E19" s="8" t="n">
        <f aca="false">IS!$C$20*(1+$B19)*E$14/Equity_Roll!$C$21</f>
        <v>5.92383309387812</v>
      </c>
      <c r="F19" s="8" t="n">
        <f aca="false">IS!$C$20*(1+$B19)*F$14/Equity_Roll!$C$21</f>
        <v>6.77009496443214</v>
      </c>
      <c r="G19" s="8" t="n">
        <f aca="false">IS!$C$20*(1+$B19)*G$14/Equity_Roll!$C$21</f>
        <v>7.61635683498616</v>
      </c>
      <c r="H19" s="8" t="n">
        <f aca="false">IS!$C$20*(1+$B19)*H$14/Equity_Roll!$C$21</f>
        <v>8.46261870554018</v>
      </c>
    </row>
    <row r="20" customFormat="false" ht="15" hidden="false" customHeight="false" outlineLevel="0" collapsed="false">
      <c r="B20" s="64" t="n">
        <v>1.3</v>
      </c>
      <c r="C20" s="8" t="n">
        <f aca="false">IS!$C$20*(1+$B20)*C$14/Equity_Roll!$C$21</f>
        <v>4.60142388244501</v>
      </c>
      <c r="D20" s="8" t="n">
        <f aca="false">IS!$C$20*(1+$B20)*D$14/Equity_Roll!$C$21</f>
        <v>5.52170865893402</v>
      </c>
      <c r="E20" s="8" t="n">
        <f aca="false">IS!$C$20*(1+$B20)*E$14/Equity_Roll!$C$21</f>
        <v>6.44199343542302</v>
      </c>
      <c r="F20" s="8" t="n">
        <f aca="false">IS!$C$20*(1+$B20)*F$14/Equity_Roll!$C$21</f>
        <v>7.36227821191202</v>
      </c>
      <c r="G20" s="8" t="n">
        <f aca="false">IS!$C$20*(1+$B20)*G$14/Equity_Roll!$C$21</f>
        <v>8.28256298840102</v>
      </c>
      <c r="H20" s="8" t="n">
        <f aca="false">IS!$C$20*(1+$B20)*H$14/Equity_Roll!$C$21</f>
        <v>9.20284776489003</v>
      </c>
    </row>
    <row r="21" customFormat="false" ht="15" hidden="false" customHeight="false" outlineLevel="0" collapsed="false">
      <c r="A21" s="25" t="s">
        <v>748</v>
      </c>
    </row>
    <row r="23" customFormat="false" ht="15.75" hidden="false" customHeight="true" outlineLevel="0" collapsed="false">
      <c r="A23" s="26" t="s">
        <v>749</v>
      </c>
      <c r="B23" s="26"/>
      <c r="C23" s="26"/>
      <c r="D23" s="26"/>
      <c r="E23" s="26"/>
      <c r="F23" s="26"/>
      <c r="G23" s="26"/>
      <c r="H23" s="26"/>
      <c r="I23" s="26"/>
    </row>
    <row r="24" customFormat="false" ht="25.35" hidden="false" customHeight="false" outlineLevel="0" collapsed="false">
      <c r="A24" s="37" t="s">
        <v>750</v>
      </c>
      <c r="C24" s="43" t="s">
        <v>751</v>
      </c>
      <c r="D24" s="37" t="s">
        <v>752</v>
      </c>
      <c r="I24" s="20" t="s">
        <v>753</v>
      </c>
    </row>
    <row r="25" customFormat="false" ht="15" hidden="false" customHeight="false" outlineLevel="0" collapsed="false">
      <c r="B25" s="65" t="n">
        <v>-40</v>
      </c>
      <c r="C25" s="8" t="n">
        <f aca="false">((DCF!D$10+$B25/365*(IS!D$6))/(1+Assumptions!$C$83)^0.5+(DCF!E$10+$B25/365*(IS!E$6-IS!D$6))/(1+Assumptions!$C$83)^1.5+(DCF!F$10+$B25/365*(IS!F$6-IS!E$6))/(1+Assumptions!$C$83)^2.5+(DCF!G$10+$B25/365*(IS!G$6-IS!F$6))/(1+Assumptions!$C$83)^3.5+(DCF!H$10+$B25/365*(IS!H$6-IS!G$6))/(1+Assumptions!$C$83)^4.5+(DCF!$H$10+$B25/365*(IS!H$6-IS!G$6))*(1+Assumptions!$C$84)/(Assumptions!$C$83-Assumptions!$C$84)/(1+Assumptions!$C$83)^4.5+DCF!$D$24)/Equity_Roll!$C$21</f>
        <v>1.41137966745276</v>
      </c>
      <c r="D25" s="19" t="n">
        <f aca="false">C25/DCF!$D$26-1</f>
        <v>-0.130552640096284</v>
      </c>
    </row>
    <row r="26" customFormat="false" ht="15" hidden="false" customHeight="false" outlineLevel="0" collapsed="false">
      <c r="B26" s="65" t="n">
        <v>-20</v>
      </c>
      <c r="C26" s="8" t="n">
        <f aca="false">((DCF!D$10+$B26/365*(IS!D$6))/(1+Assumptions!$C$83)^0.5+(DCF!E$10+$B26/365*(IS!E$6-IS!D$6))/(1+Assumptions!$C$83)^1.5+(DCF!F$10+$B26/365*(IS!F$6-IS!E$6))/(1+Assumptions!$C$83)^2.5+(DCF!G$10+$B26/365*(IS!G$6-IS!F$6))/(1+Assumptions!$C$83)^3.5+(DCF!H$10+$B26/365*(IS!H$6-IS!G$6))/(1+Assumptions!$C$83)^4.5+(DCF!$H$10+$B26/365*(IS!H$6-IS!G$6))*(1+Assumptions!$C$84)/(Assumptions!$C$83-Assumptions!$C$84)/(1+Assumptions!$C$83)^4.5+DCF!$D$24)/Equity_Roll!$C$21</f>
        <v>1.51734315084558</v>
      </c>
      <c r="D26" s="19" t="n">
        <f aca="false">C26/DCF!$D$26-1</f>
        <v>-0.0652763200481419</v>
      </c>
    </row>
    <row r="27" customFormat="false" ht="15" hidden="false" customHeight="false" outlineLevel="0" collapsed="false">
      <c r="B27" s="65" t="n">
        <v>0</v>
      </c>
      <c r="C27" s="62" t="n">
        <f aca="false">((DCF!D$10+$B27/365*(IS!D$6))/(1+Assumptions!$C$83)^0.5+(DCF!E$10+$B27/365*(IS!E$6-IS!D$6))/(1+Assumptions!$C$83)^1.5+(DCF!F$10+$B27/365*(IS!F$6-IS!E$6))/(1+Assumptions!$C$83)^2.5+(DCF!G$10+$B27/365*(IS!G$6-IS!F$6))/(1+Assumptions!$C$83)^3.5+(DCF!H$10+$B27/365*(IS!H$6-IS!G$6))/(1+Assumptions!$C$83)^4.5+(DCF!$H$10+$B27/365*(IS!H$6-IS!G$6))*(1+Assumptions!$C$84)/(Assumptions!$C$83-Assumptions!$C$84)/(1+Assumptions!$C$83)^4.5+DCF!$D$24)/Equity_Roll!$C$21</f>
        <v>1.6233066342384</v>
      </c>
      <c r="D27" s="19" t="n">
        <f aca="false">C27/DCF!$D$26-1</f>
        <v>0</v>
      </c>
    </row>
    <row r="28" customFormat="false" ht="15" hidden="false" customHeight="false" outlineLevel="0" collapsed="false">
      <c r="B28" s="65" t="n">
        <v>20</v>
      </c>
      <c r="C28" s="8" t="n">
        <f aca="false">((DCF!D$10+$B28/365*(IS!D$6))/(1+Assumptions!$C$83)^0.5+(DCF!E$10+$B28/365*(IS!E$6-IS!D$6))/(1+Assumptions!$C$83)^1.5+(DCF!F$10+$B28/365*(IS!F$6-IS!E$6))/(1+Assumptions!$C$83)^2.5+(DCF!G$10+$B28/365*(IS!G$6-IS!F$6))/(1+Assumptions!$C$83)^3.5+(DCF!H$10+$B28/365*(IS!H$6-IS!G$6))/(1+Assumptions!$C$83)^4.5+(DCF!$H$10+$B28/365*(IS!H$6-IS!G$6))*(1+Assumptions!$C$84)/(Assumptions!$C$83-Assumptions!$C$84)/(1+Assumptions!$C$83)^4.5+DCF!$D$24)/Equity_Roll!$C$21</f>
        <v>1.72927011763122</v>
      </c>
      <c r="D28" s="19" t="n">
        <f aca="false">C28/DCF!$D$26-1</f>
        <v>0.0652763200481425</v>
      </c>
    </row>
    <row r="29" customFormat="false" ht="15" hidden="false" customHeight="false" outlineLevel="0" collapsed="false">
      <c r="B29" s="65" t="n">
        <v>40</v>
      </c>
      <c r="C29" s="8" t="n">
        <f aca="false">((DCF!D$10+$B29/365*(IS!D$6))/(1+Assumptions!$C$83)^0.5+(DCF!E$10+$B29/365*(IS!E$6-IS!D$6))/(1+Assumptions!$C$83)^1.5+(DCF!F$10+$B29/365*(IS!F$6-IS!E$6))/(1+Assumptions!$C$83)^2.5+(DCF!G$10+$B29/365*(IS!G$6-IS!F$6))/(1+Assumptions!$C$83)^3.5+(DCF!H$10+$B29/365*(IS!H$6-IS!G$6))/(1+Assumptions!$C$83)^4.5+(DCF!$H$10+$B29/365*(IS!H$6-IS!G$6))*(1+Assumptions!$C$84)/(Assumptions!$C$83-Assumptions!$C$84)/(1+Assumptions!$C$83)^4.5+DCF!$D$24)/Equity_Roll!$C$21</f>
        <v>1.83523360102403</v>
      </c>
      <c r="D29" s="19" t="n">
        <f aca="false">C29/DCF!$D$26-1</f>
        <v>0.130552640096284</v>
      </c>
    </row>
    <row r="30" customFormat="false" ht="15" hidden="false" customHeight="false" outlineLevel="0" collapsed="false">
      <c r="A30" s="27" t="s">
        <v>754</v>
      </c>
    </row>
  </sheetData>
  <mergeCells count="5">
    <mergeCell ref="A1:J1"/>
    <mergeCell ref="A2:J2"/>
    <mergeCell ref="A4:I4"/>
    <mergeCell ref="A13:I13"/>
    <mergeCell ref="A23:I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3.66"/>
    <col collapsed="false" customWidth="true" hidden="false" outlineLevel="0" max="8" min="2" style="0" width="10.01"/>
    <col collapsed="false" customWidth="true" hidden="false" outlineLevel="0" max="9" min="9" style="0" width="50.95"/>
  </cols>
  <sheetData>
    <row r="1" customFormat="false" ht="24" hidden="false" customHeight="true" outlineLevel="0" collapsed="false">
      <c r="A1" s="14" t="s">
        <v>755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756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757</v>
      </c>
      <c r="B3" s="66" t="n">
        <f aca="false">Assumptions!$C$5</f>
        <v>2</v>
      </c>
      <c r="C3" s="67" t="str">
        <f aca="false">CHOOSE(B3,"熊市","基准","牛市")</f>
        <v>基准</v>
      </c>
      <c r="I3" s="25" t="s">
        <v>758</v>
      </c>
    </row>
    <row r="4" customFormat="false" ht="15" hidden="false" customHeight="false" outlineLevel="0" collapsed="false">
      <c r="A4" s="5" t="s">
        <v>759</v>
      </c>
      <c r="B4" s="19" t="n">
        <f aca="false">Schedules!D17/IS!D4</f>
        <v>0.135317511201111</v>
      </c>
      <c r="I4" s="25" t="s">
        <v>760</v>
      </c>
    </row>
    <row r="6" customFormat="false" ht="15.75" hidden="false" customHeight="true" outlineLevel="0" collapsed="false">
      <c r="A6" s="26" t="s">
        <v>761</v>
      </c>
      <c r="B6" s="26"/>
      <c r="C6" s="26"/>
      <c r="D6" s="26"/>
      <c r="E6" s="26"/>
      <c r="F6" s="26"/>
      <c r="G6" s="26"/>
      <c r="H6" s="26"/>
      <c r="I6" s="26"/>
      <c r="J6" s="26"/>
    </row>
    <row r="7" customFormat="false" ht="15" hidden="false" customHeight="false" outlineLevel="0" collapsed="false">
      <c r="A7" s="3" t="s">
        <v>244</v>
      </c>
      <c r="D7" s="45" t="s">
        <v>115</v>
      </c>
      <c r="E7" s="45" t="s">
        <v>116</v>
      </c>
      <c r="F7" s="45" t="s">
        <v>117</v>
      </c>
      <c r="G7" s="45" t="s">
        <v>118</v>
      </c>
      <c r="H7" s="45" t="s">
        <v>119</v>
      </c>
    </row>
    <row r="8" customFormat="false" ht="15" hidden="false" customHeight="false" outlineLevel="0" collapsed="false">
      <c r="A8" s="5" t="s">
        <v>273</v>
      </c>
      <c r="D8" s="9" t="n">
        <f aca="false">IS!C4*(1+Revenue_Segments!D21+Assumptions!$C$88)</f>
        <v>9434.0582</v>
      </c>
      <c r="E8" s="9" t="n">
        <f aca="false">D8*(1+Revenue_Segments!E21+Assumptions!$C$88)</f>
        <v>9161.41391802</v>
      </c>
      <c r="F8" s="9" t="n">
        <f aca="false">E8*(1+Revenue_Segments!F21+Assumptions!$C$88)</f>
        <v>8600.73538623718</v>
      </c>
      <c r="G8" s="9" t="n">
        <f aca="false">F8*(1+Revenue_Segments!G21+Assumptions!$C$88)</f>
        <v>7866.23258425252</v>
      </c>
      <c r="H8" s="9" t="n">
        <f aca="false">G8*(1+Revenue_Segments!H21+Assumptions!$C$88)</f>
        <v>7067.80997695089</v>
      </c>
    </row>
    <row r="9" customFormat="false" ht="15" hidden="false" customHeight="false" outlineLevel="0" collapsed="false">
      <c r="A9" s="5" t="s">
        <v>762</v>
      </c>
      <c r="D9" s="19" t="n">
        <f aca="false">(Revenue_Segments!D22+Assumptions!$D$88-Assumptions!C$27-Assumptions!C$28-Assumptions!C$29-Assumptions!C$30-Assumptions!$C$35)*(1-Assumptions!C$33)*(1-Assumptions!C$34)</f>
        <v>0.02350429767168</v>
      </c>
      <c r="E9" s="19" t="n">
        <f aca="false">(Revenue_Segments!E22+Assumptions!$D$88-Assumptions!D$27-Assumptions!D$28-Assumptions!D$29-Assumptions!D$30-Assumptions!$C$35)*(1-Assumptions!D$33)*(1-Assumptions!D$34)</f>
        <v>0.02350429767168</v>
      </c>
      <c r="F9" s="19" t="n">
        <f aca="false">(Revenue_Segments!F22+Assumptions!$D$88-Assumptions!E$27-Assumptions!E$28-Assumptions!E$29-Assumptions!E$30-Assumptions!$C$35)*(1-Assumptions!E$33)*(1-Assumptions!E$34)</f>
        <v>0.02350429767168</v>
      </c>
      <c r="G9" s="19" t="n">
        <f aca="false">(Revenue_Segments!G22+Assumptions!$D$88-Assumptions!F$27-Assumptions!F$28-Assumptions!F$29-Assumptions!F$30-Assumptions!$C$35)*(1-Assumptions!F$33)*(1-Assumptions!F$34)</f>
        <v>0.02350429767168</v>
      </c>
      <c r="H9" s="19" t="n">
        <f aca="false">(Revenue_Segments!H22+Assumptions!$D$88-Assumptions!G$27-Assumptions!G$28-Assumptions!G$29-Assumptions!G$30-Assumptions!$C$35)*(1-Assumptions!G$33)*(1-Assumptions!G$34)</f>
        <v>0.02350429767168</v>
      </c>
    </row>
    <row r="10" customFormat="false" ht="15" hidden="false" customHeight="false" outlineLevel="0" collapsed="false">
      <c r="A10" s="5" t="s">
        <v>300</v>
      </c>
      <c r="D10" s="48" t="n">
        <f aca="false">D8*D9</f>
        <v>221.740912184754</v>
      </c>
      <c r="E10" s="48" t="n">
        <f aca="false">E8*E9</f>
        <v>215.332599822614</v>
      </c>
      <c r="F10" s="48" t="n">
        <f aca="false">F8*F9</f>
        <v>202.15424471347</v>
      </c>
      <c r="G10" s="48" t="n">
        <f aca="false">G8*G9</f>
        <v>184.89027221494</v>
      </c>
      <c r="H10" s="48" t="n">
        <f aca="false">H8*H9</f>
        <v>166.123909585123</v>
      </c>
    </row>
    <row r="11" customFormat="false" ht="15" hidden="false" customHeight="false" outlineLevel="0" collapsed="false">
      <c r="A11" s="4" t="s">
        <v>763</v>
      </c>
      <c r="D11" s="9" t="n">
        <f aca="false">D10+PPE!D19-(D8-IS!C4)*$B$4-PPE!D14</f>
        <v>437.964950604843</v>
      </c>
      <c r="E11" s="9" t="n">
        <f aca="false">E10+PPE!E19-(E8-D8)*$B$4-PPE!E14</f>
        <v>504.058042897841</v>
      </c>
      <c r="F11" s="9" t="n">
        <f aca="false">F10+PPE!F19-(F8-E8)*$B$4-PPE!F14</f>
        <v>807.300474147571</v>
      </c>
      <c r="G11" s="9" t="n">
        <f aca="false">G10+PPE!G19-(G8-F8)*$B$4-PPE!G14</f>
        <v>992.738901537984</v>
      </c>
      <c r="H11" s="9" t="n">
        <f aca="false">H10+PPE!H19-(H8-G8)*$B$4-PPE!H14</f>
        <v>1231.67103237282</v>
      </c>
    </row>
    <row r="12" customFormat="false" ht="15" hidden="false" customHeight="false" outlineLevel="0" collapsed="false">
      <c r="A12" s="10" t="s">
        <v>764</v>
      </c>
      <c r="B12" s="23" t="n">
        <f aca="false">(D11/(1+Assumptions!$C$83)^0.5+E11/(1+Assumptions!$C$83)^1.5+F11/(1+Assumptions!$C$83)^2.5+G11/(1+Assumptions!$C$83)^3.5+H11/(1+Assumptions!$C$83)^4.5+H11*(1+Assumptions!$C$84)/(Assumptions!$C$83-Assumptions!$C$84)/(1+Assumptions!$C$83)^4.5+DCF!$D$24)/Equity_Roll!$C$21</f>
        <v>0.272948003841511</v>
      </c>
      <c r="I12" s="25" t="s">
        <v>765</v>
      </c>
    </row>
    <row r="13" customFormat="false" ht="15" hidden="false" customHeight="false" outlineLevel="0" collapsed="false">
      <c r="A13" s="3" t="s">
        <v>766</v>
      </c>
      <c r="B13" s="23" t="n">
        <f aca="false">D10*Relative_Val!$C$9/Equity_Roll!$C$21</f>
        <v>0.647524594341713</v>
      </c>
      <c r="I13" s="25" t="s">
        <v>767</v>
      </c>
    </row>
    <row r="15" customFormat="false" ht="15.75" hidden="false" customHeight="true" outlineLevel="0" collapsed="false">
      <c r="A15" s="26" t="s">
        <v>768</v>
      </c>
      <c r="B15" s="26"/>
      <c r="C15" s="26"/>
      <c r="D15" s="26"/>
      <c r="E15" s="26"/>
      <c r="F15" s="26"/>
      <c r="G15" s="26"/>
      <c r="H15" s="26"/>
      <c r="I15" s="26"/>
      <c r="J15" s="26"/>
    </row>
    <row r="16" customFormat="false" ht="15" hidden="false" customHeight="false" outlineLevel="0" collapsed="false">
      <c r="A16" s="3" t="s">
        <v>244</v>
      </c>
      <c r="D16" s="45" t="s">
        <v>115</v>
      </c>
      <c r="E16" s="45" t="s">
        <v>116</v>
      </c>
      <c r="F16" s="45" t="s">
        <v>117</v>
      </c>
      <c r="G16" s="45" t="s">
        <v>118</v>
      </c>
      <c r="H16" s="45" t="s">
        <v>119</v>
      </c>
    </row>
    <row r="17" customFormat="false" ht="15" hidden="false" customHeight="false" outlineLevel="0" collapsed="false">
      <c r="A17" s="5" t="s">
        <v>273</v>
      </c>
      <c r="D17" s="9" t="n">
        <f aca="false">IS!C4*(1+Revenue_Segments!D21+Assumptions!$C$89)</f>
        <v>10833.0782</v>
      </c>
      <c r="E17" s="9" t="n">
        <f aca="false">D17*(1+Revenue_Segments!E21+Assumptions!$C$89)</f>
        <v>12144.96397002</v>
      </c>
      <c r="F17" s="9" t="n">
        <f aca="false">E17*(1+Revenue_Segments!F21+Assumptions!$C$89)</f>
        <v>13223.4367705578</v>
      </c>
      <c r="G17" s="9" t="n">
        <f aca="false">F17*(1+Revenue_Segments!G21+Assumptions!$C$89)</f>
        <v>14077.6707859358</v>
      </c>
      <c r="H17" s="9" t="n">
        <f aca="false">G17*(1+Revenue_Segments!H21+Assumptions!$C$89)</f>
        <v>14760.4378190537</v>
      </c>
    </row>
    <row r="18" customFormat="false" ht="15" hidden="false" customHeight="false" outlineLevel="0" collapsed="false">
      <c r="A18" s="5" t="s">
        <v>762</v>
      </c>
      <c r="D18" s="19" t="n">
        <f aca="false">(Revenue_Segments!D22+Assumptions!$D$89-Assumptions!C$27-Assumptions!C$28-Assumptions!C$29-Assumptions!C$30-Assumptions!$C$35)*(1-Assumptions!C$33)*(1-Assumptions!C$34)</f>
        <v>0.04177188653568</v>
      </c>
      <c r="E18" s="19" t="n">
        <f aca="false">(Revenue_Segments!E22+Assumptions!$D$89-Assumptions!D$27-Assumptions!D$28-Assumptions!D$29-Assumptions!D$30-Assumptions!$C$35)*(1-Assumptions!D$33)*(1-Assumptions!D$34)</f>
        <v>0.04177188653568</v>
      </c>
      <c r="F18" s="19" t="n">
        <f aca="false">(Revenue_Segments!F22+Assumptions!$D$89-Assumptions!E$27-Assumptions!E$28-Assumptions!E$29-Assumptions!E$30-Assumptions!$C$35)*(1-Assumptions!E$33)*(1-Assumptions!E$34)</f>
        <v>0.04177188653568</v>
      </c>
      <c r="G18" s="19" t="n">
        <f aca="false">(Revenue_Segments!G22+Assumptions!$D$89-Assumptions!F$27-Assumptions!F$28-Assumptions!F$29-Assumptions!F$30-Assumptions!$C$35)*(1-Assumptions!F$33)*(1-Assumptions!F$34)</f>
        <v>0.04177188653568</v>
      </c>
      <c r="H18" s="19" t="n">
        <f aca="false">(Revenue_Segments!H22+Assumptions!$D$89-Assumptions!G$27-Assumptions!G$28-Assumptions!G$29-Assumptions!G$30-Assumptions!$C$35)*(1-Assumptions!G$33)*(1-Assumptions!G$34)</f>
        <v>0.04177188653568</v>
      </c>
    </row>
    <row r="19" customFormat="false" ht="15" hidden="false" customHeight="false" outlineLevel="0" collapsed="false">
      <c r="A19" s="5" t="s">
        <v>300</v>
      </c>
      <c r="D19" s="48" t="n">
        <f aca="false">D17*D18</f>
        <v>452.518113402548</v>
      </c>
      <c r="E19" s="48" t="n">
        <f aca="false">E17*E18</f>
        <v>507.318056935597</v>
      </c>
      <c r="F19" s="48" t="n">
        <f aca="false">F17*F18</f>
        <v>552.367900391478</v>
      </c>
      <c r="G19" s="48" t="n">
        <f aca="false">G17*G18</f>
        <v>588.050866756767</v>
      </c>
      <c r="H19" s="48" t="n">
        <f aca="false">H17*H18</f>
        <v>616.571333794471</v>
      </c>
    </row>
    <row r="20" customFormat="false" ht="15" hidden="false" customHeight="false" outlineLevel="0" collapsed="false">
      <c r="A20" s="4" t="s">
        <v>763</v>
      </c>
      <c r="D20" s="9" t="n">
        <f aca="false">D19+PPE!D19-(D17-IS!C4)*$B$4-PPE!D14</f>
        <v>479.430247302059</v>
      </c>
      <c r="E20" s="9" t="n">
        <f aca="false">E19+PPE!E19-(E17-D17)*$B$4-PPE!E14</f>
        <v>581.628836950816</v>
      </c>
      <c r="F20" s="9" t="n">
        <f aca="false">F19+PPE!F19-(F17-E17)*$B$4-PPE!F14</f>
        <v>935.708251053969</v>
      </c>
      <c r="G20" s="9" t="n">
        <f aca="false">G19+PPE!G19-(G17-F17)*$B$4-PPE!G14</f>
        <v>1180.91558400072</v>
      </c>
      <c r="H20" s="9" t="n">
        <f aca="false">H19+PPE!H19-(H17-G17)*$B$4-PPE!H14</f>
        <v>1481.68756082373</v>
      </c>
    </row>
    <row r="21" customFormat="false" ht="15" hidden="false" customHeight="false" outlineLevel="0" collapsed="false">
      <c r="A21" s="10" t="s">
        <v>764</v>
      </c>
      <c r="B21" s="23" t="n">
        <f aca="false">(D20/(1+Assumptions!$C$83)^0.5+E20/(1+Assumptions!$C$83)^1.5+F20/(1+Assumptions!$C$83)^2.5+G20/(1+Assumptions!$C$83)^3.5+H20/(1+Assumptions!$C$83)^4.5+H20*(1+Assumptions!$C$84)/(Assumptions!$C$83-Assumptions!$C$84)/(1+Assumptions!$C$83)^4.5+DCF!$D$24)/Equity_Roll!$C$21</f>
        <v>0.65372358677612</v>
      </c>
      <c r="I21" s="25" t="s">
        <v>765</v>
      </c>
    </row>
    <row r="22" customFormat="false" ht="15" hidden="false" customHeight="false" outlineLevel="0" collapsed="false">
      <c r="A22" s="3" t="s">
        <v>766</v>
      </c>
      <c r="B22" s="23" t="n">
        <f aca="false">D19*Relative_Val!$C$9/Equity_Roll!$C$21</f>
        <v>1.32143682880281</v>
      </c>
      <c r="I22" s="25" t="s">
        <v>767</v>
      </c>
    </row>
    <row r="24" customFormat="false" ht="15.75" hidden="false" customHeight="true" outlineLevel="0" collapsed="false">
      <c r="A24" s="26" t="s">
        <v>769</v>
      </c>
      <c r="B24" s="26"/>
      <c r="C24" s="26"/>
      <c r="D24" s="26"/>
      <c r="E24" s="26"/>
      <c r="F24" s="26"/>
      <c r="G24" s="26"/>
      <c r="H24" s="26"/>
      <c r="I24" s="26"/>
      <c r="J24" s="26"/>
    </row>
    <row r="25" customFormat="false" ht="15" hidden="false" customHeight="false" outlineLevel="0" collapsed="false">
      <c r="A25" s="3" t="s">
        <v>244</v>
      </c>
      <c r="D25" s="45" t="s">
        <v>115</v>
      </c>
      <c r="E25" s="45" t="s">
        <v>116</v>
      </c>
      <c r="F25" s="45" t="s">
        <v>117</v>
      </c>
      <c r="G25" s="45" t="s">
        <v>118</v>
      </c>
      <c r="H25" s="45" t="s">
        <v>119</v>
      </c>
    </row>
    <row r="26" customFormat="false" ht="15" hidden="false" customHeight="false" outlineLevel="0" collapsed="false">
      <c r="A26" s="5" t="s">
        <v>273</v>
      </c>
      <c r="D26" s="9" t="n">
        <f aca="false">IS!C4*(1+Revenue_Segments!D21+Assumptions!$C$90)</f>
        <v>11765.7582</v>
      </c>
      <c r="E26" s="9" t="n">
        <f aca="false">D26*(1+Revenue_Segments!E21+Assumptions!$C$90)</f>
        <v>14367.16733802</v>
      </c>
      <c r="F26" s="9" t="n">
        <f aca="false">E26*(1+Revenue_Segments!F21+Assumptions!$C$90)</f>
        <v>17079.6885314382</v>
      </c>
      <c r="G26" s="9" t="n">
        <f aca="false">F26*(1+Revenue_Segments!G21+Assumptions!$C$90)</f>
        <v>19891.0052637129</v>
      </c>
      <c r="H26" s="9" t="n">
        <f aca="false">G26*(1+Revenue_Segments!H21+Assumptions!$C$90)</f>
        <v>22844.8195453743</v>
      </c>
    </row>
    <row r="27" customFormat="false" ht="15" hidden="false" customHeight="false" outlineLevel="0" collapsed="false">
      <c r="A27" s="5" t="s">
        <v>762</v>
      </c>
      <c r="D27" s="19" t="n">
        <f aca="false">(Revenue_Segments!D22+Assumptions!$D$90-Assumptions!C$27-Assumptions!C$28-Assumptions!C$29-Assumptions!C$30-Assumptions!$C$35)*(1-Assumptions!C$33)*(1-Assumptions!C$34)</f>
        <v>0.05090568096768</v>
      </c>
      <c r="E27" s="19" t="n">
        <f aca="false">(Revenue_Segments!E22+Assumptions!$D$90-Assumptions!D$27-Assumptions!D$28-Assumptions!D$29-Assumptions!D$30-Assumptions!$C$35)*(1-Assumptions!D$33)*(1-Assumptions!D$34)</f>
        <v>0.05090568096768</v>
      </c>
      <c r="F27" s="19" t="n">
        <f aca="false">(Revenue_Segments!F22+Assumptions!$D$90-Assumptions!E$27-Assumptions!E$28-Assumptions!E$29-Assumptions!E$30-Assumptions!$C$35)*(1-Assumptions!E$33)*(1-Assumptions!E$34)</f>
        <v>0.05090568096768</v>
      </c>
      <c r="G27" s="19" t="n">
        <f aca="false">(Revenue_Segments!G22+Assumptions!$D$90-Assumptions!F$27-Assumptions!F$28-Assumptions!F$29-Assumptions!F$30-Assumptions!$C$35)*(1-Assumptions!F$33)*(1-Assumptions!F$34)</f>
        <v>0.05090568096768</v>
      </c>
      <c r="H27" s="19" t="n">
        <f aca="false">(Revenue_Segments!H22+Assumptions!$D$90-Assumptions!G$27-Assumptions!G$28-Assumptions!G$29-Assumptions!G$30-Assumptions!$C$35)*(1-Assumptions!G$33)*(1-Assumptions!G$34)</f>
        <v>0.05090568096768</v>
      </c>
    </row>
    <row r="28" customFormat="false" ht="15" hidden="false" customHeight="false" outlineLevel="0" collapsed="false">
      <c r="A28" s="5" t="s">
        <v>300</v>
      </c>
      <c r="D28" s="48" t="n">
        <f aca="false">D26*D27</f>
        <v>598.943933272065</v>
      </c>
      <c r="E28" s="48" t="n">
        <f aca="false">E26*E27</f>
        <v>731.370436918519</v>
      </c>
      <c r="F28" s="48" t="n">
        <f aca="false">F26*F27</f>
        <v>869.453175408735</v>
      </c>
      <c r="G28" s="48" t="n">
        <f aca="false">G26*G27</f>
        <v>1012.56516808101</v>
      </c>
      <c r="H28" s="48" t="n">
        <f aca="false">H26*H27</f>
        <v>1162.93109554104</v>
      </c>
    </row>
    <row r="29" customFormat="false" ht="15" hidden="false" customHeight="false" outlineLevel="0" collapsed="false">
      <c r="A29" s="4" t="s">
        <v>763</v>
      </c>
      <c r="D29" s="9" t="n">
        <f aca="false">D28+PPE!D19-(D26-IS!C4)*$B$4-PPE!D14</f>
        <v>499.648130824524</v>
      </c>
      <c r="E29" s="9" t="n">
        <f aca="false">E28+PPE!E19-(E26-D26)*$B$4-PPE!E14</f>
        <v>631.186124140303</v>
      </c>
      <c r="F29" s="9" t="n">
        <f aca="false">F28+PPE!F19-(F26-E26)*$B$4-PPE!F14</f>
        <v>1031.67816436447</v>
      </c>
      <c r="G29" s="9" t="n">
        <f aca="false">G28+PPE!G19-(G26-F26)*$B$4-PPE!G14</f>
        <v>1340.60232285979</v>
      </c>
      <c r="H29" s="9" t="n">
        <f aca="false">H28+PPE!H19-(H26-G26)*$B$4-PPE!H14</f>
        <v>1720.73486107727</v>
      </c>
    </row>
    <row r="30" customFormat="false" ht="15" hidden="false" customHeight="false" outlineLevel="0" collapsed="false">
      <c r="A30" s="10" t="s">
        <v>764</v>
      </c>
      <c r="B30" s="23" t="n">
        <f aca="false">(D29/(1+Assumptions!$C$83)^0.5+E29/(1+Assumptions!$C$83)^1.5+F29/(1+Assumptions!$C$83)^2.5+G29/(1+Assumptions!$C$83)^3.5+H29/(1+Assumptions!$C$83)^4.5+H29*(1+Assumptions!$C$84)/(Assumptions!$C$83-Assumptions!$C$84)/(1+Assumptions!$C$83)^4.5+DCF!$D$24)/Equity_Roll!$C$21</f>
        <v>1.00886726797295</v>
      </c>
      <c r="I30" s="25" t="s">
        <v>765</v>
      </c>
    </row>
    <row r="31" customFormat="false" ht="15" hidden="false" customHeight="false" outlineLevel="0" collapsed="false">
      <c r="A31" s="3" t="s">
        <v>766</v>
      </c>
      <c r="B31" s="23" t="n">
        <f aca="false">D28*Relative_Val!$C$9/Equity_Roll!$C$21</f>
        <v>1.74902738337382</v>
      </c>
      <c r="I31" s="25" t="s">
        <v>767</v>
      </c>
    </row>
    <row r="33" customFormat="false" ht="15.75" hidden="false" customHeight="true" outlineLevel="0" collapsed="false">
      <c r="A33" s="26" t="s">
        <v>770</v>
      </c>
      <c r="B33" s="26"/>
      <c r="C33" s="26"/>
      <c r="D33" s="26"/>
      <c r="E33" s="26"/>
      <c r="F33" s="26"/>
      <c r="G33" s="26"/>
      <c r="H33" s="26"/>
      <c r="I33" s="26"/>
      <c r="J33" s="26"/>
    </row>
    <row r="34" customFormat="false" ht="15" hidden="false" customHeight="false" outlineLevel="0" collapsed="false">
      <c r="A34" s="3" t="s">
        <v>771</v>
      </c>
      <c r="B34" s="23" t="n">
        <f aca="false">DCF!D26</f>
        <v>1.6233066342384</v>
      </c>
      <c r="I34" s="25" t="s">
        <v>772</v>
      </c>
    </row>
    <row r="35" customFormat="false" ht="15" hidden="false" customHeight="false" outlineLevel="0" collapsed="false">
      <c r="A35" s="5" t="s">
        <v>773</v>
      </c>
      <c r="B35" s="8" t="n">
        <f aca="false">B21</f>
        <v>0.65372358677612</v>
      </c>
    </row>
    <row r="36" customFormat="false" ht="15" hidden="false" customHeight="false" outlineLevel="0" collapsed="false">
      <c r="A36" s="3" t="s">
        <v>774</v>
      </c>
      <c r="B36" s="57" t="n">
        <f aca="false">B34/B21</f>
        <v>2.48316974800288</v>
      </c>
      <c r="I36" s="25" t="s">
        <v>775</v>
      </c>
    </row>
    <row r="37" customFormat="false" ht="15" hidden="false" customHeight="false" outlineLevel="0" collapsed="false">
      <c r="A37" s="5" t="s">
        <v>776</v>
      </c>
      <c r="B37" s="68" t="str">
        <f aca="false">IF(ABS(B36-1)&gt;=0.3,"警告: 桥接差异≥30%, 复核简化假设","通过: 桥接差异&lt;30%")</f>
        <v>警告: 桥接差异≥30%, 复核简化假设</v>
      </c>
    </row>
    <row r="39" customFormat="false" ht="15.75" hidden="false" customHeight="true" outlineLevel="0" collapsed="false">
      <c r="A39" s="26" t="s">
        <v>777</v>
      </c>
      <c r="B39" s="26"/>
      <c r="C39" s="26"/>
      <c r="D39" s="26"/>
      <c r="E39" s="26"/>
      <c r="F39" s="26"/>
      <c r="G39" s="26"/>
      <c r="H39" s="26"/>
      <c r="I39" s="26"/>
      <c r="J39" s="26"/>
    </row>
    <row r="40" customFormat="false" ht="15" hidden="false" customHeight="false" outlineLevel="0" collapsed="false">
      <c r="A40" s="3" t="s">
        <v>778</v>
      </c>
      <c r="B40" s="43" t="s">
        <v>779</v>
      </c>
      <c r="C40" s="43" t="s">
        <v>780</v>
      </c>
      <c r="D40" s="43" t="s">
        <v>781</v>
      </c>
      <c r="E40" s="43" t="s">
        <v>95</v>
      </c>
      <c r="F40" s="43" t="s">
        <v>782</v>
      </c>
      <c r="G40" s="43" t="s">
        <v>783</v>
      </c>
      <c r="H40" s="43" t="s">
        <v>784</v>
      </c>
    </row>
    <row r="41" customFormat="false" ht="15" hidden="false" customHeight="false" outlineLevel="0" collapsed="false">
      <c r="A41" s="4" t="s">
        <v>785</v>
      </c>
      <c r="B41" s="18" t="n">
        <f aca="false">B12</f>
        <v>0.272948003841511</v>
      </c>
      <c r="C41" s="18" t="n">
        <f aca="false">B21</f>
        <v>0.65372358677612</v>
      </c>
      <c r="D41" s="18" t="n">
        <f aca="false">B30</f>
        <v>1.00886726797295</v>
      </c>
      <c r="E41" s="8" t="n">
        <f aca="false">Assumptions!$C$7</f>
        <v>9.6667</v>
      </c>
      <c r="F41" s="19" t="n">
        <f aca="false">B12/Assumptions!$C$7-1</f>
        <v>-0.971764096967785</v>
      </c>
      <c r="G41" s="19" t="n">
        <f aca="false">B21/Assumptions!$C$7-1</f>
        <v>-0.932373655251935</v>
      </c>
      <c r="H41" s="19" t="n">
        <f aca="false">B30/Assumptions!$C$7-1</f>
        <v>-0.895634780434589</v>
      </c>
    </row>
    <row r="42" customFormat="false" ht="15" hidden="false" customHeight="false" outlineLevel="0" collapsed="false">
      <c r="A42" s="5" t="s">
        <v>786</v>
      </c>
      <c r="B42" s="8" t="n">
        <f aca="false">B13</f>
        <v>0.647524594341713</v>
      </c>
      <c r="C42" s="8" t="n">
        <f aca="false">B22</f>
        <v>1.32143682880281</v>
      </c>
      <c r="D42" s="8" t="n">
        <f aca="false">B31</f>
        <v>1.74902738337382</v>
      </c>
    </row>
    <row r="43" customFormat="false" ht="15" hidden="false" customHeight="false" outlineLevel="0" collapsed="false">
      <c r="A43" s="4" t="s">
        <v>787</v>
      </c>
      <c r="B43" s="9" t="n">
        <f aca="false">D10</f>
        <v>221.740912184754</v>
      </c>
      <c r="C43" s="9" t="n">
        <f aca="false">D19</f>
        <v>452.518113402548</v>
      </c>
      <c r="D43" s="9" t="n">
        <f aca="false">D28</f>
        <v>598.943933272065</v>
      </c>
    </row>
  </sheetData>
  <mergeCells count="7">
    <mergeCell ref="A1:J1"/>
    <mergeCell ref="A2:J2"/>
    <mergeCell ref="A6:J6"/>
    <mergeCell ref="A15:J15"/>
    <mergeCell ref="A24:J24"/>
    <mergeCell ref="A33:J33"/>
    <mergeCell ref="A39:J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36.39"/>
    <col collapsed="false" customWidth="true" hidden="false" outlineLevel="0" max="8" min="2" style="0" width="10.01"/>
    <col collapsed="false" customWidth="true" hidden="false" outlineLevel="0" max="9" min="9" style="0" width="45.49"/>
  </cols>
  <sheetData>
    <row r="1" customFormat="false" ht="24" hidden="false" customHeight="true" outlineLevel="0" collapsed="false">
      <c r="A1" s="14" t="s">
        <v>788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789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790</v>
      </c>
      <c r="B3" s="45" t="s">
        <v>245</v>
      </c>
      <c r="C3" s="45" t="s">
        <v>246</v>
      </c>
      <c r="D3" s="45" t="s">
        <v>115</v>
      </c>
      <c r="E3" s="45" t="s">
        <v>116</v>
      </c>
      <c r="F3" s="45" t="s">
        <v>117</v>
      </c>
      <c r="G3" s="45" t="s">
        <v>118</v>
      </c>
      <c r="H3" s="45" t="s">
        <v>119</v>
      </c>
      <c r="I3" s="3" t="s">
        <v>791</v>
      </c>
    </row>
    <row r="4" customFormat="false" ht="15" hidden="false" customHeight="false" outlineLevel="0" collapsed="false">
      <c r="A4" s="4" t="s">
        <v>792</v>
      </c>
      <c r="B4" s="69" t="b">
        <f aca="false">ABS(BS!B47)&lt;0.01</f>
        <v>1</v>
      </c>
      <c r="C4" s="69" t="b">
        <f aca="false">ABS(BS!C47)&lt;0.01</f>
        <v>1</v>
      </c>
      <c r="D4" s="69" t="b">
        <f aca="false">ABS(BS!D47)&lt;0.01</f>
        <v>1</v>
      </c>
      <c r="E4" s="69" t="b">
        <f aca="false">ABS(BS!E47)&lt;0.01</f>
        <v>1</v>
      </c>
      <c r="F4" s="69" t="b">
        <f aca="false">ABS(BS!F47)&lt;0.01</f>
        <v>1</v>
      </c>
      <c r="G4" s="69" t="b">
        <f aca="false">ABS(BS!G47)&lt;0.01</f>
        <v>1</v>
      </c>
      <c r="H4" s="69" t="b">
        <f aca="false">ABS(BS!H47)&lt;0.01</f>
        <v>1</v>
      </c>
      <c r="I4" s="25" t="s">
        <v>793</v>
      </c>
    </row>
    <row r="5" customFormat="false" ht="15" hidden="false" customHeight="false" outlineLevel="0" collapsed="false">
      <c r="A5" s="4" t="s">
        <v>794</v>
      </c>
      <c r="D5" s="69" t="b">
        <f aca="false">ABS(CF!D19-BS!D4)&lt;0.01</f>
        <v>1</v>
      </c>
      <c r="E5" s="69" t="b">
        <f aca="false">ABS(CF!E19-BS!E4)&lt;0.01</f>
        <v>1</v>
      </c>
      <c r="F5" s="69" t="b">
        <f aca="false">ABS(CF!F19-BS!F4)&lt;0.01</f>
        <v>1</v>
      </c>
      <c r="G5" s="69" t="b">
        <f aca="false">ABS(CF!G19-BS!G4)&lt;0.01</f>
        <v>1</v>
      </c>
      <c r="H5" s="69" t="b">
        <f aca="false">ABS(CF!H19-BS!H4)&lt;0.01</f>
        <v>1</v>
      </c>
      <c r="I5" s="25" t="s">
        <v>795</v>
      </c>
    </row>
    <row r="6" customFormat="false" ht="15" hidden="false" customHeight="false" outlineLevel="0" collapsed="false">
      <c r="A6" s="4" t="s">
        <v>796</v>
      </c>
      <c r="D6" s="69" t="b">
        <f aca="false">ABS(BS!D41-BS!C41-IS!D20+Schedules!D26+Equity_Roll!D9)&lt;0.01</f>
        <v>1</v>
      </c>
      <c r="E6" s="69" t="b">
        <f aca="false">ABS(BS!E41-BS!D41-IS!E20+Schedules!E26+Equity_Roll!E9)&lt;0.01</f>
        <v>1</v>
      </c>
      <c r="F6" s="69" t="b">
        <f aca="false">ABS(BS!F41-BS!E41-IS!F20+Schedules!F26+Equity_Roll!F9)&lt;0.01</f>
        <v>1</v>
      </c>
      <c r="G6" s="69" t="b">
        <f aca="false">ABS(BS!G41-BS!F41-IS!G20+Schedules!G26+Equity_Roll!G9)&lt;0.01</f>
        <v>1</v>
      </c>
      <c r="H6" s="69" t="b">
        <f aca="false">ABS(BS!H41-BS!G41-IS!H20+Schedules!H26+Equity_Roll!H9)&lt;0.01</f>
        <v>1</v>
      </c>
      <c r="I6" s="27" t="s">
        <v>797</v>
      </c>
    </row>
    <row r="7" customFormat="false" ht="15" hidden="false" customHeight="false" outlineLevel="0" collapsed="false">
      <c r="A7" s="4" t="s">
        <v>798</v>
      </c>
      <c r="B7" s="69" t="b">
        <f aca="false">ABS(IS!B4-Revenue_Segments!B13)&lt;0.01</f>
        <v>1</v>
      </c>
      <c r="C7" s="69" t="b">
        <f aca="false">ABS(IS!C4-Revenue_Segments!C13)&lt;0.01</f>
        <v>1</v>
      </c>
      <c r="D7" s="69" t="b">
        <f aca="false">ABS(IS!D4-Revenue_Segments!D13)&lt;0.01</f>
        <v>1</v>
      </c>
      <c r="E7" s="69" t="b">
        <f aca="false">ABS(IS!E4-Revenue_Segments!E13)&lt;0.01</f>
        <v>1</v>
      </c>
      <c r="F7" s="69" t="b">
        <f aca="false">ABS(IS!F4-Revenue_Segments!F13)&lt;0.01</f>
        <v>1</v>
      </c>
      <c r="G7" s="69" t="b">
        <f aca="false">ABS(IS!G4-Revenue_Segments!G13)&lt;0.01</f>
        <v>1</v>
      </c>
      <c r="H7" s="69" t="b">
        <f aca="false">ABS(IS!H4-Revenue_Segments!H13)&lt;0.01</f>
        <v>1</v>
      </c>
      <c r="I7" s="25" t="s">
        <v>799</v>
      </c>
    </row>
    <row r="8" customFormat="false" ht="15" hidden="false" customHeight="false" outlineLevel="0" collapsed="false">
      <c r="A8" s="4" t="s">
        <v>800</v>
      </c>
      <c r="B8" s="69" t="b">
        <f aca="false">AND(IS!B8&gt;0,IS!B8&lt;0.6)</f>
        <v>1</v>
      </c>
      <c r="C8" s="69" t="b">
        <f aca="false">AND(IS!C8&gt;0,IS!C8&lt;0.6)</f>
        <v>1</v>
      </c>
      <c r="D8" s="69" t="b">
        <f aca="false">AND(IS!D8&gt;0,IS!D8&lt;0.6)</f>
        <v>1</v>
      </c>
      <c r="E8" s="69" t="b">
        <f aca="false">AND(IS!E8&gt;0,IS!E8&lt;0.6)</f>
        <v>1</v>
      </c>
      <c r="F8" s="69" t="b">
        <f aca="false">AND(IS!F8&gt;0,IS!F8&lt;0.6)</f>
        <v>1</v>
      </c>
      <c r="G8" s="69" t="b">
        <f aca="false">AND(IS!G8&gt;0,IS!G8&lt;0.6)</f>
        <v>1</v>
      </c>
      <c r="H8" s="69" t="b">
        <f aca="false">AND(IS!H8&gt;0,IS!H8&lt;0.6)</f>
        <v>1</v>
      </c>
      <c r="I8" s="25" t="s">
        <v>801</v>
      </c>
    </row>
    <row r="9" customFormat="false" ht="15" hidden="false" customHeight="false" outlineLevel="0" collapsed="false">
      <c r="A9" s="4" t="s">
        <v>802</v>
      </c>
      <c r="B9" s="69" t="b">
        <f aca="false">DCF!D26&gt;0</f>
        <v>1</v>
      </c>
      <c r="I9" s="27" t="s">
        <v>803</v>
      </c>
    </row>
    <row r="10" customFormat="false" ht="15" hidden="false" customHeight="false" outlineLevel="0" collapsed="false">
      <c r="A10" s="4" t="s">
        <v>804</v>
      </c>
      <c r="B10" s="69" t="b">
        <f aca="false">ABS(Sensitivity!E8-DCF!D26)&lt;0.01</f>
        <v>1</v>
      </c>
      <c r="I10" s="25" t="s">
        <v>805</v>
      </c>
    </row>
    <row r="11" customFormat="false" ht="15" hidden="false" customHeight="false" outlineLevel="0" collapsed="false">
      <c r="A11" s="4" t="s">
        <v>806</v>
      </c>
      <c r="B11" s="69" t="b">
        <f aca="false">OR(ABS(Assumptions!C83-Assumptions!C81)&lt;0.000001,Assumptions!C82&lt;&gt;"")</f>
        <v>1</v>
      </c>
      <c r="I11" s="25" t="s">
        <v>807</v>
      </c>
    </row>
    <row r="12" customFormat="false" ht="15" hidden="false" customHeight="false" outlineLevel="0" collapsed="false">
      <c r="A12" s="4" t="s">
        <v>808</v>
      </c>
      <c r="D12" s="69" t="b">
        <f aca="false">BS!D4&gt;0.01</f>
        <v>1</v>
      </c>
      <c r="E12" s="69" t="b">
        <f aca="false">BS!E4&gt;0.01</f>
        <v>1</v>
      </c>
      <c r="F12" s="69" t="b">
        <f aca="false">BS!F4&gt;0.01</f>
        <v>1</v>
      </c>
      <c r="G12" s="69" t="b">
        <f aca="false">BS!G4&gt;0.01</f>
        <v>1</v>
      </c>
      <c r="H12" s="69" t="b">
        <f aca="false">BS!H4&gt;0.01</f>
        <v>1</v>
      </c>
      <c r="I12" s="27" t="s">
        <v>809</v>
      </c>
    </row>
    <row r="13" customFormat="false" ht="15" hidden="false" customHeight="false" outlineLevel="0" collapsed="false">
      <c r="A13" s="4" t="s">
        <v>810</v>
      </c>
      <c r="D13" s="69" t="b">
        <f aca="false">MIN(FIN!D24,FIN!D32,FIN!D42,FIN!D50)&gt;=-0.01</f>
        <v>1</v>
      </c>
      <c r="E13" s="69" t="b">
        <f aca="false">MIN(FIN!E24,FIN!E32,FIN!E42,FIN!E50)&gt;=-0.01</f>
        <v>1</v>
      </c>
      <c r="F13" s="69" t="b">
        <f aca="false">MIN(FIN!F24,FIN!F32,FIN!F42,FIN!F50)&gt;=-0.01</f>
        <v>1</v>
      </c>
      <c r="G13" s="69" t="b">
        <f aca="false">MIN(FIN!G24,FIN!G32,FIN!G42,FIN!G50)&gt;=-0.01</f>
        <v>1</v>
      </c>
      <c r="H13" s="69" t="b">
        <f aca="false">MIN(FIN!H24,FIN!H32,FIN!H42,FIN!H50)&gt;=-0.01</f>
        <v>1</v>
      </c>
      <c r="I13" s="27" t="s">
        <v>811</v>
      </c>
    </row>
    <row r="14" customFormat="false" ht="15" hidden="false" customHeight="false" outlineLevel="0" collapsed="false">
      <c r="A14" s="4" t="s">
        <v>812</v>
      </c>
      <c r="D14" s="69" t="b">
        <f aca="false">FIN!D139&lt;0.01</f>
        <v>1</v>
      </c>
      <c r="E14" s="69" t="b">
        <f aca="false">FIN!E139&lt;0.01</f>
        <v>1</v>
      </c>
      <c r="F14" s="69" t="b">
        <f aca="false">FIN!F139&lt;0.01</f>
        <v>1</v>
      </c>
      <c r="G14" s="69" t="b">
        <f aca="false">FIN!G139&lt;0.01</f>
        <v>1</v>
      </c>
      <c r="H14" s="69" t="b">
        <f aca="false">FIN!H139&lt;0.01</f>
        <v>1</v>
      </c>
      <c r="I14" s="25" t="s">
        <v>813</v>
      </c>
    </row>
    <row r="15" customFormat="false" ht="15" hidden="false" customHeight="false" outlineLevel="0" collapsed="false">
      <c r="A15" s="4" t="s">
        <v>814</v>
      </c>
      <c r="B15" s="69" t="b">
        <f aca="true">AND(ISNUMBER(INDIRECT("SCEN_SWITCH")),ISNUMBER(INDIRECT("WACC_USED")),ISNUMBER(INDIRECT("WACC_CALC")),ISNUMBER(INDIRECT("TERM_G")),ISNUMBER(INDIRECT("KE")),ISNUMBER(INDIRECT("KD")),ISNUMBER(INDIRECT("RF_RATE")),ISNUMBER(INDIRECT("ERP")),ISNUMBER(INDIRECT("BETA_U")),ISNUMBER(INDIRECT("TAX_RATE_Y1")),ISNUMBER(INDIRECT("PAYOUT_Y1")),ISNUMBER(INDIRECT("MIN_CASH_PCT")),ISNUMBER(INDIRECT("SHARES_DIL")),ISNUMBER(INDIRECT("DCF_PS")),ISNUMBER(INDIRECT("FCFE_PS")))</f>
        <v>1</v>
      </c>
      <c r="I15" s="27" t="s">
        <v>815</v>
      </c>
    </row>
    <row r="16" customFormat="false" ht="15" hidden="false" customHeight="false" outlineLevel="0" collapsed="false">
      <c r="A16" s="4" t="s">
        <v>816</v>
      </c>
      <c r="B16" s="69" t="b">
        <f aca="false">AND(Scenarios!B12&lt;=Scenarios!B21,Scenarios!B21&lt;=Scenarios!B30,Scenarios!B13&lt;=Scenarios!B22,Scenarios!B22&lt;=Scenarios!B31)</f>
        <v>1</v>
      </c>
      <c r="I16" s="25" t="s">
        <v>817</v>
      </c>
    </row>
    <row r="18" customFormat="false" ht="15" hidden="false" customHeight="false" outlineLevel="0" collapsed="false">
      <c r="A18" s="5" t="s">
        <v>818</v>
      </c>
      <c r="D18" s="70" t="n">
        <f aca="false">PPE!D20</f>
        <v>0.123493704153843</v>
      </c>
      <c r="E18" s="70" t="n">
        <f aca="false">PPE!E20</f>
        <v>0.124406042726117</v>
      </c>
      <c r="F18" s="70" t="n">
        <f aca="false">PPE!F20</f>
        <v>0.124336347887415</v>
      </c>
      <c r="G18" s="70" t="n">
        <f aca="false">PPE!G20</f>
        <v>0.124117698608196</v>
      </c>
      <c r="H18" s="70" t="n">
        <f aca="false">PPE!H20</f>
        <v>0.123772436480096</v>
      </c>
      <c r="I18" s="25" t="s">
        <v>819</v>
      </c>
    </row>
    <row r="19" customFormat="false" ht="15" hidden="false" customHeight="false" outlineLevel="0" collapsed="false">
      <c r="A19" s="5" t="s">
        <v>820</v>
      </c>
      <c r="B19" s="19" t="n">
        <f aca="false">IS!D4/Assumptions!$C$12</f>
        <v>0.999988756784699</v>
      </c>
      <c r="I19" s="25" t="s">
        <v>821</v>
      </c>
    </row>
    <row r="20" customFormat="false" ht="15" hidden="false" customHeight="false" outlineLevel="0" collapsed="false">
      <c r="A20" s="5" t="s">
        <v>822</v>
      </c>
      <c r="B20" s="19" t="n">
        <f aca="false">IS!D20/Assumptions!$C$13</f>
        <v>0.567910900413465</v>
      </c>
    </row>
    <row r="21" customFormat="false" ht="15" hidden="false" customHeight="false" outlineLevel="0" collapsed="false">
      <c r="A21" s="5" t="s">
        <v>823</v>
      </c>
      <c r="B21" s="19" t="n">
        <f aca="false">Assumptions!C81</f>
        <v>0.0929188495505451</v>
      </c>
      <c r="C21" s="19" t="n">
        <f aca="false">Assumptions!C83</f>
        <v>0.0929188495505451</v>
      </c>
      <c r="I21" s="25" t="s">
        <v>824</v>
      </c>
    </row>
    <row r="22" customFormat="false" ht="15" hidden="false" customHeight="false" outlineLevel="0" collapsed="false">
      <c r="A22" s="5" t="s">
        <v>825</v>
      </c>
      <c r="B22" s="19" t="n">
        <f aca="false">FCFE!D20/DCF!D26</f>
        <v>1.30568683027858</v>
      </c>
      <c r="C22" s="8" t="n">
        <f aca="false">FCFE!D20</f>
        <v>2.11953009382892</v>
      </c>
      <c r="I22" s="25" t="s">
        <v>826</v>
      </c>
    </row>
    <row r="23" customFormat="false" ht="15" hidden="false" customHeight="false" outlineLevel="0" collapsed="false">
      <c r="A23" s="5" t="s">
        <v>827</v>
      </c>
      <c r="B23" s="68" t="str">
        <f aca="false">IF("已复核：重资产扩产期最低现金储备与滚动续债形成动态杠杆路径，使FCFE较恒定资本结构FCFF高约30.6%；差异保留并分别列示，不作机械配平。"&lt;&gt;"","WAIVED: 已复核：重资产扩产期最低现金储备与滚动续债形成动态杠杆路径，使FCFE较恒定资本结构FCFF高约30.6%；差异保留并分别列示，不作机械配平。",IF(ABS(FCFE!D22)&gt;=0.3,"警告: 差异≥30%, 复核债务调度/资本结构/终值","通过: 差异&lt;30%"))</f>
        <v>WAIVED: 已复核：重资产扩产期最低现金储备与滚动续债形成动态杠杆路径，使FCFE较恒定资本结构FCFF高约30.6%；差异保留并分别列示，不作机械配平。</v>
      </c>
      <c r="I23" s="25" t="s">
        <v>828</v>
      </c>
    </row>
    <row r="24" customFormat="false" ht="15" hidden="false" customHeight="false" outlineLevel="0" collapsed="false">
      <c r="A24" s="5" t="s">
        <v>829</v>
      </c>
      <c r="B24" s="19" t="n">
        <f aca="false">Scenarios!B34/Scenarios!B35</f>
        <v>2.48316974800288</v>
      </c>
      <c r="C24" s="8" t="n">
        <f aca="false">Scenarios!B34</f>
        <v>1.6233066342384</v>
      </c>
      <c r="I24" s="25" t="s">
        <v>830</v>
      </c>
    </row>
    <row r="25" customFormat="false" ht="15" hidden="false" customHeight="false" outlineLevel="0" collapsed="false">
      <c r="A25" s="5" t="s">
        <v>831</v>
      </c>
      <c r="B25" s="68" t="str">
        <f aca="false">IF(ABS(Scenarios!B36-1)&gt;=0.3,"警告: 桥接差异≥30%, 复核简化假设","通过: 桥接差异&lt;30%")</f>
        <v>警告: 桥接差异≥30%, 复核简化假设</v>
      </c>
      <c r="I25" s="25" t="s">
        <v>832</v>
      </c>
    </row>
    <row r="26" customFormat="false" ht="15" hidden="false" customHeight="false" outlineLevel="0" collapsed="false">
      <c r="A26" s="5" t="s">
        <v>833</v>
      </c>
      <c r="B26" s="9" t="n">
        <f aca="false">BS!H4</f>
        <v>8856.26269143222</v>
      </c>
      <c r="C26" s="9" t="n">
        <f aca="false">FIN!H13</f>
        <v>8856.26269143222</v>
      </c>
      <c r="I26" s="25" t="s">
        <v>834</v>
      </c>
    </row>
    <row r="28" customFormat="false" ht="30" hidden="false" customHeight="true" outlineLevel="0" collapsed="false">
      <c r="A28" s="71" t="s">
        <v>835</v>
      </c>
      <c r="B28" s="71"/>
      <c r="C28" s="71"/>
      <c r="D28" s="71"/>
      <c r="E28" s="71"/>
      <c r="F28" s="72" t="str">
        <f aca="false">IF(AND(B4:H4,D5:H5,D6:H6,B7:H7,B9,B10,B11,D12:H12,D13:H13,D14:H14,B15,B16),"全部通过=TRUE","存在未通过=FALSE")</f>
        <v>全部通过=TRUE</v>
      </c>
      <c r="G28" s="72"/>
      <c r="H28" s="72"/>
    </row>
    <row r="29" customFormat="false" ht="15" hidden="false" customHeight="false" outlineLevel="0" collapsed="false">
      <c r="A29" s="5" t="s">
        <v>836</v>
      </c>
      <c r="F29" s="55" t="b">
        <f aca="false">AND(B4:H4,D5:H5,D6:H6,B7:H7,B9,B10,B11,D12:H12,D13:H13,D14:H14,B15,B16)</f>
        <v>1</v>
      </c>
    </row>
  </sheetData>
  <mergeCells count="4">
    <mergeCell ref="A1:J1"/>
    <mergeCell ref="A2:J2"/>
    <mergeCell ref="A28:E28"/>
    <mergeCell ref="F28:H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2026-08-18T03:24:33Z</dcterms:created>
  <dc:creator>openpyxl</dc:creator>
  <dc:description/>
  <dc:language>zh-CN</dc:language>
  <cp:lastModifiedBy/>
  <dcterms:modified xsi:type="dcterms:W3CDTF">2026-08-18T03:24:33Z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