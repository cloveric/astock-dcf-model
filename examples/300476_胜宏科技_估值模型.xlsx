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Assumptions!$C$82</definedName>
    <definedName function="false" hidden="false" name="DCF_PS" vbProcedure="false">DCF!$D$26</definedName>
    <definedName function="false" hidden="false" name="ERP" vbProcedure="false">Assumptions!$C$81</definedName>
    <definedName function="false" hidden="false" name="FCFE_PS" vbProcedure="false">FCFE!$D$20</definedName>
    <definedName function="false" hidden="false" name="KD" vbProcedure="false">Assumptions!$C$88</definedName>
    <definedName function="false" hidden="false" name="KE" vbProcedure="false">Assumptions!$C$87</definedName>
    <definedName function="false" hidden="false" name="MIN_CASH_PCT" vbProcedure="false">Assumptions!$C$66</definedName>
    <definedName function="false" hidden="false" name="PAYOUT_Y1" vbProcedure="false">Assumptions!$C$62</definedName>
    <definedName function="false" hidden="false" name="RF_RATE" vbProcedure="false">Assumptions!$C$80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Assumptions!$C$41</definedName>
    <definedName function="false" hidden="false" name="TERM_G" vbProcedure="false">Assumptions!$C$92</definedName>
    <definedName function="false" hidden="false" name="WACC_CALC" vbProcedure="false">Assumptions!$C$89</definedName>
    <definedName function="false" hidden="false" name="WACC_USED" vbProcedure="false">Assumptions!$C$91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<sst xmlns="http://schemas.openxmlformats.org/spreadsheetml/2006/main" count="1227" uniqueCount="883">
  <si>
    <r>
      <rPr>
        <b val="true"/>
        <sz val="20"/>
        <color rgb="FF1F3864"/>
        <rFont val="Arial Unicode MS"/>
        <family val="2"/>
      </rPr>
      <t xml:space="preserve">胜宏科技 </t>
    </r>
    <r>
      <rPr>
        <b val="true"/>
        <sz val="20"/>
        <color rgb="FF1F3864"/>
        <rFont val="Microsoft YaHei"/>
        <family val="0"/>
        <charset val="1"/>
      </rPr>
      <t xml:space="preserve">(300476.SZ)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</si>
  <si>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Microsoft YaHei"/>
        <family val="0"/>
        <charset val="1"/>
      </rPr>
      <t xml:space="preserve">AI</t>
    </r>
    <r>
      <rPr>
        <sz val="11"/>
        <color rgb="FF7F7F7F"/>
        <rFont val="Arial Unicode MS"/>
        <family val="2"/>
      </rPr>
      <t xml:space="preserve">算力</t>
    </r>
    <r>
      <rPr>
        <sz val="11"/>
        <color rgb="FF7F7F7F"/>
        <rFont val="Microsoft YaHei"/>
        <family val="0"/>
        <charset val="1"/>
      </rPr>
      <t xml:space="preserve">PCB</t>
    </r>
    <r>
      <rPr>
        <sz val="11"/>
        <color rgb="FF7F7F7F"/>
        <rFont val="Arial Unicode MS"/>
        <family val="2"/>
      </rPr>
      <t xml:space="preserve">核心供应商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高多层板 </t>
    </r>
    <r>
      <rPr>
        <sz val="11"/>
        <color rgb="FF7F7F7F"/>
        <rFont val="Microsoft YaHei"/>
        <family val="0"/>
        <charset val="1"/>
      </rPr>
      <t xml:space="preserve">+ </t>
    </r>
    <r>
      <rPr>
        <sz val="11"/>
        <color rgb="FF7F7F7F"/>
        <rFont val="Arial Unicode MS"/>
        <family val="2"/>
      </rPr>
      <t xml:space="preserve">高阶</t>
    </r>
    <r>
      <rPr>
        <sz val="11"/>
        <color rgb="FF7F7F7F"/>
        <rFont val="Microsoft YaHei"/>
        <family val="0"/>
        <charset val="1"/>
      </rPr>
      <t xml:space="preserve">HDI | </t>
    </r>
    <r>
      <rPr>
        <sz val="11"/>
        <color rgb="FF7F7F7F"/>
        <rFont val="Arial Unicode MS"/>
        <family val="2"/>
      </rPr>
      <t xml:space="preserve">谷歌</t>
    </r>
    <r>
      <rPr>
        <sz val="11"/>
        <color rgb="FF7F7F7F"/>
        <rFont val="Microsoft YaHei"/>
        <family val="0"/>
        <charset val="1"/>
      </rPr>
      <t xml:space="preserve">TPU</t>
    </r>
    <r>
      <rPr>
        <sz val="11"/>
        <color rgb="FF7F7F7F"/>
        <rFont val="Arial Unicode MS"/>
        <family val="2"/>
      </rPr>
      <t xml:space="preserve">链</t>
    </r>
    <r>
      <rPr>
        <sz val="11"/>
        <color rgb="FF7F7F7F"/>
        <rFont val="Microsoft YaHei"/>
        <family val="0"/>
        <charset val="1"/>
      </rPr>
      <t xml:space="preserve">/</t>
    </r>
    <r>
      <rPr>
        <sz val="11"/>
        <color rgb="FF7F7F7F"/>
        <rFont val="Arial Unicode MS"/>
        <family val="2"/>
      </rPr>
      <t xml:space="preserve">英伟达链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</si>
  <si>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</si>
  <si>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2026-08-14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</si>
  <si>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</si>
  <si>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人民币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每股数据为元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</si>
  <si>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</si>
  <si>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</si>
  <si>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</si>
  <si>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</si>
  <si>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</si>
  <si>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</si>
  <si>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</si>
  <si>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</si>
  <si>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一致预期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一致预期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</si>
  <si>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</si>
  <si>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</si>
  <si>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</si>
  <si>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</si>
  <si>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</si>
  <si>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</si>
  <si>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</si>
  <si>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</si>
  <si>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</si>
  <si>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</si>
  <si>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</si>
  <si>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(P0-1):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×2%),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</si>
  <si>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第</t>
    </r>
    <r>
      <rPr>
        <sz val="10"/>
        <color rgb="FF7F7F7F"/>
        <rFont val="Microsoft YaHei"/>
        <family val="0"/>
        <charset val="1"/>
      </rPr>
      <t xml:space="preserve">1</t>
    </r>
    <r>
      <rPr>
        <sz val="10"/>
        <color rgb="FF7F7F7F"/>
        <rFont val="Arial Unicode MS"/>
        <family val="2"/>
      </rPr>
      <t xml:space="preserve">轮期初余额计息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第</t>
    </r>
    <r>
      <rPr>
        <sz val="10"/>
        <color rgb="FF7F7F7F"/>
        <rFont val="Microsoft YaHei"/>
        <family val="0"/>
        <charset val="1"/>
      </rPr>
      <t xml:space="preserve">k</t>
    </r>
    <r>
      <rPr>
        <sz val="10"/>
        <color rgb="FF7F7F7F"/>
        <rFont val="Arial Unicode MS"/>
        <family val="2"/>
      </rPr>
      <t xml:space="preserve">轮按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上轮期末</t>
    </r>
    <r>
      <rPr>
        <sz val="10"/>
        <color rgb="FF7F7F7F"/>
        <rFont val="Microsoft YaHei"/>
        <family val="0"/>
        <charset val="1"/>
      </rPr>
      <t xml:space="preserve">)/2×</t>
    </r>
    <r>
      <rPr>
        <sz val="10"/>
        <color rgb="FF7F7F7F"/>
        <rFont val="Arial Unicode MS"/>
        <family val="2"/>
      </rPr>
      <t xml:space="preserve">利率重算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(v3</t>
    </r>
    <r>
      <rPr>
        <sz val="10"/>
        <color rgb="FF7F7F7F"/>
        <rFont val="Arial Unicode MS"/>
        <family val="2"/>
      </rPr>
      <t xml:space="preserve">起</t>
    </r>
    <r>
      <rPr>
        <sz val="10"/>
        <color rgb="FF7F7F7F"/>
        <rFont val="Microsoft YaHei"/>
        <family val="0"/>
        <charset val="1"/>
      </rPr>
      <t xml:space="preserve">);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</si>
  <si>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</t>
    </r>
    <r>
      <rPr>
        <sz val="10"/>
        <color rgb="FF7F7F7F"/>
        <rFont val="Microsoft YaHei"/>
        <family val="0"/>
        <charset val="1"/>
      </rPr>
      <t xml:space="preserve">2024A/2025A</t>
    </r>
    <r>
      <rPr>
        <sz val="10"/>
        <color rgb="FF7F7F7F"/>
        <rFont val="Arial Unicode MS"/>
        <family val="2"/>
      </rPr>
      <t xml:space="preserve">的</t>
    </r>
    <r>
      <rPr>
        <sz val="10"/>
        <color rgb="FF7F7F7F"/>
        <rFont val="Microsoft YaHei"/>
        <family val="0"/>
        <charset val="1"/>
      </rPr>
      <t xml:space="preserve">0.1</t>
    </r>
    <r>
      <rPr>
        <sz val="10"/>
        <color rgb="FF7F7F7F"/>
        <rFont val="Arial Unicode MS"/>
        <family val="2"/>
      </rPr>
      <t xml:space="preserve">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(P1-5),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</si>
  <si>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(P0-2):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Wd=2025A</t>
    </r>
    <r>
      <rPr>
        <sz val="10"/>
        <color rgb="FF7F7F7F"/>
        <rFont val="Arial Unicode MS"/>
        <family val="2"/>
      </rPr>
      <t xml:space="preserve">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原</t>
    </r>
    <r>
      <rPr>
        <sz val="10"/>
        <color rgb="FF7F7F7F"/>
        <rFont val="Microsoft YaHei"/>
        <family val="0"/>
        <charset val="1"/>
      </rPr>
      <t xml:space="preserve">1.6%</t>
    </r>
    <r>
      <rPr>
        <sz val="10"/>
        <color rgb="FF7F7F7F"/>
        <rFont val="Arial Unicode MS"/>
        <family val="2"/>
      </rPr>
      <t xml:space="preserve">个股溢价已删除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重复计价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依据见</t>
    </r>
    <r>
      <rPr>
        <sz val="10"/>
        <color rgb="FF7F7F7F"/>
        <rFont val="Microsoft YaHei"/>
        <family val="0"/>
        <charset val="1"/>
      </rPr>
      <t xml:space="preserve">Assumptions);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</si>
  <si>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(P1-4):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2026-08-14, t=0.5/1.5/.../4.5; EV→Equity</t>
    </r>
    <r>
      <rPr>
        <sz val="10"/>
        <color rgb="FF7F7F7F"/>
        <rFont val="Arial Unicode MS"/>
        <family val="2"/>
      </rPr>
      <t xml:space="preserve">桥已补加其他权益工具投资</t>
    </r>
    <r>
      <rPr>
        <sz val="10"/>
        <color rgb="FF7F7F7F"/>
        <rFont val="Microsoft YaHei"/>
        <family val="0"/>
        <charset val="1"/>
      </rPr>
      <t xml:space="preserve">2025A</t>
    </r>
    <r>
      <rPr>
        <sz val="10"/>
        <color rgb="FF7F7F7F"/>
        <rFont val="Arial Unicode MS"/>
        <family val="2"/>
      </rPr>
      <t xml:space="preserve">末</t>
    </r>
    <r>
      <rPr>
        <sz val="10"/>
        <color rgb="FF7F7F7F"/>
        <rFont val="Microsoft YaHei"/>
        <family val="0"/>
        <charset val="1"/>
      </rPr>
      <t xml:space="preserve">28.5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(P1-3);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</si>
  <si>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(P2-8):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</si>
  <si>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(P2-9):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</t>
    </r>
    <r>
      <rPr>
        <sz val="10"/>
        <color rgb="FF7F7F7F"/>
        <rFont val="Microsoft YaHei"/>
        <family val="0"/>
        <charset val="1"/>
      </rPr>
      <t xml:space="preserve">10%</t>
    </r>
    <r>
      <rPr>
        <sz val="10"/>
        <color rgb="FF7F7F7F"/>
        <rFont val="Arial Unicode MS"/>
        <family val="2"/>
      </rPr>
      <t xml:space="preserve">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=9.83</t>
    </r>
    <r>
      <rPr>
        <sz val="10"/>
        <color rgb="FF7F7F7F"/>
        <rFont val="Arial Unicode MS"/>
        <family val="2"/>
      </rPr>
      <t xml:space="preserve">亿股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0;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</si>
  <si>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"-20</t>
    </r>
    <r>
      <rPr>
        <sz val="10"/>
        <color rgb="FF7F7F7F"/>
        <rFont val="Arial Unicode MS"/>
        <family val="2"/>
      </rPr>
      <t xml:space="preserve">百万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</si>
  <si>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港股招股书产品占比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东财仅披露</t>
    </r>
    <r>
      <rPr>
        <sz val="10"/>
        <color rgb="FF7F7F7F"/>
        <rFont val="Microsoft YaHei"/>
        <family val="0"/>
        <charset val="1"/>
      </rPr>
      <t xml:space="preserve">PCB</t>
    </r>
    <r>
      <rPr>
        <sz val="10"/>
        <color rgb="FF7F7F7F"/>
        <rFont val="Arial Unicode MS"/>
        <family val="2"/>
      </rPr>
      <t xml:space="preserve">制造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其他口径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</si>
  <si>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10. 2026Q1</t>
    </r>
    <r>
      <rPr>
        <sz val="10"/>
        <color rgb="FF7F7F7F"/>
        <rFont val="Arial Unicode MS"/>
        <family val="2"/>
      </rPr>
      <t xml:space="preserve">实际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营收</t>
    </r>
    <r>
      <rPr>
        <sz val="10"/>
        <color rgb="FF7F7F7F"/>
        <rFont val="Microsoft YaHei"/>
        <family val="0"/>
        <charset val="1"/>
      </rPr>
      <t xml:space="preserve">55.19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(+28.0%), </t>
    </r>
    <r>
      <rPr>
        <sz val="10"/>
        <color rgb="FF7F7F7F"/>
        <rFont val="Arial Unicode MS"/>
        <family val="2"/>
      </rPr>
      <t xml:space="preserve">归母</t>
    </r>
    <r>
      <rPr>
        <sz val="10"/>
        <color rgb="FF7F7F7F"/>
        <rFont val="Microsoft YaHei"/>
        <family val="0"/>
        <charset val="1"/>
      </rPr>
      <t xml:space="preserve">12.88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(+39.9%); </t>
    </r>
    <r>
      <rPr>
        <sz val="10"/>
        <color rgb="FF7F7F7F"/>
        <rFont val="Arial Unicode MS"/>
        <family val="2"/>
      </rPr>
      <t xml:space="preserve">截至</t>
    </r>
    <r>
      <rPr>
        <sz val="10"/>
        <color rgb="FF7F7F7F"/>
        <rFont val="Microsoft YaHei"/>
        <family val="0"/>
        <charset val="1"/>
      </rPr>
      <t xml:space="preserve">2026-08-17</t>
    </r>
    <r>
      <rPr>
        <sz val="10"/>
        <color rgb="FF7F7F7F"/>
        <rFont val="Arial Unicode MS"/>
        <family val="2"/>
      </rPr>
      <t xml:space="preserve">未披露</t>
    </r>
    <r>
      <rPr>
        <sz val="10"/>
        <color rgb="FF7F7F7F"/>
        <rFont val="Microsoft YaHei"/>
        <family val="0"/>
        <charset val="1"/>
      </rPr>
      <t xml:space="preserve">2026H1</t>
    </r>
    <r>
      <rPr>
        <sz val="10"/>
        <color rgb="FF7F7F7F"/>
        <rFont val="Arial Unicode MS"/>
        <family val="2"/>
      </rPr>
      <t xml:space="preserve">业绩预告</t>
    </r>
    <r>
      <rPr>
        <sz val="10"/>
        <color rgb="FF7F7F7F"/>
        <rFont val="Microsoft YaHei"/>
        <family val="0"/>
        <charset val="1"/>
      </rPr>
      <t xml:space="preserve">.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</si>
  <si>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</si>
  <si>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(2023A-2025A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, 2026Q1</t>
    </r>
    <r>
      <rPr>
        <sz val="9"/>
        <color rgb="FF1E7A1E"/>
        <rFont val="Arial Unicode MS"/>
        <family val="2"/>
      </rPr>
      <t xml:space="preserve">季报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港股全球发售公告</t>
    </r>
    <r>
      <rPr>
        <sz val="9"/>
        <color rgb="FF1E7A1E"/>
        <rFont val="Microsoft YaHei"/>
        <family val="0"/>
        <charset val="1"/>
      </rPr>
      <t xml:space="preserve">, </t>
    </r>
    <r>
      <rPr>
        <sz val="9"/>
        <color rgb="FF1E7A1E"/>
        <rFont val="Arial Unicode MS"/>
        <family val="2"/>
      </rPr>
      <t xml:space="preserve">东莞证券深度报告</t>
    </r>
    <r>
      <rPr>
        <sz val="9"/>
        <color rgb="FF1E7A1E"/>
        <rFont val="Microsoft YaHei"/>
        <family val="0"/>
        <charset val="1"/>
      </rPr>
      <t xml:space="preserve">(2026-04-29);</t>
    </r>
  </si>
  <si>
    <r>
      <rPr>
        <sz val="9"/>
        <color rgb="FF1E7A1E"/>
        <rFont val="Arial Unicode MS"/>
        <family val="2"/>
      </rPr>
      <t xml:space="preserve">一致预期</t>
    </r>
    <r>
      <rPr>
        <sz val="9"/>
        <color rgb="FF1E7A1E"/>
        <rFont val="Microsoft YaHei"/>
        <family val="0"/>
        <charset val="1"/>
      </rPr>
      <t xml:space="preserve">: gildata/</t>
    </r>
    <r>
      <rPr>
        <sz val="9"/>
        <color rgb="FF1E7A1E"/>
        <rFont val="Arial Unicode MS"/>
        <family val="2"/>
      </rPr>
      <t xml:space="preserve">聚源</t>
    </r>
    <r>
      <rPr>
        <sz val="9"/>
        <color rgb="FF1E7A1E"/>
        <rFont val="Microsoft YaHei"/>
        <family val="0"/>
        <charset val="1"/>
      </rPr>
      <t xml:space="preserve">(2026-08-03~06); </t>
    </r>
    <r>
      <rPr>
        <sz val="9"/>
        <color rgb="FF1E7A1E"/>
        <rFont val="Arial Unicode MS"/>
        <family val="2"/>
      </rPr>
      <t xml:space="preserve">客户集中度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经济观察网引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astock</t>
    </r>
    <r>
      <rPr>
        <sz val="9"/>
        <color rgb="FF1E7A1E"/>
        <rFont val="Arial Unicode MS"/>
        <family val="2"/>
      </rPr>
      <t xml:space="preserve">脚本</t>
    </r>
    <r>
      <rPr>
        <sz val="9"/>
        <color rgb="FF1E7A1E"/>
        <rFont val="Microsoft YaHei"/>
        <family val="0"/>
        <charset val="1"/>
      </rPr>
      <t xml:space="preserve">(2026-08-14);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</si>
  <si>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参考东财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同花顺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;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</si>
  <si>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三菱瓦斯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涨价新闻</t>
    </r>
    <r>
      <rPr>
        <sz val="9"/>
        <color rgb="FF1E7A1E"/>
        <rFont val="Microsoft YaHei"/>
        <family val="0"/>
        <charset val="1"/>
      </rPr>
      <t xml:space="preserve">(2026-04), </t>
    </r>
    <r>
      <rPr>
        <sz val="9"/>
        <color rgb="FF1E7A1E"/>
        <rFont val="Arial Unicode MS"/>
        <family val="2"/>
      </rPr>
      <t xml:space="preserve">弗若斯特沙利文市场份额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截至</t>
    </r>
    <r>
      <rPr>
        <sz val="9"/>
        <color rgb="FF1E7A1E"/>
        <rFont val="Microsoft YaHei"/>
        <family val="0"/>
        <charset val="1"/>
      </rPr>
      <t xml:space="preserve">25H1).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</si>
  <si>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</si>
  <si>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</si>
  <si>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</si>
  <si>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</si>
  <si>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</si>
  <si>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</si>
  <si>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</si>
  <si>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</si>
  <si>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</si>
  <si>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</si>
  <si>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</si>
  <si>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</si>
  <si>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</si>
  <si>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</si>
  <si>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</si>
  <si>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</si>
  <si>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</si>
  <si>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</si>
  <si>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</si>
  <si>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</si>
  <si>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</si>
  <si>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35x </t>
    </r>
    <r>
      <rPr>
        <sz val="9"/>
        <color rgb="FF7F7F7F"/>
        <rFont val="Arial Unicode MS"/>
        <family val="2"/>
      </rPr>
      <t xml:space="preserve">单点（无正式可比）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</si>
  <si>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</si>
  <si>
    <r>
      <rPr>
        <b val="true"/>
        <sz val="10"/>
        <color rgb="FF000000"/>
        <rFont val="Arial Unicode MS"/>
        <family val="2"/>
      </rPr>
      <t xml:space="preserve">相对估值 — 一致预期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</si>
  <si>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91.2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已验证来源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</si>
  <si>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</si>
  <si>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</si>
  <si>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</si>
  <si>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(2026-08-14)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</si>
  <si>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</si>
  <si>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</si>
  <si>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</si>
  <si>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</si>
  <si>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</si>
  <si>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</si>
  <si>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</si>
  <si>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</si>
  <si>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</si>
  <si>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</si>
  <si>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一致预期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</si>
  <si>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</si>
  <si>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</si>
  <si>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</si>
  <si>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</si>
  <si>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</si>
  <si>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胜宏科技</t>
    </r>
    <r>
      <rPr>
        <b val="true"/>
        <sz val="13"/>
        <color rgb="FFFFFFFF"/>
        <rFont val="Microsoft YaHei"/>
        <family val="0"/>
        <charset val="1"/>
      </rPr>
      <t xml:space="preserve">(300476.SZ)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</si>
  <si>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2026-08-14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</si>
  <si>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</si>
  <si>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</si>
  <si>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</si>
  <si>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</si>
  <si>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</si>
  <si>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2026-08-14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</si>
  <si>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</si>
  <si>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</si>
  <si>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</si>
  <si>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(astock</t>
    </r>
    <r>
      <rPr>
        <sz val="9"/>
        <color rgb="FF7F7F7F"/>
        <rFont val="Arial Unicode MS"/>
        <family val="2"/>
      </rPr>
      <t xml:space="preserve">脚本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</si>
  <si>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总股本</t>
  </si>
  <si>
    <t xml:space="preserve">百万股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</si>
  <si>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年报及东莞证券深度报告</t>
    </r>
    <r>
      <rPr>
        <sz val="9"/>
        <color rgb="FF7F7F7F"/>
        <rFont val="Microsoft YaHei"/>
        <family val="0"/>
        <charset val="1"/>
      </rPr>
      <t xml:space="preserve">(2026-04-29): 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9.83</t>
    </r>
    <r>
      <rPr>
        <sz val="9"/>
        <color rgb="FF7F7F7F"/>
        <rFont val="Arial Unicode MS"/>
        <family val="2"/>
      </rPr>
      <t xml:space="preserve">亿股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</si>
  <si>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</si>
  <si>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</si>
  <si>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2648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</si>
  <si>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二、市场一致预期与最新财报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</si>
  <si>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</si>
  <si>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聚源一致预期</t>
    </r>
    <r>
      <rPr>
        <sz val="9"/>
        <color rgb="FF7F7F7F"/>
        <rFont val="Microsoft YaHei"/>
        <family val="0"/>
        <charset val="1"/>
      </rPr>
      <t xml:space="preserve">(2026-08-03~06): 333.7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(+73.0%)/539.3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(+61.6%)/774.3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</si>
  <si>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</si>
  <si>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Microsoft YaHei"/>
        <family val="0"/>
        <charset val="1"/>
      </rPr>
      <t xml:space="preserve">gildata/</t>
    </r>
    <r>
      <rPr>
        <sz val="9"/>
        <color rgb="FF7F7F7F"/>
        <rFont val="Arial Unicode MS"/>
        <family val="2"/>
      </rPr>
      <t xml:space="preserve">聚源</t>
    </r>
    <r>
      <rPr>
        <sz val="9"/>
        <color rgb="FF7F7F7F"/>
        <rFont val="Microsoft YaHei"/>
        <family val="0"/>
        <charset val="1"/>
      </rPr>
      <t xml:space="preserve">: 91.2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(+111.5%)/154.1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/229.7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</si>
  <si>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</si>
  <si>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</si>
  <si>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</si>
  <si>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一致预期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</si>
  <si>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实际营收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</si>
  <si>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55.19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(+28.0%); 2026H1</t>
    </r>
    <r>
      <rPr>
        <sz val="9"/>
        <color rgb="FF7F7F7F"/>
        <rFont val="Arial Unicode MS"/>
        <family val="2"/>
      </rPr>
      <t xml:space="preserve">业绩预告截至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未披露</t>
    </r>
  </si>
  <si>
    <r>
      <rPr>
        <sz val="10"/>
        <color rgb="FF000000"/>
        <rFont val="Microsoft YaHei"/>
        <family val="0"/>
        <charset val="1"/>
      </rPr>
      <t xml:space="preserve">2026Q1</t>
    </r>
    <r>
      <rPr>
        <sz val="10"/>
        <color rgb="FF000000"/>
        <rFont val="Arial Unicode MS"/>
        <family val="2"/>
      </rPr>
      <t xml:space="preserve">实际归母净利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</si>
  <si>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一季报</t>
    </r>
    <r>
      <rPr>
        <sz val="9"/>
        <color rgb="FF7F7F7F"/>
        <rFont val="Microsoft YaHei"/>
        <family val="0"/>
        <charset val="1"/>
      </rPr>
      <t xml:space="preserve">: 12.88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(+39.9%)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</si>
  <si>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</si>
  <si>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</si>
  <si>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</si>
  <si>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</si>
  <si>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</si>
  <si>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</si>
  <si>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</si>
  <si>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</si>
  <si>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Microsoft YaHei"/>
        <family val="0"/>
        <charset val="1"/>
      </rPr>
      <t xml:space="preserve">HDI </t>
    </r>
    <r>
      <rPr>
        <sz val="10"/>
        <color rgb="FF000000"/>
        <rFont val="Arial Unicode MS"/>
        <family val="2"/>
      </rPr>
      <t xml:space="preserve">销量增速</t>
    </r>
  </si>
  <si>
    <t xml:space="preserve">%</t>
  </si>
  <si>
    <r>
      <rPr>
        <sz val="9"/>
        <color rgb="FF7F7F7F"/>
        <rFont val="Arial Unicode MS"/>
        <family val="2"/>
      </rPr>
      <t xml:space="preserve">谷歌</t>
    </r>
    <r>
      <rPr>
        <sz val="9"/>
        <color rgb="FF7F7F7F"/>
        <rFont val="Microsoft YaHei"/>
        <family val="0"/>
        <charset val="1"/>
      </rPr>
      <t xml:space="preserve">TPU</t>
    </r>
    <r>
      <rPr>
        <sz val="9"/>
        <color rgb="FF7F7F7F"/>
        <rFont val="Arial Unicode MS"/>
        <family val="2"/>
      </rPr>
      <t xml:space="preserve">链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核心供应商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媒体口径份额</t>
    </r>
    <r>
      <rPr>
        <sz val="9"/>
        <color rgb="FF7F7F7F"/>
        <rFont val="Microsoft YaHei"/>
        <family val="0"/>
        <charset val="1"/>
      </rPr>
      <t xml:space="preserve">50%+)+</t>
    </r>
    <r>
      <rPr>
        <sz val="9"/>
        <color rgb="FF7F7F7F"/>
        <rFont val="Arial Unicode MS"/>
        <family val="2"/>
      </rPr>
      <t xml:space="preserve">英伟达</t>
    </r>
    <r>
      <rPr>
        <sz val="9"/>
        <color rgb="FF7F7F7F"/>
        <rFont val="Microsoft YaHei"/>
        <family val="0"/>
        <charset val="1"/>
      </rPr>
      <t xml:space="preserve">GPU</t>
    </r>
    <r>
      <rPr>
        <sz val="9"/>
        <color rgb="FF7F7F7F"/>
        <rFont val="Arial Unicode MS"/>
        <family val="2"/>
      </rPr>
      <t xml:space="preserve">加速卡放量</t>
    </r>
    <r>
      <rPr>
        <sz val="9"/>
        <color rgb="FF7F7F7F"/>
        <rFont val="Microsoft YaHei"/>
        <family val="0"/>
        <charset val="1"/>
      </rPr>
      <t xml:space="preserve">; 6</t>
    </r>
    <r>
      <rPr>
        <sz val="9"/>
        <color rgb="FF7F7F7F"/>
        <rFont val="Arial Unicode MS"/>
        <family val="2"/>
      </rPr>
      <t xml:space="preserve">阶以上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产能</t>
    </r>
    <r>
      <rPr>
        <sz val="9"/>
        <color rgb="FF7F7F7F"/>
        <rFont val="Microsoft YaHei"/>
        <family val="0"/>
        <charset val="1"/>
      </rPr>
      <t xml:space="preserve">60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15</t>
    </r>
    <r>
      <rPr>
        <sz val="9"/>
        <color rgb="FF7F7F7F"/>
        <rFont val="Arial Unicode MS"/>
        <family val="2"/>
      </rPr>
      <t xml:space="preserve">万㎡规划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全球高阶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份额第一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弗若斯特沙利文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截至</t>
    </r>
    <r>
      <rPr>
        <sz val="9"/>
        <color rgb="FF7F7F7F"/>
        <rFont val="Microsoft YaHei"/>
        <family val="0"/>
        <charset val="1"/>
      </rPr>
      <t xml:space="preserve">25H1); 2025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收入占比</t>
    </r>
    <r>
      <rPr>
        <sz val="9"/>
        <color rgb="FF7F7F7F"/>
        <rFont val="Microsoft YaHei"/>
        <family val="0"/>
        <charset val="1"/>
      </rPr>
      <t xml:space="preserve">38.5%(+24.3pct)</t>
    </r>
  </si>
  <si>
    <r>
      <rPr>
        <sz val="10"/>
        <color rgb="FF000000"/>
        <rFont val="Microsoft YaHei"/>
        <family val="0"/>
        <charset val="1"/>
      </rPr>
      <t xml:space="preserve">HDI ASP</t>
    </r>
    <r>
      <rPr>
        <sz val="10"/>
        <color rgb="FF000000"/>
        <rFont val="Arial Unicode MS"/>
        <family val="2"/>
      </rPr>
      <t xml:space="preserve">增速</t>
    </r>
  </si>
  <si>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阶</t>
    </r>
    <r>
      <rPr>
        <sz val="9"/>
        <color rgb="FF7F7F7F"/>
        <rFont val="Microsoft YaHei"/>
        <family val="0"/>
        <charset val="1"/>
      </rPr>
      <t xml:space="preserve">24</t>
    </r>
    <r>
      <rPr>
        <sz val="9"/>
        <color rgb="FF7F7F7F"/>
        <rFont val="Arial Unicode MS"/>
        <family val="2"/>
      </rPr>
      <t xml:space="preserve">层→</t>
    </r>
    <r>
      <rPr>
        <sz val="9"/>
        <color rgb="FF7F7F7F"/>
        <rFont val="Microsoft YaHei"/>
        <family val="0"/>
        <charset val="1"/>
      </rPr>
      <t xml:space="preserve">10</t>
    </r>
    <r>
      <rPr>
        <sz val="9"/>
        <color rgb="FF7F7F7F"/>
        <rFont val="Arial Unicode MS"/>
        <family val="2"/>
      </rPr>
      <t xml:space="preserve">阶升级</t>
    </r>
    <r>
      <rPr>
        <sz val="9"/>
        <color rgb="FF7F7F7F"/>
        <rFont val="Microsoft YaHei"/>
        <family val="0"/>
        <charset val="1"/>
      </rPr>
      <t xml:space="preserve">+TPU/GPU</t>
    </r>
    <r>
      <rPr>
        <sz val="9"/>
        <color rgb="FF7F7F7F"/>
        <rFont val="Arial Unicode MS"/>
        <family val="2"/>
      </rPr>
      <t xml:space="preserve">平台迭代带来单板价值量提升</t>
    </r>
    <r>
      <rPr>
        <sz val="9"/>
        <color rgb="FF7F7F7F"/>
        <rFont val="Microsoft YaHei"/>
        <family val="0"/>
        <charset val="1"/>
      </rPr>
      <t xml:space="preserve">; CCL</t>
    </r>
    <r>
      <rPr>
        <sz val="9"/>
        <color rgb="FF7F7F7F"/>
        <rFont val="Arial Unicode MS"/>
        <family val="2"/>
      </rPr>
      <t xml:space="preserve">涨价顺价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台耀</t>
    </r>
    <r>
      <rPr>
        <sz val="9"/>
        <color rgb="FF7F7F7F"/>
        <rFont val="Microsoft YaHei"/>
        <family val="0"/>
        <charset val="1"/>
      </rPr>
      <t xml:space="preserve">2026-04</t>
    </r>
    <r>
      <rPr>
        <sz val="9"/>
        <color rgb="FF7F7F7F"/>
        <rFont val="Arial Unicode MS"/>
        <family val="2"/>
      </rPr>
      <t xml:space="preserve">涨</t>
    </r>
    <r>
      <rPr>
        <sz val="9"/>
        <color rgb="FF7F7F7F"/>
        <rFont val="Microsoft YaHei"/>
        <family val="0"/>
        <charset val="1"/>
      </rPr>
      <t xml:space="preserve">20-40%,</t>
    </r>
    <r>
      <rPr>
        <sz val="9"/>
        <color rgb="FF7F7F7F"/>
        <rFont val="Arial Unicode MS"/>
        <family val="2"/>
      </rPr>
      <t xml:space="preserve">三菱瓦斯涨≤</t>
    </r>
    <r>
      <rPr>
        <sz val="9"/>
        <color rgb="FF7F7F7F"/>
        <rFont val="Microsoft YaHei"/>
        <family val="0"/>
        <charset val="1"/>
      </rPr>
      <t xml:space="preserve">30%); 2025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43.5%</t>
    </r>
    <r>
      <rPr>
        <sz val="9"/>
        <color rgb="FF7F7F7F"/>
        <rFont val="Arial Unicode MS"/>
        <family val="2"/>
      </rPr>
      <t xml:space="preserve">验证定价权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</si>
  <si>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</t>
    </r>
    <r>
      <rPr>
        <sz val="10"/>
        <color rgb="FF000000"/>
        <rFont val="Arial Unicode MS"/>
        <family val="2"/>
      </rPr>
      <t xml:space="preserve">销量增速</t>
    </r>
  </si>
  <si>
    <r>
      <rPr>
        <sz val="9"/>
        <color rgb="FF7F7F7F"/>
        <rFont val="Microsoft YaHei"/>
        <family val="0"/>
        <charset val="1"/>
      </rPr>
      <t xml:space="preserve">14</t>
    </r>
    <r>
      <rPr>
        <sz val="9"/>
        <color rgb="FF7F7F7F"/>
        <rFont val="Arial Unicode MS"/>
        <family val="2"/>
      </rPr>
      <t xml:space="preserve">层以上高多层产能</t>
    </r>
    <r>
      <rPr>
        <sz val="9"/>
        <color rgb="FF7F7F7F"/>
        <rFont val="Microsoft YaHei"/>
        <family val="0"/>
        <charset val="1"/>
      </rPr>
      <t xml:space="preserve">516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泰国基地</t>
    </r>
    <r>
      <rPr>
        <sz val="9"/>
        <color rgb="FF7F7F7F"/>
        <rFont val="Microsoft YaHei"/>
        <family val="0"/>
        <charset val="1"/>
      </rPr>
      <t xml:space="preserve">150</t>
    </r>
    <r>
      <rPr>
        <sz val="9"/>
        <color rgb="FF7F7F7F"/>
        <rFont val="Arial Unicode MS"/>
        <family val="2"/>
      </rPr>
      <t xml:space="preserve">万㎡规划</t>
    </r>
    <r>
      <rPr>
        <sz val="9"/>
        <color rgb="FF7F7F7F"/>
        <rFont val="Microsoft YaHei"/>
        <family val="0"/>
        <charset val="1"/>
      </rPr>
      <t xml:space="preserve">(A1</t>
    </r>
    <r>
      <rPr>
        <sz val="9"/>
        <color rgb="FF7F7F7F"/>
        <rFont val="Arial Unicode MS"/>
        <family val="2"/>
      </rPr>
      <t xml:space="preserve">一期改造完成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二期验证</t>
    </r>
    <r>
      <rPr>
        <sz val="9"/>
        <color rgb="FF7F7F7F"/>
        <rFont val="Microsoft YaHei"/>
        <family val="0"/>
        <charset val="1"/>
      </rPr>
      <t xml:space="preserve">/A2</t>
    </r>
    <r>
      <rPr>
        <sz val="9"/>
        <color rgb="FF7F7F7F"/>
        <rFont val="Arial Unicode MS"/>
        <family val="2"/>
      </rPr>
      <t xml:space="preserve">推进</t>
    </r>
    <r>
      <rPr>
        <sz val="9"/>
        <color rgb="FF7F7F7F"/>
        <rFont val="Microsoft YaHei"/>
        <family val="0"/>
        <charset val="1"/>
      </rPr>
      <t xml:space="preserve">); AI</t>
    </r>
    <r>
      <rPr>
        <sz val="9"/>
        <color rgb="FF7F7F7F"/>
        <rFont val="Arial Unicode MS"/>
        <family val="2"/>
      </rPr>
      <t xml:space="preserve">服务器主板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交换机需求</t>
    </r>
    <r>
      <rPr>
        <sz val="9"/>
        <color rgb="FF7F7F7F"/>
        <rFont val="Microsoft YaHei"/>
        <family val="0"/>
        <charset val="1"/>
      </rPr>
      <t xml:space="preserve">; 70</t>
    </r>
    <r>
      <rPr>
        <sz val="9"/>
        <color rgb="FF7F7F7F"/>
        <rFont val="Arial Unicode MS"/>
        <family val="2"/>
      </rPr>
      <t xml:space="preserve">层以上已量产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</si>
  <si>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ASP</t>
    </r>
    <r>
      <rPr>
        <sz val="10"/>
        <color rgb="FF000000"/>
        <rFont val="Arial Unicode MS"/>
        <family val="2"/>
      </rPr>
      <t xml:space="preserve">增速</t>
    </r>
  </si>
  <si>
    <r>
      <rPr>
        <sz val="9"/>
        <color rgb="FF7F7F7F"/>
        <rFont val="Arial Unicode MS"/>
        <family val="2"/>
      </rPr>
      <t xml:space="preserve">高层数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高速料</t>
    </r>
    <r>
      <rPr>
        <sz val="9"/>
        <color rgb="FF7F7F7F"/>
        <rFont val="Microsoft YaHei"/>
        <family val="0"/>
        <charset val="1"/>
      </rPr>
      <t xml:space="preserve">(M8/M9</t>
    </r>
    <r>
      <rPr>
        <sz val="9"/>
        <color rgb="FF7F7F7F"/>
        <rFont val="Arial Unicode MS"/>
        <family val="2"/>
      </rPr>
      <t xml:space="preserve">验证完成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占比提升带动均价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顺价能力弱于</t>
    </r>
    <r>
      <rPr>
        <sz val="9"/>
        <color rgb="FF7F7F7F"/>
        <rFont val="Microsoft YaHei"/>
        <family val="0"/>
        <charset val="1"/>
      </rPr>
      <t xml:space="preserve">HDI</t>
    </r>
  </si>
  <si>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单双层</t>
    </r>
    <r>
      <rPr>
        <sz val="10"/>
        <color rgb="FF000000"/>
        <rFont val="Microsoft YaHei"/>
        <family val="0"/>
        <charset val="1"/>
      </rPr>
      <t xml:space="preserve">/FPC/</t>
    </r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) </t>
    </r>
    <r>
      <rPr>
        <sz val="10"/>
        <color rgb="FF000000"/>
        <rFont val="Arial Unicode MS"/>
        <family val="2"/>
      </rPr>
      <t xml:space="preserve">收入增速</t>
    </r>
  </si>
  <si>
    <r>
      <rPr>
        <sz val="9"/>
        <color rgb="FF7F7F7F"/>
        <rFont val="Arial Unicode MS"/>
        <family val="2"/>
      </rPr>
      <t xml:space="preserve">成熟业务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+FPC(</t>
    </r>
    <r>
      <rPr>
        <sz val="9"/>
        <color rgb="FF7F7F7F"/>
        <rFont val="Arial Unicode MS"/>
        <family val="2"/>
      </rPr>
      <t xml:space="preserve">长沙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益阳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马来西亚基地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其他补充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低增长假设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</si>
  <si>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</si>
  <si>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HDI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</si>
  <si>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 43.5%; </t>
    </r>
    <r>
      <rPr>
        <sz val="9"/>
        <color rgb="FF7F7F7F"/>
        <rFont val="Arial Unicode MS"/>
        <family val="2"/>
      </rPr>
      <t xml:space="preserve">规模效应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产品升级 </t>
    </r>
    <r>
      <rPr>
        <sz val="9"/>
        <color rgb="FF7F7F7F"/>
        <rFont val="Microsoft YaHei"/>
        <family val="0"/>
        <charset val="1"/>
      </rPr>
      <t xml:space="preserve">vs CCL</t>
    </r>
    <r>
      <rPr>
        <sz val="9"/>
        <color rgb="FF7F7F7F"/>
        <rFont val="Arial Unicode MS"/>
        <family val="2"/>
      </rPr>
      <t xml:space="preserve">成本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竞争加剧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缓降</t>
    </r>
  </si>
  <si>
    <r>
      <rPr>
        <sz val="10"/>
        <color rgb="FF000000"/>
        <rFont val="Arial Unicode MS"/>
        <family val="2"/>
      </rPr>
      <t xml:space="preserve">高多层板</t>
    </r>
    <r>
      <rPr>
        <sz val="10"/>
        <color rgb="FF000000"/>
        <rFont val="Microsoft YaHei"/>
        <family val="0"/>
        <charset val="1"/>
      </rPr>
      <t xml:space="preserve">(MLPCB)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</si>
  <si>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 24.4%; </t>
    </r>
    <r>
      <rPr>
        <sz val="9"/>
        <color rgb="FF7F7F7F"/>
        <rFont val="Arial Unicode MS"/>
        <family val="2"/>
      </rPr>
      <t xml:space="preserve">泰国爬坡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高层数占比提升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先升后稳</t>
    </r>
  </si>
  <si>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单双层</t>
    </r>
    <r>
      <rPr>
        <sz val="10"/>
        <color rgb="FF000000"/>
        <rFont val="Microsoft YaHei"/>
        <family val="0"/>
        <charset val="1"/>
      </rPr>
      <t xml:space="preserve">/FPC/</t>
    </r>
    <r>
      <rPr>
        <sz val="10"/>
        <color rgb="FF000000"/>
        <rFont val="Arial Unicode MS"/>
        <family val="2"/>
      </rPr>
      <t xml:space="preserve">其他</t>
    </r>
    <r>
      <rPr>
        <sz val="10"/>
        <color rgb="FF000000"/>
        <rFont val="Microsoft YaHei"/>
        <family val="0"/>
        <charset val="1"/>
      </rPr>
      <t xml:space="preserve">) </t>
    </r>
    <r>
      <rPr>
        <sz val="10"/>
        <color rgb="FF000000"/>
        <rFont val="Arial Unicode MS"/>
        <family val="2"/>
      </rPr>
      <t xml:space="preserve">毛利率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</si>
  <si>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加权约</t>
    </r>
    <r>
      <rPr>
        <sz val="9"/>
        <color rgb="FF7F7F7F"/>
        <rFont val="Microsoft YaHei"/>
        <family val="0"/>
        <charset val="1"/>
      </rPr>
      <t xml:space="preserve">43.5%(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19.9%/FPC23.6%/</t>
    </r>
    <r>
      <rPr>
        <sz val="9"/>
        <color rgb="FF7F7F7F"/>
        <rFont val="Arial Unicode MS"/>
        <family val="2"/>
      </rPr>
      <t xml:space="preserve">其他</t>
    </r>
    <r>
      <rPr>
        <sz val="9"/>
        <color rgb="FF7F7F7F"/>
        <rFont val="Microsoft YaHei"/>
        <family val="0"/>
        <charset val="1"/>
      </rPr>
      <t xml:space="preserve">84.7%); </t>
    </r>
    <r>
      <rPr>
        <sz val="9"/>
        <color rgb="FF7F7F7F"/>
        <rFont val="Arial Unicode MS"/>
        <family val="2"/>
      </rPr>
      <t xml:space="preserve">缓降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</si>
  <si>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</si>
  <si>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</si>
  <si>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Microsoft YaHei"/>
        <family val="0"/>
        <charset val="1"/>
      </rPr>
      <t xml:space="preserve">2025A 0.33%, 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</si>
  <si>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</si>
  <si>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Microsoft YaHei"/>
        <family val="0"/>
        <charset val="1"/>
      </rPr>
      <t xml:space="preserve">2025A 1.33%, </t>
    </r>
    <r>
      <rPr>
        <sz val="9"/>
        <color rgb="FF7F7F7F"/>
        <rFont val="Arial Unicode MS"/>
        <family val="2"/>
      </rPr>
      <t xml:space="preserve">规模效应略降</t>
    </r>
  </si>
  <si>
    <t xml:space="preserve">管理费用率</t>
  </si>
  <si>
    <r>
      <rPr>
        <sz val="9"/>
        <color rgb="FF7F7F7F"/>
        <rFont val="Microsoft YaHei"/>
        <family val="0"/>
        <charset val="1"/>
      </rPr>
      <t xml:space="preserve">2025A 2.59%, </t>
    </r>
    <r>
      <rPr>
        <sz val="9"/>
        <color rgb="FF7F7F7F"/>
        <rFont val="Arial Unicode MS"/>
        <family val="2"/>
      </rPr>
      <t xml:space="preserve">规模效应</t>
    </r>
  </si>
  <si>
    <t xml:space="preserve">研发费用率</t>
  </si>
  <si>
    <r>
      <rPr>
        <sz val="9"/>
        <color rgb="FF7F7F7F"/>
        <rFont val="Microsoft YaHei"/>
        <family val="0"/>
        <charset val="1"/>
      </rPr>
      <t xml:space="preserve">2025A 4.03%(7.78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,+72.9%), </t>
    </r>
    <r>
      <rPr>
        <sz val="9"/>
        <color rgb="FF7F7F7F"/>
        <rFont val="Arial Unicode MS"/>
        <family val="2"/>
      </rPr>
      <t xml:space="preserve">维持高研发</t>
    </r>
  </si>
  <si>
    <t xml:space="preserve">其他经营损益</t>
  </si>
  <si>
    <r>
      <rPr>
        <sz val="9"/>
        <color rgb="FF7F7F7F"/>
        <rFont val="Arial Unicode MS"/>
        <family val="2"/>
      </rPr>
      <t xml:space="preserve">投资收益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公允价值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减值等合计</t>
    </r>
    <r>
      <rPr>
        <sz val="9"/>
        <color rgb="FF7F7F7F"/>
        <rFont val="Microsoft YaHei"/>
        <family val="0"/>
        <charset val="1"/>
      </rPr>
      <t xml:space="preserve">: 2023A -8.0 / 2024A -22.0 / 2025A -19.4</t>
    </r>
    <r>
      <rPr>
        <sz val="9"/>
        <color rgb="FF7F7F7F"/>
        <rFont val="Arial Unicode MS"/>
        <family val="2"/>
      </rPr>
      <t xml:space="preserve">百万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取历史均值</t>
    </r>
  </si>
  <si>
    <t xml:space="preserve">营业外收支净额</t>
  </si>
  <si>
    <r>
      <rPr>
        <sz val="9"/>
        <color rgb="FF7F7F7F"/>
        <rFont val="Microsoft YaHei"/>
        <family val="0"/>
        <charset val="1"/>
      </rPr>
      <t xml:space="preserve">2025A -35.0</t>
    </r>
    <r>
      <rPr>
        <sz val="9"/>
        <color rgb="FF7F7F7F"/>
        <rFont val="Arial Unicode MS"/>
        <family val="2"/>
      </rPr>
      <t xml:space="preserve">百万</t>
    </r>
  </si>
  <si>
    <t xml:space="preserve">有效税率</t>
  </si>
  <si>
    <r>
      <rPr>
        <sz val="9"/>
        <color rgb="FF7F7F7F"/>
        <rFont val="Microsoft YaHei"/>
        <family val="0"/>
        <charset val="1"/>
      </rPr>
      <t xml:space="preserve">2025A 14.1%(2024A 12.0%); </t>
    </r>
    <r>
      <rPr>
        <sz val="9"/>
        <color rgb="FF7F7F7F"/>
        <rFont val="Arial Unicode MS"/>
        <family val="2"/>
      </rPr>
      <t xml:space="preserve">高新技术企业</t>
    </r>
    <r>
      <rPr>
        <sz val="9"/>
        <color rgb="FF7F7F7F"/>
        <rFont val="Microsoft YaHei"/>
        <family val="0"/>
        <charset val="1"/>
      </rPr>
      <t xml:space="preserve">15%</t>
    </r>
    <r>
      <rPr>
        <sz val="9"/>
        <color rgb="FF7F7F7F"/>
        <rFont val="Arial Unicode MS"/>
        <family val="2"/>
      </rPr>
      <t xml:space="preserve">优惠税率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</si>
  <si>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</si>
  <si>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+0.00%,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0.00%;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</si>
  <si>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</si>
  <si>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财务费用率</t>
    </r>
    <r>
      <rPr>
        <sz val="9"/>
        <color rgb="FF7F7F7F"/>
        <rFont val="Microsoft YaHei"/>
        <family val="0"/>
        <charset val="1"/>
      </rPr>
      <t xml:space="preserve">(2025A 0.62%)+</t>
    </r>
    <r>
      <rPr>
        <sz val="9"/>
        <color rgb="FF7F7F7F"/>
        <rFont val="Arial Unicode MS"/>
        <family val="2"/>
      </rPr>
      <t xml:space="preserve">其他经营损益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营业外净额近似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</si>
  <si>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</si>
  <si>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</si>
  <si>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</si>
  <si>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Microsoft YaHei"/>
        <family val="0"/>
        <charset val="1"/>
      </rPr>
      <t xml:space="preserve">2025A 114.7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138.7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大客户账期稳定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小幅改善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</si>
  <si>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</si>
  <si>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Microsoft YaHei"/>
        <family val="0"/>
        <charset val="1"/>
      </rPr>
      <t xml:space="preserve">2025A 92.3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90.0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备料随</t>
    </r>
    <r>
      <rPr>
        <sz val="9"/>
        <color rgb="FF7F7F7F"/>
        <rFont val="Microsoft YaHei"/>
        <family val="0"/>
        <charset val="1"/>
      </rPr>
      <t xml:space="preserve">AI</t>
    </r>
    <r>
      <rPr>
        <sz val="9"/>
        <color rgb="FF7F7F7F"/>
        <rFont val="Arial Unicode MS"/>
        <family val="2"/>
      </rPr>
      <t xml:space="preserve">订单增长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周转基本持平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</si>
  <si>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</si>
  <si>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Microsoft YaHei"/>
        <family val="0"/>
        <charset val="1"/>
      </rPr>
      <t xml:space="preserve">2025A 307.4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(2024A 218.4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票据结算占比高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对上游议价力强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假设逐步回归</t>
    </r>
    <r>
      <rPr>
        <sz val="9"/>
        <color rgb="FF7F7F7F"/>
        <rFont val="Microsoft YaHei"/>
        <family val="0"/>
        <charset val="1"/>
      </rPr>
      <t xml:space="preserve">; Sensitivity</t>
    </r>
    <r>
      <rPr>
        <sz val="9"/>
        <color rgb="FF7F7F7F"/>
        <rFont val="Arial Unicode MS"/>
        <family val="2"/>
      </rPr>
      <t xml:space="preserve">页有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</si>
  <si>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</si>
  <si>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t xml:space="preserve">2025A 0.41%</t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</si>
  <si>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</si>
  <si>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t xml:space="preserve">2025A 1.45%</t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</si>
  <si>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</si>
  <si>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Microsoft YaHei"/>
        <family val="0"/>
        <charset val="1"/>
      </rPr>
      <t xml:space="preserve">2025A 2.44%, </t>
    </r>
    <r>
      <rPr>
        <sz val="9"/>
        <color rgb="FF7F7F7F"/>
        <rFont val="Arial Unicode MS"/>
        <family val="2"/>
      </rPr>
      <t xml:space="preserve">盈利大增后回归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</si>
  <si>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</si>
  <si>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</si>
  <si>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Microsoft YaHei"/>
        <family val="0"/>
        <charset val="1"/>
      </rPr>
      <t xml:space="preserve">2025A 34.3%(66.2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), 2026Q1</t>
    </r>
    <r>
      <rPr>
        <sz val="9"/>
        <color rgb="FF7F7F7F"/>
        <rFont val="Arial Unicode MS"/>
        <family val="2"/>
      </rPr>
      <t xml:space="preserve">单季</t>
    </r>
    <r>
      <rPr>
        <sz val="9"/>
        <color rgb="FF7F7F7F"/>
        <rFont val="Microsoft YaHei"/>
        <family val="0"/>
        <charset val="1"/>
      </rPr>
      <t xml:space="preserve">35.7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惠州厂房四爬坡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九封顶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十</t>
    </r>
    <r>
      <rPr>
        <sz val="9"/>
        <color rgb="FF7F7F7F"/>
        <rFont val="Microsoft YaHei"/>
        <family val="0"/>
        <charset val="1"/>
      </rPr>
      <t xml:space="preserve">&amp;</t>
    </r>
    <r>
      <rPr>
        <sz val="9"/>
        <color rgb="FF7F7F7F"/>
        <rFont val="Arial Unicode MS"/>
        <family val="2"/>
      </rPr>
      <t xml:space="preserve">十一在建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A1/A2+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媒体口径约</t>
    </r>
    <r>
      <rPr>
        <sz val="9"/>
        <color rgb="FF7F7F7F"/>
        <rFont val="Microsoft YaHei"/>
        <family val="0"/>
        <charset val="1"/>
      </rPr>
      <t xml:space="preserve">200</t>
    </r>
    <r>
      <rPr>
        <sz val="9"/>
        <color rgb="FF7F7F7F"/>
        <rFont val="Arial Unicode MS"/>
        <family val="2"/>
      </rPr>
      <t xml:space="preserve">亿投资计划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逐年退坡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</si>
  <si>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</si>
  <si>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Capex)×75%; </t>
    </r>
    <r>
      <rPr>
        <sz val="9"/>
        <color rgb="FF7F7F7F"/>
        <rFont val="Arial Unicode MS"/>
        <family val="2"/>
      </rPr>
      <t xml:space="preserve">惠州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泰国项目建设期</t>
    </r>
    <r>
      <rPr>
        <sz val="9"/>
        <color rgb="FF7F7F7F"/>
        <rFont val="Microsoft YaHei"/>
        <family val="0"/>
        <charset val="1"/>
      </rPr>
      <t xml:space="preserve">1-2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转固滞后于资本开支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</si>
  <si>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</si>
  <si>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折旧摊销</t>
    </r>
    <r>
      <rPr>
        <sz val="9"/>
        <color rgb="FF7F7F7F"/>
        <rFont val="Microsoft YaHei"/>
        <family val="0"/>
        <charset val="1"/>
      </rPr>
      <t xml:space="preserve">9.9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)74.3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13.4%(</t>
    </r>
    <r>
      <rPr>
        <sz val="9"/>
        <color rgb="FF7F7F7F"/>
        <rFont val="Arial Unicode MS"/>
        <family val="2"/>
      </rPr>
      <t xml:space="preserve">含在建口径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固定资产净值口径取</t>
    </r>
    <r>
      <rPr>
        <sz val="9"/>
        <color rgb="FF7F7F7F"/>
        <rFont val="Microsoft YaHei"/>
        <family val="0"/>
        <charset val="1"/>
      </rPr>
      <t xml:space="preserve">12%; </t>
    </r>
    <r>
      <rPr>
        <sz val="9"/>
        <color rgb="FF7F7F7F"/>
        <rFont val="Arial Unicode MS"/>
        <family val="2"/>
      </rPr>
      <t xml:space="preserve">隐含年限见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页校验行</t>
    </r>
  </si>
  <si>
    <t xml:space="preserve">当年转固部分折旧率</t>
  </si>
  <si>
    <t xml:space="preserve">转固按约半年投产计提</t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</si>
  <si>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</si>
  <si>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设备更新处置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小额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</si>
  <si>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</si>
  <si>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0.49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7.56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6.5%, </t>
    </r>
    <r>
      <rPr>
        <sz val="9"/>
        <color rgb="FF7F7F7F"/>
        <rFont val="Arial Unicode MS"/>
        <family val="2"/>
      </rPr>
      <t xml:space="preserve">取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</si>
  <si>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</si>
  <si>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</si>
  <si>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年实付</t>
    </r>
    <r>
      <rPr>
        <sz val="9"/>
        <color rgb="FF7F7F7F"/>
        <rFont val="Microsoft YaHei"/>
        <family val="0"/>
        <charset val="1"/>
      </rPr>
      <t xml:space="preserve">3.8</t>
    </r>
    <r>
      <rPr>
        <sz val="9"/>
        <color rgb="FF7F7F7F"/>
        <rFont val="Arial Unicode MS"/>
        <family val="2"/>
      </rPr>
      <t xml:space="preserve">亿≈</t>
    </r>
    <r>
      <rPr>
        <sz val="9"/>
        <color rgb="FF7F7F7F"/>
        <rFont val="Microsoft YaHei"/>
        <family val="0"/>
        <charset val="1"/>
      </rPr>
      <t xml:space="preserve">2024</t>
    </r>
    <r>
      <rPr>
        <sz val="9"/>
        <color rgb="FF7F7F7F"/>
        <rFont val="Arial Unicode MS"/>
        <family val="2"/>
      </rPr>
      <t xml:space="preserve">归母的</t>
    </r>
    <r>
      <rPr>
        <sz val="9"/>
        <color rgb="FF7F7F7F"/>
        <rFont val="Microsoft YaHei"/>
        <family val="0"/>
        <charset val="1"/>
      </rPr>
      <t xml:space="preserve">33%; 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</si>
  <si>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</si>
  <si>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公司法定盈余公积按净利润</t>
    </r>
    <r>
      <rPr>
        <sz val="9"/>
        <color rgb="FF7F7F7F"/>
        <rFont val="Microsoft YaHei"/>
        <family val="0"/>
        <charset val="1"/>
      </rPr>
      <t xml:space="preserve">10%</t>
    </r>
    <r>
      <rPr>
        <sz val="9"/>
        <color rgb="FF7F7F7F"/>
        <rFont val="Arial Unicode MS"/>
        <family val="2"/>
      </rPr>
      <t xml:space="preserve">计提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计至股本</t>
    </r>
    <r>
      <rPr>
        <sz val="9"/>
        <color rgb="FF7F7F7F"/>
        <rFont val="Microsoft YaHei"/>
        <family val="0"/>
        <charset val="1"/>
      </rPr>
      <t xml:space="preserve">50%</t>
    </r>
    <r>
      <rPr>
        <sz val="9"/>
        <color rgb="FF7F7F7F"/>
        <rFont val="Arial Unicode MS"/>
        <family val="2"/>
      </rPr>
      <t xml:space="preserve">为止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本模型从简不提终止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</si>
  <si>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</si>
  <si>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</si>
  <si>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经营性最低货币资金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×2%(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7.3</t>
    </r>
    <r>
      <rPr>
        <sz val="9"/>
        <color rgb="FF7F7F7F"/>
        <rFont val="Arial Unicode MS"/>
        <family val="2"/>
      </rPr>
      <t xml:space="preserve">天收入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覆盖付现成本零头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超出部分由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购买理财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</si>
  <si>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</si>
  <si>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属性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由资金缺口新增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调节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15.0</t>
    </r>
    <r>
      <rPr>
        <sz val="9"/>
        <color rgb="FF7F7F7F"/>
        <rFont val="Arial Unicode MS"/>
        <family val="2"/>
      </rPr>
      <t xml:space="preserve">亿</t>
    </r>
  </si>
  <si>
    <t xml:space="preserve">一年内到期非流动负债计划还款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</si>
  <si>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9.96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假设每年偿付</t>
    </r>
    <r>
      <rPr>
        <sz val="9"/>
        <color rgb="FF7F7F7F"/>
        <rFont val="Microsoft YaHei"/>
        <family val="0"/>
        <charset val="1"/>
      </rPr>
      <t xml:space="preserve">3</t>
    </r>
    <r>
      <rPr>
        <sz val="9"/>
        <color rgb="FF7F7F7F"/>
        <rFont val="Arial Unicode MS"/>
        <family val="2"/>
      </rPr>
      <t xml:space="preserve">亿至清零</t>
    </r>
  </si>
  <si>
    <t xml:space="preserve">长期借款计划还款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</si>
  <si>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38.7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扩产项目贷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提前偿还</t>
    </r>
  </si>
  <si>
    <t xml:space="preserve">租赁负债计划还款</t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</si>
  <si>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0.82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小额摊还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</si>
  <si>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</si>
  <si>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  <r>
      <rPr>
        <sz val="9"/>
        <color rgb="FF7F7F7F"/>
        <rFont val="Microsoft YaHei"/>
        <family val="0"/>
        <charset val="1"/>
      </rPr>
      <t xml:space="preserve">(2026-08: 3.0%)</t>
    </r>
  </si>
  <si>
    <t xml:space="preserve">一年内到期非流动负债利率</t>
  </si>
  <si>
    <t xml:space="preserve">参照历史综合借款成本</t>
  </si>
  <si>
    <t xml:space="preserve">长期借款利率</t>
  </si>
  <si>
    <r>
      <rPr>
        <sz val="9"/>
        <color rgb="FF7F7F7F"/>
        <rFont val="Arial Unicode MS"/>
        <family val="2"/>
      </rPr>
      <t xml:space="preserve">项目贷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海外贷略高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</si>
  <si>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</si>
  <si>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租赁内含利率惯例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</si>
  <si>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</si>
  <si>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理财收益从简不计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保守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</si>
  <si>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</si>
  <si>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历史小额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取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</si>
  <si>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</si>
  <si>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1499.7+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996.2+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3867.4+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82.3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</si>
  <si>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</si>
  <si>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</si>
  <si>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Microsoft YaHei"/>
        <family val="0"/>
        <charset val="1"/>
      </rPr>
      <t xml:space="preserve">10</t>
    </r>
    <r>
      <rPr>
        <sz val="9"/>
        <color rgb="FF7F7F7F"/>
        <rFont val="Arial Unicode MS"/>
        <family val="2"/>
      </rPr>
      <t xml:space="preserve">年期国债收益率约</t>
    </r>
    <r>
      <rPr>
        <sz val="9"/>
        <color rgb="FF7F7F7F"/>
        <rFont val="Microsoft YaHei"/>
        <family val="0"/>
        <charset val="1"/>
      </rPr>
      <t xml:space="preserve">2.0%(2026-08)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</si>
  <si>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</si>
  <si>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Microsoft YaHei"/>
        <family val="0"/>
        <charset val="1"/>
      </rPr>
      <t xml:space="preserve">A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</si>
  <si>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</si>
  <si>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</si>
  <si>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MEDIAN(</t>
    </r>
    <r>
      <rPr>
        <sz val="9"/>
        <color rgb="FF7F7F7F"/>
        <rFont val="Arial Unicode MS"/>
        <family val="2"/>
      </rPr>
      <t xml:space="preserve">可比公司</t>
    </r>
    <r>
      <rPr>
        <sz val="9"/>
        <color rgb="FF7F7F7F"/>
        <rFont val="Microsoft YaHei"/>
        <family val="0"/>
        <charset val="1"/>
      </rPr>
      <t xml:space="preserve">βl/(1+(1-t)×D/E)), 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Relative_Val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改可比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输入即联动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</si>
  <si>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</si>
  <si>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公司低杠杆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以市值口径现状结构为目标结构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书面依据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公司无有息负债目标指引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D/(D+E) 2-8%, </t>
    </r>
    <r>
      <rPr>
        <sz val="9"/>
        <color rgb="FF7F7F7F"/>
        <rFont val="Arial Unicode MS"/>
        <family val="2"/>
      </rPr>
      <t xml:space="preserve">取现状≈</t>
    </r>
    <r>
      <rPr>
        <sz val="9"/>
        <color rgb="FF7F7F7F"/>
        <rFont val="Microsoft YaHei"/>
        <family val="0"/>
        <charset val="1"/>
      </rPr>
      <t xml:space="preserve">2.4%</t>
    </r>
    <r>
      <rPr>
        <sz val="9"/>
        <color rgb="FF7F7F7F"/>
        <rFont val="Arial Unicode MS"/>
        <family val="2"/>
      </rPr>
      <t xml:space="preserve">而非行业</t>
    </r>
    <r>
      <rPr>
        <sz val="9"/>
        <color rgb="FF7F7F7F"/>
        <rFont val="Microsoft YaHei"/>
        <family val="0"/>
        <charset val="1"/>
      </rPr>
      <t xml:space="preserve">15%</t>
    </r>
    <r>
      <rPr>
        <sz val="9"/>
        <color rgb="FF7F7F7F"/>
        <rFont val="Arial Unicode MS"/>
        <family val="2"/>
      </rPr>
      <t xml:space="preserve">以避免高估税盾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</si>
  <si>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</si>
  <si>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</si>
  <si>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</si>
  <si>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</si>
  <si>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</si>
  <si>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原</t>
    </r>
    <r>
      <rPr>
        <sz val="9"/>
        <color rgb="FF7F7F7F"/>
        <rFont val="Microsoft YaHei"/>
        <family val="0"/>
        <charset val="1"/>
      </rPr>
      <t xml:space="preserve">1.6%</t>
    </r>
    <r>
      <rPr>
        <sz val="9"/>
        <color rgb="FF7F7F7F"/>
        <rFont val="Arial Unicode MS"/>
        <family val="2"/>
      </rPr>
      <t xml:space="preserve">溢价已删除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量化依据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无法从公开数据分离个股特异溢价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且执行风险已由</t>
    </r>
    <r>
      <rPr>
        <sz val="9"/>
        <color rgb="FF7F7F7F"/>
        <rFont val="Microsoft YaHei"/>
        <family val="0"/>
        <charset val="1"/>
      </rPr>
      <t xml:space="preserve">relevered β(</t>
    </r>
    <r>
      <rPr>
        <sz val="9"/>
        <color rgb="FF7F7F7F"/>
        <rFont val="Arial Unicode MS"/>
        <family val="2"/>
      </rPr>
      <t xml:space="preserve">可比含产能爬坡标的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与情景分析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熊市</t>
    </r>
    <r>
      <rPr>
        <sz val="9"/>
        <color rgb="FF7F7F7F"/>
        <rFont val="Microsoft YaHei"/>
        <family val="0"/>
        <charset val="1"/>
      </rPr>
      <t xml:space="preserve">-15pct</t>
    </r>
    <r>
      <rPr>
        <sz val="9"/>
        <color rgb="FF7F7F7F"/>
        <rFont val="Arial Unicode MS"/>
        <family val="2"/>
      </rPr>
      <t xml:space="preserve">增速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双重覆盖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保留会造成重复计价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如需可自行输入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</si>
  <si>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</si>
  <si>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</si>
  <si>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</si>
  <si>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Microsoft YaHei"/>
        <family val="0"/>
        <charset val="1"/>
      </rPr>
      <t xml:space="preserve">≈FIN</t>
    </r>
    <r>
      <rPr>
        <sz val="9"/>
        <color rgb="FF7F7F7F"/>
        <rFont val="Arial Unicode MS"/>
        <family val="2"/>
      </rPr>
      <t xml:space="preserve">页四档债务加权平均利率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</si>
  <si>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</si>
  <si>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</si>
  <si>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</si>
  <si>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</si>
  <si>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</si>
  <si>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</si>
  <si>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</si>
  <si>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长期名义增速中枢下沿</t>
    </r>
    <r>
      <rPr>
        <sz val="9"/>
        <color rgb="FF7F7F7F"/>
        <rFont val="Microsoft YaHei"/>
        <family val="0"/>
        <charset val="1"/>
      </rPr>
      <t xml:space="preserve">; Sensitivity</t>
    </r>
    <r>
      <rPr>
        <sz val="9"/>
        <color rgb="FF7F7F7F"/>
        <rFont val="Arial Unicode MS"/>
        <family val="2"/>
      </rPr>
      <t xml:space="preserve">页做敏感分析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</si>
  <si>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</si>
  <si>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</si>
  <si>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</si>
  <si>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</si>
  <si>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</si>
  <si>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</si>
  <si>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Microsoft YaHei"/>
        <family val="0"/>
        <charset val="1"/>
      </rPr>
      <t xml:space="preserve">AI capex</t>
    </r>
    <r>
      <rPr>
        <sz val="9"/>
        <color rgb="FF7F7F7F"/>
        <rFont val="Arial Unicode MS"/>
        <family val="2"/>
      </rPr>
      <t xml:space="preserve">下修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大客户份额流失</t>
    </r>
    <r>
      <rPr>
        <sz val="9"/>
        <color rgb="FF7F7F7F"/>
        <rFont val="Microsoft YaHei"/>
        <family val="0"/>
        <charset val="1"/>
      </rPr>
      <t xml:space="preserve">/CCL</t>
    </r>
    <r>
      <rPr>
        <sz val="9"/>
        <color rgb="FF7F7F7F"/>
        <rFont val="Arial Unicode MS"/>
        <family val="2"/>
      </rPr>
      <t xml:space="preserve">涨价无法顺价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</si>
  <si>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</si>
  <si>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+71.8%≈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(+73%), 2027-28E</t>
    </r>
    <r>
      <rPr>
        <sz val="9"/>
        <color rgb="FF7F7F7F"/>
        <rFont val="Arial Unicode MS"/>
        <family val="2"/>
      </rPr>
      <t xml:space="preserve">略低于一致预期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25-26%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</si>
  <si>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</si>
  <si>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Microsoft YaHei"/>
        <family val="0"/>
        <charset val="1"/>
      </rPr>
      <t xml:space="preserve">TPU/GPU</t>
    </r>
    <r>
      <rPr>
        <sz val="9"/>
        <color rgb="FF7F7F7F"/>
        <rFont val="Arial Unicode MS"/>
        <family val="2"/>
      </rPr>
      <t xml:space="preserve">订单超预期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惠州新产能满销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涨价弹性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</si>
  <si>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</si>
  <si>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</si>
  <si>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</si>
  <si>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2023A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</si>
  <si>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</si>
  <si>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</si>
  <si>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</si>
  <si>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</si>
  <si>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2023-2025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</si>
  <si>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Microsoft YaHei"/>
        <family val="0"/>
        <charset val="1"/>
      </rPr>
      <t xml:space="preserve">HDI</t>
    </r>
    <r>
      <rPr>
        <b val="true"/>
        <sz val="10"/>
        <color rgb="FF1F3864"/>
        <rFont val="Arial Unicode MS"/>
        <family val="2"/>
      </rPr>
      <t xml:space="preserve">板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高阶</t>
    </r>
    <r>
      <rPr>
        <b val="true"/>
        <sz val="10"/>
        <color rgb="FF1F3864"/>
        <rFont val="Microsoft YaHei"/>
        <family val="0"/>
        <charset val="1"/>
      </rPr>
      <t xml:space="preserve">HDI)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</si>
  <si>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</si>
  <si>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</si>
  <si>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港股全球发售公告产品分类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东莞证券</t>
    </r>
    <r>
      <rPr>
        <sz val="9"/>
        <color rgb="FF7F7F7F"/>
        <rFont val="Microsoft YaHei"/>
        <family val="0"/>
        <charset val="1"/>
      </rPr>
      <t xml:space="preserve">2026-04-29</t>
    </r>
    <r>
      <rPr>
        <sz val="9"/>
        <color rgb="FF7F7F7F"/>
        <rFont val="Arial Unicode MS"/>
        <family val="2"/>
      </rPr>
      <t xml:space="preserve">深度报告整理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</si>
  <si>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销量增速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</si>
  <si>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</si>
  <si>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</si>
  <si>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  ASP</t>
    </r>
    <r>
      <rPr>
        <sz val="10"/>
        <color rgb="FF000000"/>
        <rFont val="Arial Unicode MS"/>
        <family val="2"/>
      </rPr>
      <t xml:space="preserve">增速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</si>
  <si>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</si>
  <si>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</si>
  <si>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</si>
  <si>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全球高阶</t>
    </r>
    <r>
      <rPr>
        <sz val="9"/>
        <color rgb="FF7F7F7F"/>
        <rFont val="Microsoft YaHei"/>
        <family val="0"/>
        <charset val="1"/>
      </rPr>
      <t xml:space="preserve">HDI</t>
    </r>
    <r>
      <rPr>
        <sz val="9"/>
        <color rgb="FF7F7F7F"/>
        <rFont val="Arial Unicode MS"/>
        <family val="2"/>
      </rPr>
      <t xml:space="preserve">份额第一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谷歌</t>
    </r>
    <r>
      <rPr>
        <sz val="9"/>
        <color rgb="FF7F7F7F"/>
        <rFont val="Microsoft YaHei"/>
        <family val="0"/>
        <charset val="1"/>
      </rPr>
      <t xml:space="preserve">TPU</t>
    </r>
    <r>
      <rPr>
        <sz val="9"/>
        <color rgb="FF7F7F7F"/>
        <rFont val="Arial Unicode MS"/>
        <family val="2"/>
      </rPr>
      <t xml:space="preserve">链核心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英伟达</t>
    </r>
    <r>
      <rPr>
        <sz val="9"/>
        <color rgb="FF7F7F7F"/>
        <rFont val="Microsoft YaHei"/>
        <family val="0"/>
        <charset val="1"/>
      </rPr>
      <t xml:space="preserve">GPU</t>
    </r>
    <r>
      <rPr>
        <sz val="9"/>
        <color rgb="FF7F7F7F"/>
        <rFont val="Arial Unicode MS"/>
        <family val="2"/>
      </rPr>
      <t xml:space="preserve">加速卡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43.5%(+21.0pct); </t>
    </r>
    <r>
      <rPr>
        <sz val="9"/>
        <color rgb="FF7F7F7F"/>
        <rFont val="Arial Unicode MS"/>
        <family val="2"/>
      </rPr>
      <t xml:space="preserve">产能</t>
    </r>
    <r>
      <rPr>
        <sz val="9"/>
        <color rgb="FF7F7F7F"/>
        <rFont val="Microsoft YaHei"/>
        <family val="0"/>
        <charset val="1"/>
      </rPr>
      <t xml:space="preserve">60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越南</t>
    </r>
    <r>
      <rPr>
        <sz val="9"/>
        <color rgb="FF7F7F7F"/>
        <rFont val="Microsoft YaHei"/>
        <family val="0"/>
        <charset val="1"/>
      </rPr>
      <t xml:space="preserve">15</t>
    </r>
    <r>
      <rPr>
        <sz val="9"/>
        <color rgb="FF7F7F7F"/>
        <rFont val="Arial Unicode MS"/>
        <family val="2"/>
      </rPr>
      <t xml:space="preserve">万㎡</t>
    </r>
  </si>
  <si>
    <r>
      <rPr>
        <b val="true"/>
        <sz val="10"/>
        <color rgb="FF1F3864"/>
        <rFont val="Arial Unicode MS"/>
        <family val="2"/>
      </rPr>
      <t xml:space="preserve">高多层板 </t>
    </r>
    <r>
      <rPr>
        <b val="true"/>
        <sz val="10"/>
        <color rgb="FF1F3864"/>
        <rFont val="Microsoft YaHei"/>
        <family val="0"/>
        <charset val="1"/>
      </rPr>
      <t xml:space="preserve">(MLPCB)</t>
    </r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</si>
  <si>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14</t>
    </r>
    <r>
      <rPr>
        <sz val="9"/>
        <color rgb="FF7F7F7F"/>
        <rFont val="Arial Unicode MS"/>
        <family val="2"/>
      </rPr>
      <t xml:space="preserve">层以上高多层产能</t>
    </r>
    <r>
      <rPr>
        <sz val="9"/>
        <color rgb="FF7F7F7F"/>
        <rFont val="Microsoft YaHei"/>
        <family val="0"/>
        <charset val="1"/>
      </rPr>
      <t xml:space="preserve">516</t>
    </r>
    <r>
      <rPr>
        <sz val="9"/>
        <color rgb="FF7F7F7F"/>
        <rFont val="Arial Unicode MS"/>
        <family val="2"/>
      </rPr>
      <t xml:space="preserve">万㎡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泰国</t>
    </r>
    <r>
      <rPr>
        <sz val="9"/>
        <color rgb="FF7F7F7F"/>
        <rFont val="Microsoft YaHei"/>
        <family val="0"/>
        <charset val="1"/>
      </rPr>
      <t xml:space="preserve">150</t>
    </r>
    <r>
      <rPr>
        <sz val="9"/>
        <color rgb="FF7F7F7F"/>
        <rFont val="Arial Unicode MS"/>
        <family val="2"/>
      </rPr>
      <t xml:space="preserve">万㎡规划中</t>
    </r>
    <r>
      <rPr>
        <sz val="9"/>
        <color rgb="FF7F7F7F"/>
        <rFont val="Microsoft YaHei"/>
        <family val="0"/>
        <charset val="1"/>
      </rPr>
      <t xml:space="preserve">; AI</t>
    </r>
    <r>
      <rPr>
        <sz val="9"/>
        <color rgb="FF7F7F7F"/>
        <rFont val="Arial Unicode MS"/>
        <family val="2"/>
      </rPr>
      <t xml:space="preserve">服务器主板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高速交换机驱动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毛利率</t>
    </r>
    <r>
      <rPr>
        <sz val="9"/>
        <color rgb="FF7F7F7F"/>
        <rFont val="Microsoft YaHei"/>
        <family val="0"/>
        <charset val="1"/>
      </rPr>
      <t xml:space="preserve">24.4%(+9.2pct)</t>
    </r>
  </si>
  <si>
    <r>
      <rPr>
        <b val="true"/>
        <sz val="10"/>
        <color rgb="FF1F3864"/>
        <rFont val="Arial Unicode MS"/>
        <family val="2"/>
      </rPr>
      <t xml:space="preserve">其他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单双层</t>
    </r>
    <r>
      <rPr>
        <b val="true"/>
        <sz val="10"/>
        <color rgb="FF1F3864"/>
        <rFont val="Microsoft YaHei"/>
        <family val="0"/>
        <charset val="1"/>
      </rPr>
      <t xml:space="preserve">/FPC/</t>
    </r>
    <r>
      <rPr>
        <b val="true"/>
        <sz val="10"/>
        <color rgb="FF1F3864"/>
        <rFont val="Arial Unicode MS"/>
        <family val="2"/>
      </rPr>
      <t xml:space="preserve">其他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</si>
  <si>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  收入增速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</si>
  <si>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单双层</t>
    </r>
    <r>
      <rPr>
        <sz val="9"/>
        <color rgb="FF7F7F7F"/>
        <rFont val="Microsoft YaHei"/>
        <family val="0"/>
        <charset val="1"/>
      </rPr>
      <t xml:space="preserve">+FPC+</t>
    </r>
    <r>
      <rPr>
        <sz val="9"/>
        <color rgb="FF7F7F7F"/>
        <rFont val="Arial Unicode MS"/>
        <family val="2"/>
      </rPr>
      <t xml:space="preserve">其他补充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成熟业务低增长</t>
    </r>
    <r>
      <rPr>
        <sz val="9"/>
        <color rgb="FF7F7F7F"/>
        <rFont val="Microsoft YaHei"/>
        <family val="0"/>
        <charset val="1"/>
      </rPr>
      <t xml:space="preserve">; 2025</t>
    </r>
    <r>
      <rPr>
        <sz val="9"/>
        <color rgb="FF7F7F7F"/>
        <rFont val="Arial Unicode MS"/>
        <family val="2"/>
      </rPr>
      <t xml:space="preserve">加权毛利率</t>
    </r>
    <r>
      <rPr>
        <sz val="9"/>
        <color rgb="FF7F7F7F"/>
        <rFont val="Microsoft YaHei"/>
        <family val="0"/>
        <charset val="1"/>
      </rPr>
      <t xml:space="preserve">43.5%(</t>
    </r>
    <r>
      <rPr>
        <sz val="9"/>
        <color rgb="FF7F7F7F"/>
        <rFont val="Arial Unicode MS"/>
        <family val="2"/>
      </rPr>
      <t xml:space="preserve">含高毛利其他补充业务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</si>
  <si>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</si>
  <si>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</si>
  <si>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</si>
  <si>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</si>
  <si>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</si>
  <si>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</si>
  <si>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hdi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</si>
  <si>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mlp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</si>
  <si>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oth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</si>
  <si>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</si>
  <si>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</si>
  <si>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</si>
  <si>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0"/>
        <color rgb="FF1F3864"/>
        <rFont val="Arial Unicode MS"/>
        <family val="2"/>
      </rPr>
      <t xml:space="preserve">产能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客户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行业参考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外部信息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</si>
  <si>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1E7A1E"/>
        <rFont val="Arial Unicode MS"/>
        <family val="2"/>
      </rPr>
      <t xml:space="preserve">产能</t>
    </r>
    <r>
      <rPr>
        <sz val="9"/>
        <color rgb="FF1E7A1E"/>
        <rFont val="Microsoft YaHei"/>
        <family val="0"/>
        <charset val="1"/>
      </rPr>
      <t xml:space="preserve">: 6</t>
    </r>
    <r>
      <rPr>
        <sz val="9"/>
        <color rgb="FF1E7A1E"/>
        <rFont val="Arial Unicode MS"/>
        <family val="2"/>
      </rPr>
      <t xml:space="preserve">阶以上高阶</t>
    </r>
    <r>
      <rPr>
        <sz val="9"/>
        <color rgb="FF1E7A1E"/>
        <rFont val="Microsoft YaHei"/>
        <family val="0"/>
        <charset val="1"/>
      </rPr>
      <t xml:space="preserve">HDI 60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; 14</t>
    </r>
    <r>
      <rPr>
        <sz val="9"/>
        <color rgb="FF1E7A1E"/>
        <rFont val="Arial Unicode MS"/>
        <family val="2"/>
      </rPr>
      <t xml:space="preserve">层以上高多层</t>
    </r>
    <r>
      <rPr>
        <sz val="9"/>
        <color rgb="FF1E7A1E"/>
        <rFont val="Microsoft YaHei"/>
        <family val="0"/>
        <charset val="1"/>
      </rPr>
      <t xml:space="preserve">516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泰国基地规划</t>
    </r>
    <r>
      <rPr>
        <sz val="9"/>
        <color rgb="FF1E7A1E"/>
        <rFont val="Microsoft YaHei"/>
        <family val="0"/>
        <charset val="1"/>
      </rPr>
      <t xml:space="preserve">150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高多层</t>
    </r>
    <r>
      <rPr>
        <sz val="9"/>
        <color rgb="FF1E7A1E"/>
        <rFont val="Microsoft YaHei"/>
        <family val="0"/>
        <charset val="1"/>
      </rPr>
      <t xml:space="preserve">, A1</t>
    </r>
    <r>
      <rPr>
        <sz val="9"/>
        <color rgb="FF1E7A1E"/>
        <rFont val="Arial Unicode MS"/>
        <family val="2"/>
      </rPr>
      <t xml:space="preserve">一期改造完成</t>
    </r>
    <r>
      <rPr>
        <sz val="9"/>
        <color rgb="FF1E7A1E"/>
        <rFont val="Microsoft YaHei"/>
        <family val="0"/>
        <charset val="1"/>
      </rPr>
      <t xml:space="preserve">/A1</t>
    </r>
    <r>
      <rPr>
        <sz val="9"/>
        <color rgb="FF1E7A1E"/>
        <rFont val="Arial Unicode MS"/>
        <family val="2"/>
      </rPr>
      <t xml:space="preserve">二期验证板</t>
    </r>
    <r>
      <rPr>
        <sz val="9"/>
        <color rgb="FF1E7A1E"/>
        <rFont val="Microsoft YaHei"/>
        <family val="0"/>
        <charset val="1"/>
      </rPr>
      <t xml:space="preserve">/A2</t>
    </r>
    <r>
      <rPr>
        <sz val="9"/>
        <color rgb="FF1E7A1E"/>
        <rFont val="Arial Unicode MS"/>
        <family val="2"/>
      </rPr>
      <t xml:space="preserve">推进中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越南</t>
    </r>
    <r>
      <rPr>
        <sz val="9"/>
        <color rgb="FF1E7A1E"/>
        <rFont val="Microsoft YaHei"/>
        <family val="0"/>
        <charset val="1"/>
      </rPr>
      <t xml:space="preserve">15</t>
    </r>
    <r>
      <rPr>
        <sz val="9"/>
        <color rgb="FF1E7A1E"/>
        <rFont val="Arial Unicode MS"/>
        <family val="2"/>
      </rPr>
      <t xml:space="preserve">万㎡</t>
    </r>
    <r>
      <rPr>
        <sz val="9"/>
        <color rgb="FF1E7A1E"/>
        <rFont val="Microsoft YaHei"/>
        <family val="0"/>
        <charset val="1"/>
      </rPr>
      <t xml:space="preserve">(HDI); </t>
    </r>
    <r>
      <rPr>
        <sz val="9"/>
        <color rgb="FF1E7A1E"/>
        <rFont val="Arial Unicode MS"/>
        <family val="2"/>
      </rPr>
      <t xml:space="preserve">惠州厂房四分阶段投产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厂房九</t>
    </r>
    <r>
      <rPr>
        <sz val="9"/>
        <color rgb="FF1E7A1E"/>
        <rFont val="Microsoft YaHei"/>
        <family val="0"/>
        <charset val="1"/>
      </rPr>
      <t xml:space="preserve">2025-10</t>
    </r>
    <r>
      <rPr>
        <sz val="9"/>
        <color rgb="FF1E7A1E"/>
        <rFont val="Arial Unicode MS"/>
        <family val="2"/>
      </rPr>
      <t xml:space="preserve">封顶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厂房十</t>
    </r>
    <r>
      <rPr>
        <sz val="9"/>
        <color rgb="FF1E7A1E"/>
        <rFont val="Microsoft YaHei"/>
        <family val="0"/>
        <charset val="1"/>
      </rPr>
      <t xml:space="preserve">&amp;</t>
    </r>
    <r>
      <rPr>
        <sz val="9"/>
        <color rgb="FF1E7A1E"/>
        <rFont val="Arial Unicode MS"/>
        <family val="2"/>
      </rPr>
      <t xml:space="preserve">十一在建 — 来源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东莞证券深度报告</t>
    </r>
    <r>
      <rPr>
        <sz val="9"/>
        <color rgb="FF1E7A1E"/>
        <rFont val="Microsoft YaHei"/>
        <family val="0"/>
        <charset val="1"/>
      </rPr>
      <t xml:space="preserve">(2026-04-29)</t>
    </r>
  </si>
  <si>
    <r>
      <rPr>
        <sz val="9"/>
        <color rgb="FF1E7A1E"/>
        <rFont val="Arial Unicode MS"/>
        <family val="2"/>
      </rPr>
      <t xml:space="preserve">客户</t>
    </r>
    <r>
      <rPr>
        <sz val="9"/>
        <color rgb="FF1E7A1E"/>
        <rFont val="Microsoft YaHei"/>
        <family val="0"/>
        <charset val="1"/>
      </rPr>
      <t xml:space="preserve">: 2025</t>
    </r>
    <r>
      <rPr>
        <sz val="9"/>
        <color rgb="FF1E7A1E"/>
        <rFont val="Arial Unicode MS"/>
        <family val="2"/>
      </rPr>
      <t xml:space="preserve">年前五大客户销售</t>
    </r>
    <r>
      <rPr>
        <sz val="9"/>
        <color rgb="FF1E7A1E"/>
        <rFont val="Microsoft YaHei"/>
        <family val="0"/>
        <charset val="1"/>
      </rPr>
      <t xml:space="preserve">80.98</t>
    </r>
    <r>
      <rPr>
        <sz val="9"/>
        <color rgb="FF1E7A1E"/>
        <rFont val="Arial Unicode MS"/>
        <family val="2"/>
      </rPr>
      <t xml:space="preserve">亿占</t>
    </r>
    <r>
      <rPr>
        <sz val="9"/>
        <color rgb="FF1E7A1E"/>
        <rFont val="Microsoft YaHei"/>
        <family val="0"/>
        <charset val="1"/>
      </rPr>
      <t xml:space="preserve">41.98%, </t>
    </r>
    <r>
      <rPr>
        <sz val="9"/>
        <color rgb="FF1E7A1E"/>
        <rFont val="Arial Unicode MS"/>
        <family val="2"/>
      </rPr>
      <t xml:space="preserve">第一大客户</t>
    </r>
    <r>
      <rPr>
        <sz val="9"/>
        <color rgb="FF1E7A1E"/>
        <rFont val="Microsoft YaHei"/>
        <family val="0"/>
        <charset val="1"/>
      </rPr>
      <t xml:space="preserve">28.87</t>
    </r>
    <r>
      <rPr>
        <sz val="9"/>
        <color rgb="FF1E7A1E"/>
        <rFont val="Arial Unicode MS"/>
        <family val="2"/>
      </rPr>
      <t xml:space="preserve">亿占</t>
    </r>
    <r>
      <rPr>
        <sz val="9"/>
        <color rgb="FF1E7A1E"/>
        <rFont val="Microsoft YaHei"/>
        <family val="0"/>
        <charset val="1"/>
      </rPr>
      <t xml:space="preserve">14.97%(</t>
    </r>
    <r>
      <rPr>
        <sz val="9"/>
        <color rgb="FF1E7A1E"/>
        <rFont val="Arial Unicode MS"/>
        <family val="2"/>
      </rPr>
      <t xml:space="preserve">经济观察网引</t>
    </r>
    <r>
      <rPr>
        <sz val="9"/>
        <color rgb="FF1E7A1E"/>
        <rFont val="Microsoft YaHei"/>
        <family val="0"/>
        <charset val="1"/>
      </rPr>
      <t xml:space="preserve">2025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已进入英伟达</t>
    </r>
    <r>
      <rPr>
        <sz val="9"/>
        <color rgb="FF1E7A1E"/>
        <rFont val="Microsoft YaHei"/>
        <family val="0"/>
        <charset val="1"/>
      </rPr>
      <t xml:space="preserve">/AMD/</t>
    </r>
    <r>
      <rPr>
        <sz val="9"/>
        <color rgb="FF1E7A1E"/>
        <rFont val="Arial Unicode MS"/>
        <family val="2"/>
      </rPr>
      <t xml:space="preserve">英特尔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谷歌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微软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亚马逊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特斯拉供应链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媒体口径谷歌</t>
    </r>
    <r>
      <rPr>
        <sz val="9"/>
        <color rgb="FF1E7A1E"/>
        <rFont val="Microsoft YaHei"/>
        <family val="0"/>
        <charset val="1"/>
      </rPr>
      <t xml:space="preserve">TPU</t>
    </r>
    <r>
      <rPr>
        <sz val="9"/>
        <color rgb="FF1E7A1E"/>
        <rFont val="Arial Unicode MS"/>
        <family val="2"/>
      </rPr>
      <t xml:space="preserve">链</t>
    </r>
    <r>
      <rPr>
        <sz val="9"/>
        <color rgb="FF1E7A1E"/>
        <rFont val="Microsoft YaHei"/>
        <family val="0"/>
        <charset val="1"/>
      </rPr>
      <t xml:space="preserve">HDI</t>
    </r>
    <r>
      <rPr>
        <sz val="9"/>
        <color rgb="FF1E7A1E"/>
        <rFont val="Arial Unicode MS"/>
        <family val="2"/>
      </rPr>
      <t xml:space="preserve">份额</t>
    </r>
    <r>
      <rPr>
        <sz val="9"/>
        <color rgb="FF1E7A1E"/>
        <rFont val="Microsoft YaHei"/>
        <family val="0"/>
        <charset val="1"/>
      </rPr>
      <t xml:space="preserve">50%+</t>
    </r>
  </si>
  <si>
    <r>
      <rPr>
        <sz val="9"/>
        <color rgb="FF1E7A1E"/>
        <rFont val="Arial Unicode MS"/>
        <family val="2"/>
      </rPr>
      <t xml:space="preserve">行业</t>
    </r>
    <r>
      <rPr>
        <sz val="9"/>
        <color rgb="FF1E7A1E"/>
        <rFont val="Microsoft YaHei"/>
        <family val="0"/>
        <charset val="1"/>
      </rPr>
      <t xml:space="preserve">: AI</t>
    </r>
    <r>
      <rPr>
        <sz val="9"/>
        <color rgb="FF1E7A1E"/>
        <rFont val="Arial Unicode MS"/>
        <family val="2"/>
      </rPr>
      <t xml:space="preserve">服务器</t>
    </r>
    <r>
      <rPr>
        <sz val="9"/>
        <color rgb="FF1E7A1E"/>
        <rFont val="Microsoft YaHei"/>
        <family val="0"/>
        <charset val="1"/>
      </rPr>
      <t xml:space="preserve">PCB</t>
    </r>
    <r>
      <rPr>
        <sz val="9"/>
        <color rgb="FF1E7A1E"/>
        <rFont val="Arial Unicode MS"/>
        <family val="2"/>
      </rPr>
      <t xml:space="preserve">单机价值量约传统服务器</t>
    </r>
    <r>
      <rPr>
        <sz val="9"/>
        <color rgb="FF1E7A1E"/>
        <rFont val="Microsoft YaHei"/>
        <family val="0"/>
        <charset val="1"/>
      </rPr>
      <t xml:space="preserve">3</t>
    </r>
    <r>
      <rPr>
        <sz val="9"/>
        <color rgb="FF1E7A1E"/>
        <rFont val="Arial Unicode MS"/>
        <family val="2"/>
      </rPr>
      <t xml:space="preserve">倍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雪球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研报</t>
    </r>
    <r>
      <rPr>
        <sz val="9"/>
        <color rgb="FF1E7A1E"/>
        <rFont val="Microsoft YaHei"/>
        <family val="0"/>
        <charset val="1"/>
      </rPr>
      <t xml:space="preserve">); GB300/Rubin</t>
    </r>
    <r>
      <rPr>
        <sz val="9"/>
        <color rgb="FF1E7A1E"/>
        <rFont val="Arial Unicode MS"/>
        <family val="2"/>
      </rPr>
      <t xml:space="preserve">平台迭代</t>
    </r>
    <r>
      <rPr>
        <sz val="9"/>
        <color rgb="FF1E7A1E"/>
        <rFont val="Microsoft YaHei"/>
        <family val="0"/>
        <charset val="1"/>
      </rPr>
      <t xml:space="preserve">+</t>
    </r>
    <r>
      <rPr>
        <sz val="9"/>
        <color rgb="FF1E7A1E"/>
        <rFont val="Arial Unicode MS"/>
        <family val="2"/>
      </rPr>
      <t xml:space="preserve">正交背板</t>
    </r>
    <r>
      <rPr>
        <sz val="9"/>
        <color rgb="FF1E7A1E"/>
        <rFont val="Microsoft YaHei"/>
        <family val="0"/>
        <charset val="1"/>
      </rPr>
      <t xml:space="preserve">/CoWoP</t>
    </r>
    <r>
      <rPr>
        <sz val="9"/>
        <color rgb="FF1E7A1E"/>
        <rFont val="Arial Unicode MS"/>
        <family val="2"/>
      </rPr>
      <t xml:space="preserve">新方案提升单板价值</t>
    </r>
    <r>
      <rPr>
        <sz val="9"/>
        <color rgb="FF1E7A1E"/>
        <rFont val="Microsoft YaHei"/>
        <family val="0"/>
        <charset val="1"/>
      </rPr>
      <t xml:space="preserve">; 2026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CCL</t>
    </r>
    <r>
      <rPr>
        <sz val="9"/>
        <color rgb="FF1E7A1E"/>
        <rFont val="Arial Unicode MS"/>
        <family val="2"/>
      </rPr>
      <t xml:space="preserve">涨价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台耀</t>
    </r>
    <r>
      <rPr>
        <sz val="9"/>
        <color rgb="FF1E7A1E"/>
        <rFont val="Microsoft YaHei"/>
        <family val="0"/>
        <charset val="1"/>
      </rPr>
      <t xml:space="preserve">+20~40%/</t>
    </r>
    <r>
      <rPr>
        <sz val="9"/>
        <color rgb="FF1E7A1E"/>
        <rFont val="Arial Unicode MS"/>
        <family val="2"/>
      </rPr>
      <t xml:space="preserve">三菱瓦斯≤</t>
    </r>
    <r>
      <rPr>
        <sz val="9"/>
        <color rgb="FF1E7A1E"/>
        <rFont val="Microsoft YaHei"/>
        <family val="0"/>
        <charset val="1"/>
      </rPr>
      <t xml:space="preserve">30%/Resonac), </t>
    </r>
    <r>
      <rPr>
        <sz val="9"/>
        <color rgb="FF1E7A1E"/>
        <rFont val="Arial Unicode MS"/>
        <family val="2"/>
      </rPr>
      <t xml:space="preserve">公司具备顺价能力</t>
    </r>
  </si>
  <si>
    <r>
      <rPr>
        <sz val="9"/>
        <color rgb="FF1E7A1E"/>
        <rFont val="Arial Unicode MS"/>
        <family val="2"/>
      </rPr>
      <t xml:space="preserve">应用结构</t>
    </r>
    <r>
      <rPr>
        <sz val="9"/>
        <color rgb="FF1E7A1E"/>
        <rFont val="Microsoft YaHei"/>
        <family val="0"/>
        <charset val="1"/>
      </rPr>
      <t xml:space="preserve">: 2025</t>
    </r>
    <r>
      <rPr>
        <sz val="9"/>
        <color rgb="FF1E7A1E"/>
        <rFont val="Arial Unicode MS"/>
        <family val="2"/>
      </rPr>
      <t xml:space="preserve">年</t>
    </r>
    <r>
      <rPr>
        <sz val="9"/>
        <color rgb="FF1E7A1E"/>
        <rFont val="Microsoft YaHei"/>
        <family val="0"/>
        <charset val="1"/>
      </rPr>
      <t xml:space="preserve">AI</t>
    </r>
    <r>
      <rPr>
        <sz val="9"/>
        <color rgb="FF1E7A1E"/>
        <rFont val="Arial Unicode MS"/>
        <family val="2"/>
      </rPr>
      <t xml:space="preserve">与高性能计算占收入</t>
    </r>
    <r>
      <rPr>
        <sz val="9"/>
        <color rgb="FF1E7A1E"/>
        <rFont val="Microsoft YaHei"/>
        <family val="0"/>
        <charset val="1"/>
      </rPr>
      <t xml:space="preserve">43.2%(+36.6pct), </t>
    </r>
    <r>
      <rPr>
        <sz val="9"/>
        <color rgb="FF1E7A1E"/>
        <rFont val="Arial Unicode MS"/>
        <family val="2"/>
      </rPr>
      <t xml:space="preserve">智能终端</t>
    </r>
    <r>
      <rPr>
        <sz val="9"/>
        <color rgb="FF1E7A1E"/>
        <rFont val="Microsoft YaHei"/>
        <family val="0"/>
        <charset val="1"/>
      </rPr>
      <t xml:space="preserve">19.1%, </t>
    </r>
    <r>
      <rPr>
        <sz val="9"/>
        <color rgb="FF1E7A1E"/>
        <rFont val="Arial Unicode MS"/>
        <family val="2"/>
      </rPr>
      <t xml:space="preserve">汽车电子</t>
    </r>
    <r>
      <rPr>
        <sz val="9"/>
        <color rgb="FF1E7A1E"/>
        <rFont val="Microsoft YaHei"/>
        <family val="0"/>
        <charset val="1"/>
      </rPr>
      <t xml:space="preserve">13.4%, </t>
    </r>
    <r>
      <rPr>
        <sz val="9"/>
        <color rgb="FF1E7A1E"/>
        <rFont val="Arial Unicode MS"/>
        <family val="2"/>
      </rPr>
      <t xml:space="preserve">网络通信</t>
    </r>
    <r>
      <rPr>
        <sz val="9"/>
        <color rgb="FF1E7A1E"/>
        <rFont val="Microsoft YaHei"/>
        <family val="0"/>
        <charset val="1"/>
      </rPr>
      <t xml:space="preserve">9.9% — </t>
    </r>
    <r>
      <rPr>
        <sz val="9"/>
        <color rgb="FF1E7A1E"/>
        <rFont val="Arial Unicode MS"/>
        <family val="2"/>
      </rPr>
      <t xml:space="preserve">港股招股书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</si>
  <si>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</si>
  <si>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</si>
  <si>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</si>
  <si>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F10(79.3/107.3/192.9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</si>
  <si>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</si>
  <si>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+35.3% / 2025A +79.8%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</si>
  <si>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</si>
  <si>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</si>
  <si>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</si>
  <si>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2023A 20.7%→2025A 35.2%;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</si>
  <si>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</si>
  <si>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×0.33%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</si>
  <si>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</si>
  <si>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×1.25%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</si>
  <si>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</si>
  <si>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×2.40%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</si>
  <si>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</si>
  <si>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×4.10%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</si>
  <si>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</si>
  <si>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</si>
  <si>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</si>
  <si>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-20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</si>
  <si>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</si>
  <si>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</si>
  <si>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</si>
  <si>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×14.5%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</si>
  <si>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</si>
  <si>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</si>
  <si>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</si>
  <si>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2023A 6.7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/2024A 11.5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43.1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</si>
  <si>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</si>
  <si>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</si>
  <si>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</si>
  <si>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22.4%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</si>
  <si>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</si>
  <si>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=9.83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</si>
  <si>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</si>
  <si>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</si>
  <si>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</si>
  <si>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</si>
  <si>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</si>
  <si>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</si>
  <si>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</si>
  <si>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</si>
  <si>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</si>
  <si>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</si>
  <si>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</si>
  <si>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</si>
  <si>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</si>
  <si>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</si>
  <si>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</si>
  <si>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</si>
  <si>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</si>
  <si>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</si>
  <si>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</si>
  <si>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</si>
  <si>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91.6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36.1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</si>
  <si>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</si>
  <si>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</si>
  <si>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</si>
  <si>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</si>
  <si>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</si>
  <si>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</si>
  <si>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</si>
  <si>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28.5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</si>
  <si>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</si>
  <si>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Microsoft YaHei"/>
        <family val="0"/>
        <charset val="1"/>
      </rPr>
      <t xml:space="preserve">2025</t>
    </r>
    <r>
      <rPr>
        <sz val="9"/>
        <color rgb="FF7F7F7F"/>
        <rFont val="Arial Unicode MS"/>
        <family val="2"/>
      </rPr>
      <t xml:space="preserve">大增系预付设备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工程款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</si>
  <si>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</si>
  <si>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</si>
  <si>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352.4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</si>
  <si>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</si>
  <si>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</si>
  <si>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</si>
  <si>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</si>
  <si>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</si>
  <si>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</si>
  <si>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×1.4%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</si>
  <si>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</si>
  <si>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×2.0%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</si>
  <si>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</si>
  <si>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</si>
  <si>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</si>
  <si>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</si>
  <si>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</si>
  <si>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</si>
  <si>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</si>
  <si>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</si>
  <si>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</si>
  <si>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</si>
  <si>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</si>
  <si>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</si>
  <si>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</si>
  <si>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</si>
  <si>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</si>
  <si>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</si>
  <si>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</si>
  <si>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</si>
  <si>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</si>
  <si>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×10%)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</si>
  <si>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</si>
  <si>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</si>
  <si>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</si>
  <si>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</si>
  <si>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</si>
  <si>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</si>
  <si>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无少数股东权益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</si>
  <si>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</si>
  <si>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</si>
  <si>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</si>
  <si>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</si>
  <si>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2023A-2030E)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</si>
  <si>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</si>
  <si>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</si>
  <si>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</si>
  <si>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</si>
  <si>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</si>
  <si>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</si>
  <si>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</si>
  <si>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</si>
  <si>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</si>
  <si>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</si>
  <si>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</si>
  <si>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</si>
  <si>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</si>
  <si>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</si>
  <si>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</si>
  <si>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</si>
  <si>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</si>
  <si>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</si>
  <si>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</si>
  <si>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</si>
  <si>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</si>
  <si>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</si>
  <si>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</si>
  <si>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</si>
  <si>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</si>
  <si>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</si>
  <si>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</si>
  <si>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</si>
  <si>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</si>
  <si>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</si>
  <si>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</si>
  <si>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</si>
  <si>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</si>
  <si>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</si>
  <si>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</si>
  <si>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</si>
  <si>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</si>
  <si>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</si>
  <si>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</si>
  <si>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</si>
  <si>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</si>
  <si>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</si>
  <si>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</si>
  <si>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</si>
  <si>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</si>
  <si>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</si>
  <si>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</si>
  <si>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</si>
  <si>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</si>
  <si>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</si>
  <si>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</si>
  <si>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</si>
  <si>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</si>
  <si>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</si>
  <si>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</si>
  <si>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</si>
  <si>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</si>
  <si>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</si>
  <si>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</si>
  <si>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</si>
  <si>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</si>
  <si>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91.6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</si>
  <si>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</si>
  <si>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</si>
  <si>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</si>
  <si>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</si>
  <si>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</si>
  <si>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</si>
  <si>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</si>
  <si>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</si>
  <si>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</si>
  <si>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</si>
  <si>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36.1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9160.0+3614.3=12774.3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</si>
  <si>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</si>
  <si>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</si>
  <si>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</si>
  <si>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</si>
  <si>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</si>
  <si>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</si>
  <si>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127.7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</si>
  <si>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</si>
  <si>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</si>
  <si>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</si>
  <si>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</si>
  <si>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</si>
  <si>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</si>
  <si>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</si>
  <si>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</si>
  <si>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</si>
  <si>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</si>
  <si>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</si>
  <si>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</si>
  <si>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</si>
  <si>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</si>
  <si>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</si>
  <si>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</si>
  <si>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</si>
  <si>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</si>
  <si>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</si>
  <si>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</si>
  <si>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</si>
  <si>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</si>
  <si>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</si>
  <si>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×2%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</si>
  <si>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</si>
  <si>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</si>
  <si>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</si>
  <si>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</si>
  <si>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</si>
  <si>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</si>
  <si>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</si>
  <si>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</si>
  <si>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</si>
  <si>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</si>
  <si>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</si>
  <si>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</si>
  <si>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</si>
  <si>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</si>
  <si>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</si>
  <si>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</si>
  <si>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</si>
  <si>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</si>
  <si>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</si>
  <si>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</si>
  <si>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</si>
  <si>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</si>
  <si>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</si>
  <si>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</si>
  <si>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</si>
  <si>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</si>
  <si>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</si>
  <si>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</si>
  <si>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</si>
  <si>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</si>
  <si>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</si>
  <si>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</si>
  <si>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</si>
  <si>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</si>
  <si>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</si>
  <si>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</si>
  <si>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</si>
  <si>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</si>
  <si>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</si>
  <si>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</si>
  <si>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</si>
  <si>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</si>
  <si>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1.37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</si>
  <si>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</si>
  <si>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</si>
  <si>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</si>
  <si>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</si>
  <si>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</si>
  <si>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</si>
  <si>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</si>
  <si>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</si>
  <si>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</si>
  <si>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</si>
  <si>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</si>
  <si>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</si>
  <si>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</si>
  <si>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</si>
  <si>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</si>
  <si>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</si>
  <si>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</si>
  <si>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</si>
  <si>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</si>
  <si>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</si>
  <si>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</si>
  <si>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</si>
  <si>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</si>
  <si>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</si>
  <si>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</si>
  <si>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</si>
  <si>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</si>
  <si>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</si>
  <si>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</si>
  <si>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</si>
  <si>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</si>
  <si>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</si>
  <si>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</si>
  <si>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</si>
  <si>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</si>
  <si>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</si>
  <si>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</si>
  <si>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</si>
  <si>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</si>
  <si>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</si>
  <si>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</si>
  <si>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</si>
  <si>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</si>
  <si>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</si>
  <si>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</si>
  <si>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</si>
  <si>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</si>
  <si>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</si>
  <si>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</si>
  <si>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</si>
  <si>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</si>
  <si>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</si>
  <si>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</si>
  <si>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</si>
  <si>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</si>
  <si>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</si>
  <si>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</si>
  <si>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</si>
  <si>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</si>
  <si>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</si>
  <si>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</si>
  <si>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</si>
  <si>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</si>
  <si>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</si>
  <si>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</si>
  <si>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</si>
  <si>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</si>
  <si>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</si>
  <si>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</si>
  <si>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</si>
  <si>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</si>
  <si>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</si>
  <si>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</si>
  <si>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</si>
  <si>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</si>
  <si>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</si>
  <si>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</si>
  <si>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</si>
  <si>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</si>
  <si>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</si>
  <si>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</si>
  <si>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</si>
  <si>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</si>
  <si>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</si>
  <si>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</si>
  <si>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</si>
  <si>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</si>
  <si>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</si>
  <si>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</si>
  <si>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</si>
  <si>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</si>
  <si>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</si>
  <si>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</si>
  <si>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</si>
  <si>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×10%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</si>
  <si>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</si>
  <si>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</si>
  <si>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</si>
  <si>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</si>
  <si>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</si>
  <si>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</si>
  <si>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</si>
  <si>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</si>
  <si>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</si>
  <si>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</si>
  <si>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9.83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</si>
  <si>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</si>
  <si>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</si>
  <si>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</si>
  <si>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</si>
  <si>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</si>
  <si>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</si>
  <si>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</si>
  <si>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</si>
  <si>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</si>
  <si>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</si>
  <si>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</si>
  <si>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</si>
  <si>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</si>
  <si>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</si>
  <si>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</si>
  <si>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</si>
  <si>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</si>
  <si>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</si>
  <si>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</si>
  <si>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</si>
  <si>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</si>
  <si>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</si>
  <si>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</si>
  <si>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</si>
  <si>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</si>
  <si>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</si>
  <si>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</si>
  <si>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</si>
  <si>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28.5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</si>
  <si>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</si>
  <si>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</si>
  <si>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</si>
  <si>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</si>
  <si>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</si>
  <si>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</si>
  <si>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</si>
  <si>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</si>
  <si>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(2026-08-14)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</si>
  <si>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</si>
  <si>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</si>
  <si>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</si>
  <si>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</si>
  <si>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2026-08-14,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</si>
  <si>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</si>
  <si>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</si>
  <si>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</si>
  <si>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</si>
  <si>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</si>
  <si>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</si>
  <si>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</si>
  <si>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</si>
  <si>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</si>
  <si>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</si>
  <si>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</si>
  <si>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</si>
  <si>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</si>
  <si>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</si>
  <si>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</si>
  <si>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</si>
  <si>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</si>
  <si>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</si>
  <si>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</si>
  <si>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</si>
  <si>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</si>
  <si>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</si>
  <si>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</si>
  <si>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</si>
  <si>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</si>
  <si>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</si>
  <si>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</si>
  <si>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</si>
  <si>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</si>
  <si>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</si>
  <si>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</si>
  <si>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</si>
  <si>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2026-08-14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预测归母为一致预期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</si>
  <si>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</si>
  <si>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</si>
  <si>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</si>
  <si>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</si>
  <si>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</si>
  <si>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</si>
  <si>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</si>
  <si>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</si>
  <si>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</si>
  <si>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</si>
  <si>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</si>
  <si>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</si>
  <si>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</si>
  <si>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</si>
  <si>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</si>
  <si>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沪电股份</t>
  </si>
  <si>
    <t xml:space="preserve">002463.SZ</t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</si>
  <si>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/PE: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2026-08-14; 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虎嗅引券商</t>
    </r>
    <r>
      <rPr>
        <sz val="9"/>
        <color rgb="FF7F7F7F"/>
        <rFont val="Microsoft YaHei"/>
        <family val="0"/>
        <charset val="1"/>
      </rPr>
      <t xml:space="preserve">(2025-12)/</t>
    </r>
    <r>
      <rPr>
        <sz val="9"/>
        <color rgb="FF7F7F7F"/>
        <rFont val="Arial Unicode MS"/>
        <family val="2"/>
      </rPr>
      <t xml:space="preserve">同花顺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</si>
  <si>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深南电路</t>
  </si>
  <si>
    <t xml:space="preserve">002916.SZ</t>
  </si>
  <si>
    <r>
      <rPr>
        <sz val="9"/>
        <color rgb="FF7F7F7F"/>
        <rFont val="Arial Unicode MS"/>
        <family val="2"/>
      </rPr>
      <t xml:space="preserve">同上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</si>
  <si>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生益电子</t>
  </si>
  <si>
    <t xml:space="preserve">688183.SH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</si>
  <si>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(2026Q1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4.45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+122%</t>
    </r>
    <r>
      <rPr>
        <sz val="9"/>
        <color rgb="FF7F7F7F"/>
        <rFont val="Arial Unicode MS"/>
        <family val="2"/>
      </rPr>
      <t xml:space="preserve">年化外推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</si>
  <si>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广合科技</t>
  </si>
  <si>
    <t xml:space="preserve">001389.SZ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</si>
  <si>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归母为估算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服务器</t>
    </r>
    <r>
      <rPr>
        <sz val="9"/>
        <color rgb="FF7F7F7F"/>
        <rFont val="Microsoft YaHei"/>
        <family val="0"/>
        <charset val="1"/>
      </rPr>
      <t xml:space="preserve">PCB</t>
    </r>
    <r>
      <rPr>
        <sz val="9"/>
        <color rgb="FF7F7F7F"/>
        <rFont val="Arial Unicode MS"/>
        <family val="2"/>
      </rPr>
      <t xml:space="preserve">高增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绿色待核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</si>
  <si>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TTM Technologies</t>
  </si>
  <si>
    <t xml:space="preserve">TTMI US</t>
  </si>
  <si>
    <r>
      <rPr>
        <sz val="9"/>
        <color rgb="FF7F7F7F"/>
        <rFont val="Arial Unicode MS"/>
        <family val="2"/>
      </rPr>
      <t xml:space="preserve">美股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市值≈</t>
    </r>
    <r>
      <rPr>
        <sz val="9"/>
        <color rgb="FF7F7F7F"/>
        <rFont val="Microsoft YaHei"/>
        <family val="0"/>
        <charset val="1"/>
      </rPr>
      <t xml:space="preserve">$4.4B, PE-TTM≈22x), </t>
    </r>
    <r>
      <rPr>
        <sz val="9"/>
        <color rgb="FF7F7F7F"/>
        <rFont val="Arial Unicode MS"/>
        <family val="2"/>
      </rPr>
      <t xml:space="preserve">仅作国际参照</t>
    </r>
    <r>
      <rPr>
        <sz val="9"/>
        <color rgb="FF7F7F7F"/>
        <rFont val="Microsoft YaHei"/>
        <family val="0"/>
        <charset val="1"/>
      </rPr>
      <t xml:space="preserve">(ref_only), </t>
    </r>
    <r>
      <rPr>
        <sz val="9"/>
        <color rgb="FF7F7F7F"/>
        <rFont val="Arial Unicode MS"/>
        <family val="2"/>
      </rPr>
      <t xml:space="preserve">不进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中位数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定价资格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排除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未验证远期盈利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仅参照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</si>
  <si>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(A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4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</si>
  <si>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βu</t>
    </r>
    <r>
      <rPr>
        <sz val="9"/>
        <color rgb="FF7F7F7F"/>
        <rFont val="Arial Unicode MS"/>
        <family val="2"/>
      </rPr>
      <t xml:space="preserve">中位数→</t>
    </r>
    <r>
      <rPr>
        <sz val="9"/>
        <color rgb="FF7F7F7F"/>
        <rFont val="Microsoft YaHei"/>
        <family val="0"/>
        <charset val="1"/>
      </rPr>
      <t xml:space="preserve">Assumptions WACC</t>
    </r>
    <r>
      <rPr>
        <sz val="9"/>
        <color rgb="FF7F7F7F"/>
        <rFont val="Arial Unicode MS"/>
        <family val="2"/>
      </rPr>
      <t xml:space="preserve">区</t>
    </r>
    <r>
      <rPr>
        <sz val="9"/>
        <color rgb="FF7F7F7F"/>
        <rFont val="Microsoft YaHei"/>
        <family val="0"/>
        <charset val="1"/>
      </rPr>
      <t xml:space="preserve">relever; βl/D/E</t>
    </r>
    <r>
      <rPr>
        <sz val="9"/>
        <color rgb="FF7F7F7F"/>
        <rFont val="Arial Unicode MS"/>
        <family val="2"/>
      </rPr>
      <t xml:space="preserve">为分析师输入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参考行情终端</t>
    </r>
    <r>
      <rPr>
        <sz val="9"/>
        <color rgb="FF7F7F7F"/>
        <rFont val="Microsoft YaHei"/>
        <family val="0"/>
        <charset val="1"/>
      </rPr>
      <t xml:space="preserve">β</t>
    </r>
    <r>
      <rPr>
        <sz val="9"/>
        <color rgb="FF7F7F7F"/>
        <rFont val="Arial Unicode MS"/>
        <family val="2"/>
      </rPr>
      <t xml:space="preserve">与各公司最新年报杠杆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可按终端数据更新</t>
    </r>
  </si>
  <si>
    <r>
      <rPr>
        <b val="true"/>
        <sz val="10"/>
        <color rgb="FF000000"/>
        <rFont val="Arial Unicode MS"/>
        <family val="2"/>
      </rPr>
      <t xml:space="preserve">胜宏科技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</si>
  <si>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300476.SZ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</si>
  <si>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现价对应</t>
    </r>
    <r>
      <rPr>
        <sz val="9"/>
        <color rgb="FF7F7F7F"/>
        <rFont val="Microsoft YaHei"/>
        <family val="0"/>
        <charset val="1"/>
      </rPr>
      <t xml:space="preserve">2026E PE</t>
    </r>
    <r>
      <rPr>
        <sz val="9"/>
        <color rgb="FF7F7F7F"/>
        <rFont val="Arial Unicode MS"/>
        <family val="2"/>
      </rPr>
      <t xml:space="preserve">显著低于可比</t>
    </r>
  </si>
  <si>
    <r>
      <rPr>
        <b val="true"/>
        <sz val="10"/>
        <color rgb="FF1F3864"/>
        <rFont val="Arial Unicode MS"/>
        <family val="2"/>
      </rPr>
      <t xml:space="preserve">胜宏科技定价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</si>
  <si>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</si>
  <si>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较可比中位数折让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反映高基数与</t>
    </r>
    <r>
      <rPr>
        <sz val="9"/>
        <color rgb="FF7F7F7F"/>
        <rFont val="Microsoft YaHei"/>
        <family val="0"/>
        <charset val="1"/>
      </rPr>
      <t xml:space="preserve">CCL</t>
    </r>
    <r>
      <rPr>
        <sz val="9"/>
        <color rgb="FF7F7F7F"/>
        <rFont val="Arial Unicode MS"/>
        <family val="2"/>
      </rPr>
      <t xml:space="preserve">成本风险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</si>
  <si>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</si>
  <si>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兜底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</si>
  <si>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</si>
  <si>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</si>
  <si>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</si>
  <si>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以一致预期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91.2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</si>
  <si>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</si>
  <si>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269.33</t>
    </r>
    <r>
      <rPr>
        <sz val="10"/>
        <color rgb="FF000000"/>
        <rFont val="Arial Unicode MS"/>
        <family val="2"/>
      </rPr>
      <t xml:space="preserve">元空间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</si>
  <si>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</si>
  <si>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</si>
  <si>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</si>
  <si>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</si>
  <si>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</si>
  <si>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4312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</si>
  <si>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</si>
  <si>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高亮行≈一致预期增速</t>
    </r>
    <r>
      <rPr>
        <sz val="9"/>
        <color rgb="FF7F7F7F"/>
        <rFont val="Microsoft YaHei"/>
        <family val="0"/>
        <charset val="1"/>
      </rPr>
      <t xml:space="preserve">111.5%;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</si>
  <si>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</si>
  <si>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</si>
  <si>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</si>
  <si>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</si>
  <si>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</si>
  <si>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Assumptions(300→260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</si>
  <si>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</si>
  <si>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人民币百万元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</si>
  <si>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</si>
  <si>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</si>
  <si>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</si>
  <si>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</si>
  <si>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96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</si>
  <si>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</si>
  <si>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</si>
  <si>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</si>
  <si>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</si>
  <si>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</si>
  <si>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</si>
  <si>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97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</si>
  <si>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98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</si>
  <si>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</si>
  <si>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</si>
  <si>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</si>
  <si>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</si>
  <si>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</si>
  <si>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</si>
  <si>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</si>
  <si>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</si>
  <si>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</si>
  <si>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</si>
  <si>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</si>
  <si>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</si>
  <si>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</si>
  <si>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</si>
  <si>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</si>
  <si>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</si>
  <si>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</si>
  <si>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</si>
  <si>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胜宏科技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</si>
  <si>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</si>
  <si>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</si>
  <si>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</si>
  <si>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</si>
  <si>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</si>
  <si>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</si>
  <si>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</si>
  <si>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</si>
  <si>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</si>
  <si>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</si>
  <si>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</si>
  <si>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</si>
  <si>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</si>
  <si>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</si>
  <si>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</si>
  <si>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</si>
  <si>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</si>
  <si>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</si>
  <si>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</si>
  <si>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</si>
  <si>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</si>
  <si>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</si>
  <si>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</si>
  <si>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</si>
  <si>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</si>
  <si>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</si>
  <si>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</si>
  <si>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</si>
  <si>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</si>
  <si>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</si>
  <si>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</si>
  <si>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</si>
  <si>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</si>
  <si>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一致预期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</si>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</sst>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7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Microsoft YaHei"/>
      <family val="0"/>
      <charset val="1"/>
    </font>
    <font>
      <sz val="11"/>
      <color rgb="FF7F7F7F"/>
      <name val="Arial Unicode MS"/>
      <family val="2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7F7F7F"/>
      <name val="Arial Unicode MS"/>
      <family val="2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30" hidden="false" customHeight="true" outlineLevel="0" collapsed="false">
      <c r="B8" s="3" t="s">
        <v>8</v>
      </c>
      <c r="C8" s="6" t="s">
        <v>9</v>
      </c>
      <c r="D8" s="6"/>
      <c r="E8" s="6"/>
      <c r="F8" s="6"/>
      <c r="G8" s="6"/>
      <c r="H8" s="6"/>
    </row>
    <row r="9" customFormat="false" ht="15" hidden="false" customHeight="false" outlineLevel="0" collapsed="false">
      <c r="B9" s="3"/>
      <c r="C9" s="4"/>
    </row>
    <row r="10" customFormat="false" ht="15" hidden="false" customHeight="false" outlineLevel="0" collapsed="false">
      <c r="B10" s="7" t="s">
        <v>10</v>
      </c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B11" s="3" t="s">
        <v>11</v>
      </c>
      <c r="C11" s="8" t="n">
        <f aca="false">Assumptions!C7</f>
        <v>269.33</v>
      </c>
    </row>
    <row r="12" customFormat="false" ht="15" hidden="false" customHeight="false" outlineLevel="0" collapsed="false">
      <c r="B12" s="3" t="s">
        <v>12</v>
      </c>
      <c r="C12" s="9" t="n">
        <f aca="false">Assumptions!C8</f>
        <v>983</v>
      </c>
    </row>
    <row r="13" customFormat="false" ht="15" hidden="false" customHeight="false" outlineLevel="0" collapsed="false">
      <c r="B13" s="3" t="s">
        <v>13</v>
      </c>
      <c r="C13" s="9" t="n">
        <f aca="false">Assumptions!C9</f>
        <v>264751.39</v>
      </c>
    </row>
    <row r="14" customFormat="false" ht="15" hidden="false" customHeight="false" outlineLevel="0" collapsed="false">
      <c r="B14" s="3" t="s">
        <v>14</v>
      </c>
      <c r="C14" s="4" t="str">
        <f aca="false">"营收"&amp;TEXT(Assumptions!C12,"#,##0")&amp;" / 归母"&amp;TEXT(Assumptions!C13,"#,##0")&amp;" (gildata/聚源一致预期(2026-08-03~06): 333.7亿(+73.0%)/539.3亿(+61.6%)/774.3亿)"</f>
        <v>营收33,370 / 归母9,120 (gildata/聚源一致预期(2026-08-03~06): 333.7亿(+73.0%)/539.3亿(+61.6%)/774.3亿)</v>
      </c>
    </row>
    <row r="15" customFormat="false" ht="15" hidden="false" customHeight="false" outlineLevel="0" collapsed="false">
      <c r="B15" s="3"/>
      <c r="C15" s="4"/>
    </row>
    <row r="16" customFormat="false" ht="18.65" hidden="false" customHeight="false" outlineLevel="0" collapsed="false">
      <c r="B16" s="7" t="s">
        <v>15</v>
      </c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B17" s="3" t="s">
        <v>16</v>
      </c>
      <c r="C17" s="4" t="str">
        <f aca="false">Scenarios!C3</f>
        <v>基准</v>
      </c>
    </row>
    <row r="18" customFormat="false" ht="15" hidden="false" customHeight="false" outlineLevel="0" collapsed="false">
      <c r="B18" s="3" t="s">
        <v>17</v>
      </c>
      <c r="C18" s="9" t="n">
        <f aca="false">IS!E4</f>
        <v>33139.03193128</v>
      </c>
    </row>
    <row r="19" customFormat="false" ht="15" hidden="false" customHeight="false" outlineLevel="0" collapsed="false">
      <c r="B19" s="3" t="s">
        <v>18</v>
      </c>
      <c r="C19" s="9" t="n">
        <f aca="false">IS!E20</f>
        <v>8326.46759189166</v>
      </c>
    </row>
    <row r="20" customFormat="false" ht="15" hidden="false" customHeight="false" outlineLevel="0" collapsed="false">
      <c r="B20" s="10" t="s">
        <v>19</v>
      </c>
      <c r="C20" s="4" t="str">
        <f aca="false">TEXT(Assumptions!C89,"0.00%")&amp;" / "&amp;TEXT(Assumptions!C91,"0.00%")</f>
        <v>7.56% / 7.56%</v>
      </c>
    </row>
    <row r="21" customFormat="false" ht="15" hidden="false" customHeight="false" outlineLevel="0" collapsed="false">
      <c r="B21" s="10" t="s">
        <v>20</v>
      </c>
      <c r="C21" s="8" t="n">
        <f aca="false">DCF!D26</f>
        <v>340.415208186145</v>
      </c>
    </row>
    <row r="22" customFormat="false" ht="15" hidden="false" customHeight="false" outlineLevel="0" collapsed="false">
      <c r="B22" s="10" t="s">
        <v>21</v>
      </c>
      <c r="C22" s="4" t="str">
        <f aca="false">TEXT(Scenarios!B12,"0.00")&amp;" / "&amp;TEXT(Scenarios!B21,"0.00")&amp;" / "&amp;TEXT(Scenarios!B30,"0.00")</f>
        <v>131.02 / 350.04 / 569.15</v>
      </c>
    </row>
    <row r="23" customFormat="false" ht="15" hidden="false" customHeight="false" outlineLevel="0" collapsed="false">
      <c r="B23" s="3" t="s">
        <v>22</v>
      </c>
      <c r="C23" s="4" t="str">
        <f aca="false">TEXT(Relative_Val!C17,"0.00")&amp;" ~ "&amp;TEXT(Relative_Val!C18,"0.00")</f>
        <v>296.47 ~ 296.47</v>
      </c>
    </row>
    <row r="24" customFormat="false" ht="15" hidden="false" customHeight="false" outlineLevel="0" collapsed="false">
      <c r="B24" s="3" t="s">
        <v>23</v>
      </c>
      <c r="C24" s="4" t="str">
        <f aca="false">TEXT(Summary!C13,"0.00")&amp;" ~ "&amp;TEXT(Summary!D13,"0.00")</f>
        <v>131.02 ~ 569.15</v>
      </c>
    </row>
    <row r="25" customFormat="false" ht="15" hidden="false" customHeight="false" outlineLevel="0" collapsed="false">
      <c r="B25" s="10" t="s">
        <v>24</v>
      </c>
      <c r="C25" s="4" t="str">
        <f aca="false">Checks!F28</f>
        <v>全部通过=TRUE</v>
      </c>
    </row>
    <row r="27" customFormat="false" ht="18.65" hidden="false" customHeight="false" outlineLevel="0" collapsed="false">
      <c r="B27" s="7" t="s">
        <v>25</v>
      </c>
      <c r="C27" s="7"/>
      <c r="D27" s="7"/>
      <c r="E27" s="7"/>
      <c r="F27" s="7"/>
      <c r="G27" s="7"/>
      <c r="H27" s="7"/>
    </row>
    <row r="28" customFormat="false" ht="39.75" hidden="false" customHeight="true" outlineLevel="0" collapsed="false">
      <c r="B28" s="11" t="s">
        <v>26</v>
      </c>
      <c r="C28" s="11"/>
      <c r="D28" s="11"/>
      <c r="E28" s="11"/>
      <c r="F28" s="11"/>
      <c r="G28" s="11"/>
      <c r="H28" s="11"/>
    </row>
    <row r="29" customFormat="false" ht="39.75" hidden="false" customHeight="true" outlineLevel="0" collapsed="false">
      <c r="B29" s="11" t="s">
        <v>27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28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29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30</v>
      </c>
      <c r="C32" s="11"/>
      <c r="D32" s="11"/>
      <c r="E32" s="11"/>
      <c r="F32" s="11"/>
      <c r="G32" s="11"/>
      <c r="H32" s="11"/>
    </row>
    <row r="33" customFormat="false" ht="25.5" hidden="false" customHeight="true" outlineLevel="0" collapsed="false">
      <c r="B33" s="11" t="s">
        <v>31</v>
      </c>
      <c r="C33" s="11"/>
      <c r="D33" s="11"/>
      <c r="E33" s="11"/>
      <c r="F33" s="11"/>
      <c r="G33" s="11"/>
      <c r="H33" s="11"/>
    </row>
    <row r="34" customFormat="false" ht="39.75" hidden="false" customHeight="true" outlineLevel="0" collapsed="false">
      <c r="B34" s="11" t="s">
        <v>32</v>
      </c>
      <c r="C34" s="11"/>
      <c r="D34" s="11"/>
      <c r="E34" s="11"/>
      <c r="F34" s="11"/>
      <c r="G34" s="11"/>
      <c r="H34" s="11"/>
    </row>
    <row r="35" customFormat="false" ht="25.5" hidden="false" customHeight="true" outlineLevel="0" collapsed="false">
      <c r="B35" s="11" t="s">
        <v>33</v>
      </c>
      <c r="C35" s="11"/>
      <c r="D35" s="11"/>
      <c r="E35" s="11"/>
      <c r="F35" s="11"/>
      <c r="G35" s="11"/>
      <c r="H35" s="11"/>
    </row>
    <row r="36" customFormat="false" ht="39.75" hidden="false" customHeight="true" outlineLevel="0" collapsed="false">
      <c r="B36" s="11" t="s">
        <v>34</v>
      </c>
      <c r="C36" s="11"/>
      <c r="D36" s="11"/>
      <c r="E36" s="11"/>
      <c r="F36" s="11"/>
      <c r="G36" s="11"/>
      <c r="H36" s="11"/>
    </row>
    <row r="37" customFormat="false" ht="25.5" hidden="false" customHeight="true" outlineLevel="0" collapsed="false">
      <c r="B37" s="11" t="s">
        <v>35</v>
      </c>
      <c r="C37" s="11"/>
      <c r="D37" s="11"/>
      <c r="E37" s="11"/>
      <c r="F37" s="11"/>
      <c r="G37" s="11"/>
      <c r="H37" s="11"/>
    </row>
    <row r="39" customFormat="false" ht="15" hidden="false" customHeight="false" outlineLevel="0" collapsed="false">
      <c r="B39" s="7" t="s">
        <v>36</v>
      </c>
      <c r="C39" s="7"/>
      <c r="D39" s="7"/>
      <c r="E39" s="7"/>
      <c r="F39" s="7"/>
      <c r="G39" s="7"/>
      <c r="H39" s="7"/>
    </row>
    <row r="40" customFormat="false" ht="24" hidden="false" customHeight="true" outlineLevel="0" collapsed="false">
      <c r="B40" s="12" t="s">
        <v>37</v>
      </c>
      <c r="C40" s="12"/>
      <c r="D40" s="12"/>
      <c r="E40" s="12"/>
      <c r="F40" s="12"/>
      <c r="G40" s="12"/>
      <c r="H40" s="12"/>
    </row>
    <row r="41" customFormat="false" ht="24" hidden="false" customHeight="true" outlineLevel="0" collapsed="false">
      <c r="B41" s="12" t="s">
        <v>38</v>
      </c>
      <c r="C41" s="12"/>
      <c r="D41" s="12"/>
      <c r="E41" s="12"/>
      <c r="F41" s="12"/>
      <c r="G41" s="12"/>
      <c r="H41" s="12"/>
    </row>
    <row r="42" customFormat="false" ht="24" hidden="false" customHeight="true" outlineLevel="0" collapsed="false">
      <c r="B42" s="12" t="s">
        <v>39</v>
      </c>
      <c r="C42" s="12"/>
      <c r="D42" s="12"/>
      <c r="E42" s="12"/>
      <c r="F42" s="12"/>
      <c r="G42" s="12"/>
      <c r="H42" s="12"/>
    </row>
    <row r="43" customFormat="false" ht="24" hidden="false" customHeight="true" outlineLevel="0" collapsed="false">
      <c r="B43" s="12" t="s">
        <v>40</v>
      </c>
      <c r="C43" s="12"/>
      <c r="D43" s="12"/>
      <c r="E43" s="12"/>
      <c r="F43" s="12"/>
      <c r="G43" s="12"/>
      <c r="H43" s="12"/>
    </row>
    <row r="45" customFormat="false" ht="15" hidden="false" customHeight="true" outlineLevel="0" collapsed="false">
      <c r="B45" s="13" t="s">
        <v>41</v>
      </c>
      <c r="C45" s="13"/>
      <c r="D45" s="13"/>
      <c r="E45" s="13"/>
      <c r="F45" s="13"/>
      <c r="G45" s="13"/>
      <c r="H45" s="13"/>
    </row>
    <row r="46" customFormat="false" ht="15" hidden="false" customHeight="false" outlineLevel="0" collapsed="false">
      <c r="B46" s="13"/>
      <c r="C46" s="13"/>
      <c r="D46" s="13"/>
      <c r="E46" s="13"/>
      <c r="F46" s="13"/>
      <c r="G46" s="13"/>
      <c r="H46" s="13"/>
    </row>
    <row r="47" customFormat="false" ht="15" hidden="false" customHeight="false" outlineLevel="0" collapsed="false">
      <c r="B47" s="13"/>
      <c r="C47" s="13"/>
      <c r="D47" s="13"/>
      <c r="E47" s="13"/>
      <c r="F47" s="13"/>
      <c r="G47" s="13"/>
      <c r="H47" s="13"/>
    </row>
  </sheetData>
  <mergeCells count="22">
    <mergeCell ref="B2:H2"/>
    <mergeCell ref="B3:H3"/>
    <mergeCell ref="C8:H8"/>
    <mergeCell ref="B10:H10"/>
    <mergeCell ref="B16:H1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9:H39"/>
    <mergeCell ref="B40:H40"/>
    <mergeCell ref="B41:H41"/>
    <mergeCell ref="B42:H42"/>
    <mergeCell ref="B43:H43"/>
    <mergeCell ref="B45:H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7.3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4" t="s">
        <v>42</v>
      </c>
      <c r="B1" s="14"/>
      <c r="C1" s="14"/>
      <c r="D1" s="14"/>
      <c r="E1" s="14"/>
      <c r="F1" s="14"/>
      <c r="G1" s="14"/>
      <c r="H1" s="14"/>
    </row>
    <row r="2" customFormat="false" ht="13.5" hidden="false" customHeight="true" outlineLevel="0" collapsed="false">
      <c r="A2" s="15" t="s">
        <v>43</v>
      </c>
      <c r="B2" s="15"/>
      <c r="C2" s="15"/>
      <c r="D2" s="15"/>
      <c r="E2" s="15"/>
      <c r="F2" s="15"/>
      <c r="G2" s="15"/>
      <c r="H2" s="15"/>
    </row>
    <row r="4" customFormat="false" ht="15" hidden="false" customHeight="false" outlineLevel="0" collapsed="false">
      <c r="A4" s="16" t="s">
        <v>44</v>
      </c>
      <c r="B4" s="16" t="s">
        <v>45</v>
      </c>
      <c r="C4" s="16" t="s">
        <v>46</v>
      </c>
      <c r="D4" s="16" t="s">
        <v>47</v>
      </c>
      <c r="E4" s="16" t="s">
        <v>48</v>
      </c>
      <c r="F4" s="16" t="s">
        <v>49</v>
      </c>
      <c r="G4" s="16" t="s">
        <v>50</v>
      </c>
    </row>
    <row r="5" customFormat="false" ht="25.35" hidden="false" customHeight="false" outlineLevel="0" collapsed="false">
      <c r="A5" s="10" t="s">
        <v>51</v>
      </c>
      <c r="B5" s="17" t="s">
        <v>52</v>
      </c>
      <c r="C5" s="8" t="n">
        <f aca="false">DCF!D26</f>
        <v>340.415208186145</v>
      </c>
      <c r="D5" s="8" t="n">
        <f aca="false">DCF!D26</f>
        <v>340.415208186145</v>
      </c>
      <c r="E5" s="18" t="n">
        <f aca="false">(C5+D5)/2</f>
        <v>340.415208186145</v>
      </c>
      <c r="F5" s="19" t="n">
        <f aca="false">E5/Assumptions!$C$7-1</f>
        <v>0.263933494917553</v>
      </c>
      <c r="G5" s="20" t="s">
        <v>53</v>
      </c>
    </row>
    <row r="6" customFormat="false" ht="15" hidden="false" customHeight="false" outlineLevel="0" collapsed="false">
      <c r="A6" s="10" t="s">
        <v>54</v>
      </c>
      <c r="B6" s="17" t="s">
        <v>55</v>
      </c>
      <c r="C6" s="8" t="n">
        <f aca="false">Scenarios!B12</f>
        <v>131.019146018866</v>
      </c>
      <c r="D6" s="8" t="n">
        <f aca="false">Scenarios!B12</f>
        <v>131.019146018866</v>
      </c>
      <c r="E6" s="18" t="n">
        <f aca="false">(C6+D6)/2</f>
        <v>131.019146018866</v>
      </c>
      <c r="F6" s="19" t="n">
        <f aca="false">E6/Assumptions!$C$7-1</f>
        <v>-0.513536754097703</v>
      </c>
      <c r="G6" s="20" t="s">
        <v>56</v>
      </c>
    </row>
    <row r="7" customFormat="false" ht="25.35" hidden="false" customHeight="false" outlineLevel="0" collapsed="false">
      <c r="A7" s="10" t="s">
        <v>57</v>
      </c>
      <c r="B7" s="17" t="s">
        <v>55</v>
      </c>
      <c r="C7" s="8" t="n">
        <f aca="false">Scenarios!B21</f>
        <v>350.04158085191</v>
      </c>
      <c r="D7" s="8" t="n">
        <f aca="false">Scenarios!B21</f>
        <v>350.04158085191</v>
      </c>
      <c r="E7" s="18" t="n">
        <f aca="false">(C7+D7)/2</f>
        <v>350.04158085191</v>
      </c>
      <c r="F7" s="19" t="n">
        <f aca="false">E7/Assumptions!$C$7-1</f>
        <v>0.299675419938033</v>
      </c>
      <c r="G7" s="20" t="s">
        <v>58</v>
      </c>
    </row>
    <row r="8" customFormat="false" ht="15" hidden="false" customHeight="false" outlineLevel="0" collapsed="false">
      <c r="A8" s="10" t="s">
        <v>59</v>
      </c>
      <c r="B8" s="17" t="s">
        <v>55</v>
      </c>
      <c r="C8" s="8" t="n">
        <f aca="false">Scenarios!B30</f>
        <v>569.149789174625</v>
      </c>
      <c r="D8" s="8" t="n">
        <f aca="false">Scenarios!B30</f>
        <v>569.149789174625</v>
      </c>
      <c r="E8" s="18" t="n">
        <f aca="false">(C8+D8)/2</f>
        <v>569.149789174625</v>
      </c>
      <c r="F8" s="19" t="n">
        <f aca="false">E8/Assumptions!$C$7-1</f>
        <v>1.11320606384222</v>
      </c>
      <c r="G8" s="20" t="s">
        <v>60</v>
      </c>
    </row>
    <row r="9" customFormat="false" ht="15" hidden="false" customHeight="false" outlineLevel="0" collapsed="false">
      <c r="A9" s="3" t="s">
        <v>61</v>
      </c>
      <c r="B9" s="21" t="s">
        <v>62</v>
      </c>
      <c r="C9" s="8" t="n">
        <f aca="false">Relative_Val!C17</f>
        <v>296.466292691972</v>
      </c>
      <c r="D9" s="8" t="n">
        <f aca="false">Relative_Val!C18</f>
        <v>296.466292691972</v>
      </c>
      <c r="E9" s="18" t="n">
        <f aca="false">(C9+D9)/2</f>
        <v>296.466292691972</v>
      </c>
      <c r="F9" s="19" t="n">
        <f aca="false">E9/Assumptions!$C$7-1</f>
        <v>0.1007548089406</v>
      </c>
      <c r="G9" s="20" t="s">
        <v>63</v>
      </c>
    </row>
    <row r="10" customFormat="false" ht="15" hidden="false" customHeight="false" outlineLevel="0" collapsed="false">
      <c r="A10" s="3" t="s">
        <v>64</v>
      </c>
      <c r="B10" s="21" t="s">
        <v>62</v>
      </c>
      <c r="C10" s="8" t="n">
        <f aca="false">Relative_Val!C19</f>
        <v>324.72024415056</v>
      </c>
      <c r="D10" s="8" t="n">
        <f aca="false">Relative_Val!D19</f>
        <v>324.72024415056</v>
      </c>
      <c r="E10" s="18" t="n">
        <f aca="false">(C10+D10)/2</f>
        <v>324.72024415056</v>
      </c>
      <c r="F10" s="19" t="n">
        <f aca="false">E10/Assumptions!$C$7-1</f>
        <v>0.205659392383171</v>
      </c>
      <c r="G10" s="20" t="s">
        <v>65</v>
      </c>
    </row>
    <row r="11" customFormat="false" ht="25.35" hidden="false" customHeight="false" outlineLevel="0" collapsed="false">
      <c r="A11" s="10" t="s">
        <v>66</v>
      </c>
      <c r="B11" s="21" t="s">
        <v>67</v>
      </c>
      <c r="C11" s="8" t="n">
        <f aca="false">FCFE!D20</f>
        <v>325.450783525894</v>
      </c>
      <c r="D11" s="8" t="n">
        <f aca="false">FCFE!D20</f>
        <v>325.450783525894</v>
      </c>
      <c r="E11" s="18" t="n">
        <f aca="false">(C11+D11)/2</f>
        <v>325.450783525894</v>
      </c>
      <c r="F11" s="19" t="n">
        <f aca="false">E11/Assumptions!$C$7-1</f>
        <v>0.208371824623673</v>
      </c>
      <c r="G11" s="22" t="s">
        <v>68</v>
      </c>
    </row>
    <row r="12" customFormat="false" ht="15" hidden="false" customHeight="false" outlineLevel="0" collapsed="false">
      <c r="A12" s="3" t="s">
        <v>69</v>
      </c>
      <c r="C12" s="8" t="n">
        <f aca="false">Assumptions!$C$7</f>
        <v>269.33</v>
      </c>
      <c r="D12" s="8" t="n">
        <f aca="false">Assumptions!$C$7</f>
        <v>269.33</v>
      </c>
      <c r="E12" s="8" t="n">
        <f aca="false">Assumptions!$C$7</f>
        <v>269.33</v>
      </c>
    </row>
    <row r="13" customFormat="false" ht="25.35" hidden="false" customHeight="false" outlineLevel="0" collapsed="false">
      <c r="A13" s="3" t="s">
        <v>70</v>
      </c>
      <c r="C13" s="23" t="n">
        <f aca="false">MIN(C5,C6,C7,C8,C9,C10,C11)</f>
        <v>131.019146018866</v>
      </c>
      <c r="D13" s="23" t="n">
        <f aca="false">MAX(D5,D6,D7,D8,D9,D10,D11)</f>
        <v>569.149789174625</v>
      </c>
      <c r="E13" s="23" t="n">
        <f aca="false">(C13+D13)/2</f>
        <v>350.084467596745</v>
      </c>
      <c r="F13" s="24" t="n">
        <f aca="false">E13/Assumptions!$C$7-1</f>
        <v>0.299834654872259</v>
      </c>
      <c r="G13" s="20" t="s">
        <v>71</v>
      </c>
    </row>
    <row r="15" customFormat="false" ht="15.75" hidden="false" customHeight="true" outlineLevel="0" collapsed="false">
      <c r="A15" s="25" t="s">
        <v>72</v>
      </c>
      <c r="B15" s="25"/>
      <c r="C15" s="25"/>
      <c r="D15" s="25"/>
      <c r="E15" s="25"/>
      <c r="F15" s="25"/>
      <c r="G15" s="25"/>
      <c r="H15" s="25"/>
    </row>
    <row r="16" customFormat="false" ht="15" hidden="false" customHeight="false" outlineLevel="0" collapsed="false">
      <c r="A16" s="3" t="s">
        <v>73</v>
      </c>
      <c r="B16" s="3" t="s">
        <v>74</v>
      </c>
    </row>
    <row r="17" customFormat="false" ht="15" hidden="false" customHeight="false" outlineLevel="0" collapsed="false">
      <c r="A17" s="26" t="s">
        <v>75</v>
      </c>
      <c r="B17" s="27" t="str">
        <f aca="false">REPT("▮",MAX(1,ROUND((D5-C5)/10,0)))&amp;"  ["&amp;TEXT(C5,"0")&amp;"—"&amp;TEXT(D5,"0")&amp;"]"</f>
        <v>▮  [340—340]</v>
      </c>
      <c r="C17" s="27"/>
      <c r="D17" s="27"/>
      <c r="E17" s="27"/>
      <c r="F17" s="27"/>
      <c r="G17" s="27"/>
    </row>
    <row r="18" customFormat="false" ht="15" hidden="false" customHeight="false" outlineLevel="0" collapsed="false">
      <c r="A18" s="26" t="s">
        <v>76</v>
      </c>
      <c r="B18" s="27" t="str">
        <f aca="false">REPT("▮",MAX(1,ROUND((D6-C6)/10,0)))&amp;"  ["&amp;TEXT(C6,"0")&amp;"—"&amp;TEXT(D6,"0")&amp;"]"</f>
        <v>▮  [131—131]</v>
      </c>
      <c r="C18" s="27"/>
      <c r="D18" s="27"/>
      <c r="E18" s="27"/>
      <c r="F18" s="27"/>
      <c r="G18" s="27"/>
    </row>
    <row r="19" customFormat="false" ht="15" hidden="false" customHeight="false" outlineLevel="0" collapsed="false">
      <c r="A19" s="26" t="s">
        <v>77</v>
      </c>
      <c r="B19" s="27" t="str">
        <f aca="false">REPT("▮",MAX(1,ROUND((D7-C7)/10,0)))&amp;"  ["&amp;TEXT(C7,"0")&amp;"—"&amp;TEXT(D7,"0")&amp;"]"</f>
        <v>▮  [350—350]</v>
      </c>
      <c r="C19" s="27"/>
      <c r="D19" s="27"/>
      <c r="E19" s="27"/>
      <c r="F19" s="27"/>
      <c r="G19" s="27"/>
    </row>
    <row r="20" customFormat="false" ht="15" hidden="false" customHeight="false" outlineLevel="0" collapsed="false">
      <c r="A20" s="26" t="s">
        <v>78</v>
      </c>
      <c r="B20" s="27" t="str">
        <f aca="false">REPT("▮",MAX(1,ROUND((D8-C8)/10,0)))&amp;"  ["&amp;TEXT(C8,"0")&amp;"—"&amp;TEXT(D8,"0")&amp;"]"</f>
        <v>▮  [569—569]</v>
      </c>
      <c r="C20" s="27"/>
      <c r="D20" s="27"/>
      <c r="E20" s="27"/>
      <c r="F20" s="27"/>
      <c r="G20" s="27"/>
    </row>
    <row r="21" customFormat="false" ht="15" hidden="false" customHeight="false" outlineLevel="0" collapsed="false">
      <c r="A21" s="28" t="s">
        <v>79</v>
      </c>
      <c r="B21" s="27" t="str">
        <f aca="false">REPT("▮",MAX(1,ROUND((D9-C9)/10,0)))&amp;"  ["&amp;TEXT(C9,"0")&amp;"—"&amp;TEXT(D9,"0")&amp;"]"</f>
        <v>▮  [296—296]</v>
      </c>
      <c r="C21" s="27"/>
      <c r="D21" s="27"/>
      <c r="E21" s="27"/>
      <c r="F21" s="27"/>
      <c r="G21" s="27"/>
    </row>
    <row r="22" customFormat="false" ht="15" hidden="false" customHeight="false" outlineLevel="0" collapsed="false">
      <c r="A22" s="28" t="s">
        <v>80</v>
      </c>
      <c r="B22" s="27" t="str">
        <f aca="false">REPT("▮",MAX(1,ROUND((D10-C10)/10,0)))&amp;"  ["&amp;TEXT(C10,"0")&amp;"—"&amp;TEXT(D10,"0")&amp;"]"</f>
        <v>▮  [325—325]</v>
      </c>
      <c r="C22" s="27"/>
      <c r="D22" s="27"/>
      <c r="E22" s="27"/>
      <c r="F22" s="27"/>
      <c r="G22" s="27"/>
    </row>
    <row r="23" customFormat="false" ht="15" hidden="false" customHeight="false" outlineLevel="0" collapsed="false">
      <c r="A23" s="26" t="s">
        <v>81</v>
      </c>
      <c r="B23" s="27" t="str">
        <f aca="false">REPT("▮",MAX(1,ROUND((D11-C11)/10,0)))&amp;"  ["&amp;TEXT(C11,"0")&amp;"—"&amp;TEXT(D11,"0")&amp;"]"</f>
        <v>▮  [325—325]</v>
      </c>
      <c r="C23" s="27"/>
      <c r="D23" s="27"/>
      <c r="E23" s="27"/>
      <c r="F23" s="27"/>
      <c r="G23" s="27"/>
    </row>
    <row r="25" customFormat="false" ht="15" hidden="false" customHeight="true" outlineLevel="0" collapsed="false">
      <c r="A25" s="3" t="s">
        <v>82</v>
      </c>
      <c r="B25" s="29" t="s">
        <v>83</v>
      </c>
      <c r="C25" s="29"/>
      <c r="D25" s="29"/>
      <c r="E25" s="29"/>
      <c r="F25" s="29"/>
      <c r="G25" s="29"/>
    </row>
    <row r="26" customFormat="false" ht="15" hidden="false" customHeight="false" outlineLevel="0" collapsed="false">
      <c r="A26" s="10" t="s">
        <v>84</v>
      </c>
      <c r="B26" s="30" t="str">
        <f aca="false">IF(""&lt;&gt;"","WAIVED: ",IF(ABS(FCFE!D22)&gt;=0.3,"警告: 差异≥30%, 复核债务调度/资本结构/终值","通过: 差异&lt;30%"))</f>
        <v>通过: 差异&lt;30%</v>
      </c>
      <c r="C26" s="30"/>
      <c r="D26" s="30"/>
      <c r="E26" s="30"/>
      <c r="F26" s="30"/>
      <c r="G26" s="30"/>
    </row>
    <row r="27" customFormat="false" ht="15" hidden="false" customHeight="false" outlineLevel="0" collapsed="false">
      <c r="A27" s="3" t="s">
        <v>85</v>
      </c>
      <c r="B27" s="30" t="str">
        <f aca="false">IF(ABS(Scenarios!B36-1)&gt;=0.3,"警告: 桥接差异≥30%, 复核简化引擎","通过: 桥接差异&lt;30%")</f>
        <v>通过: 桥接差异&lt;30%</v>
      </c>
      <c r="C27" s="30"/>
      <c r="D27" s="30"/>
      <c r="E27" s="30"/>
      <c r="F27" s="30"/>
      <c r="G27" s="30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4" t="s">
        <v>86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87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5" t="s">
        <v>88</v>
      </c>
      <c r="B4" s="25"/>
      <c r="C4" s="25"/>
      <c r="D4" s="25"/>
      <c r="E4" s="25"/>
      <c r="F4" s="25"/>
      <c r="G4" s="25"/>
      <c r="H4" s="25"/>
      <c r="I4" s="25"/>
      <c r="J4" s="25"/>
    </row>
    <row r="5" customFormat="false" ht="15" hidden="false" customHeight="false" outlineLevel="0" collapsed="false">
      <c r="A5" s="5" t="s">
        <v>89</v>
      </c>
      <c r="B5" s="31" t="s">
        <v>90</v>
      </c>
      <c r="C5" s="32" t="n">
        <v>2</v>
      </c>
      <c r="H5" s="20" t="s">
        <v>91</v>
      </c>
    </row>
    <row r="6" customFormat="false" ht="15" hidden="false" customHeight="false" outlineLevel="0" collapsed="false">
      <c r="A6" s="5" t="s">
        <v>92</v>
      </c>
      <c r="C6" s="33" t="s">
        <v>93</v>
      </c>
      <c r="H6" s="28" t="s">
        <v>94</v>
      </c>
    </row>
    <row r="7" customFormat="false" ht="15" hidden="false" customHeight="false" outlineLevel="0" collapsed="false">
      <c r="A7" s="5" t="s">
        <v>95</v>
      </c>
      <c r="B7" s="34" t="s">
        <v>96</v>
      </c>
      <c r="C7" s="35" t="n">
        <v>269.33</v>
      </c>
      <c r="H7" s="22" t="s">
        <v>97</v>
      </c>
    </row>
    <row r="8" customFormat="false" ht="15" hidden="false" customHeight="false" outlineLevel="0" collapsed="false">
      <c r="A8" s="5" t="s">
        <v>98</v>
      </c>
      <c r="B8" s="34" t="s">
        <v>99</v>
      </c>
      <c r="C8" s="36" t="n">
        <v>983</v>
      </c>
      <c r="H8" s="22" t="s">
        <v>100</v>
      </c>
    </row>
    <row r="9" customFormat="false" ht="15" hidden="false" customHeight="false" outlineLevel="0" collapsed="false">
      <c r="A9" s="5" t="s">
        <v>101</v>
      </c>
      <c r="B9" s="34" t="s">
        <v>102</v>
      </c>
      <c r="C9" s="9" t="n">
        <f aca="false">C7*C8</f>
        <v>264751.39</v>
      </c>
      <c r="H9" s="28" t="s">
        <v>103</v>
      </c>
    </row>
    <row r="11" customFormat="false" ht="15.75" hidden="false" customHeight="true" outlineLevel="0" collapsed="false">
      <c r="A11" s="25" t="s">
        <v>104</v>
      </c>
      <c r="B11" s="25"/>
      <c r="C11" s="25"/>
      <c r="D11" s="25"/>
      <c r="E11" s="25"/>
      <c r="F11" s="25"/>
      <c r="G11" s="25"/>
      <c r="H11" s="25"/>
      <c r="I11" s="25"/>
      <c r="J11" s="25"/>
    </row>
    <row r="12" customFormat="false" ht="15" hidden="false" customHeight="false" outlineLevel="0" collapsed="false">
      <c r="A12" s="5" t="s">
        <v>105</v>
      </c>
      <c r="B12" s="34" t="s">
        <v>102</v>
      </c>
      <c r="C12" s="36" t="n">
        <v>33370</v>
      </c>
      <c r="H12" s="22" t="s">
        <v>106</v>
      </c>
    </row>
    <row r="13" customFormat="false" ht="15" hidden="false" customHeight="false" outlineLevel="0" collapsed="false">
      <c r="A13" s="5" t="s">
        <v>107</v>
      </c>
      <c r="B13" s="34" t="s">
        <v>102</v>
      </c>
      <c r="C13" s="36" t="n">
        <v>9120</v>
      </c>
      <c r="H13" s="22" t="s">
        <v>108</v>
      </c>
    </row>
    <row r="14" customFormat="false" ht="15" hidden="false" customHeight="false" outlineLevel="0" collapsed="false">
      <c r="A14" s="5" t="s">
        <v>109</v>
      </c>
      <c r="B14" s="34" t="s">
        <v>102</v>
      </c>
      <c r="C14" s="36" t="n">
        <v>53930</v>
      </c>
      <c r="H14" s="22" t="s">
        <v>106</v>
      </c>
    </row>
    <row r="15" customFormat="false" ht="15" hidden="false" customHeight="false" outlineLevel="0" collapsed="false">
      <c r="A15" s="5" t="s">
        <v>110</v>
      </c>
      <c r="B15" s="34" t="s">
        <v>102</v>
      </c>
      <c r="C15" s="36" t="n">
        <v>15410</v>
      </c>
      <c r="H15" s="22" t="s">
        <v>108</v>
      </c>
    </row>
    <row r="16" customFormat="false" ht="15" hidden="false" customHeight="false" outlineLevel="0" collapsed="false">
      <c r="A16" s="5" t="s">
        <v>111</v>
      </c>
      <c r="B16" s="34" t="s">
        <v>102</v>
      </c>
      <c r="C16" s="36" t="n">
        <v>77430</v>
      </c>
      <c r="H16" s="22" t="s">
        <v>106</v>
      </c>
    </row>
    <row r="17" customFormat="false" ht="15" hidden="false" customHeight="false" outlineLevel="0" collapsed="false">
      <c r="A17" s="5" t="s">
        <v>112</v>
      </c>
      <c r="B17" s="34" t="s">
        <v>102</v>
      </c>
      <c r="C17" s="36" t="n">
        <v>22970</v>
      </c>
      <c r="H17" s="22" t="s">
        <v>108</v>
      </c>
    </row>
    <row r="18" customFormat="false" ht="15" hidden="false" customHeight="false" outlineLevel="0" collapsed="false">
      <c r="A18" s="4" t="s">
        <v>113</v>
      </c>
      <c r="B18" s="34" t="s">
        <v>102</v>
      </c>
      <c r="C18" s="36" t="n">
        <v>5519.5</v>
      </c>
      <c r="H18" s="20" t="s">
        <v>114</v>
      </c>
    </row>
    <row r="19" customFormat="false" ht="15" hidden="false" customHeight="false" outlineLevel="0" collapsed="false">
      <c r="A19" s="4" t="s">
        <v>115</v>
      </c>
      <c r="B19" s="34" t="s">
        <v>102</v>
      </c>
      <c r="C19" s="36" t="n">
        <v>1288.4</v>
      </c>
      <c r="H19" s="20" t="s">
        <v>116</v>
      </c>
    </row>
    <row r="21" customFormat="false" ht="15.75" hidden="false" customHeight="true" outlineLevel="0" collapsed="false">
      <c r="A21" s="25" t="s">
        <v>117</v>
      </c>
      <c r="B21" s="25"/>
      <c r="C21" s="25"/>
      <c r="D21" s="25"/>
      <c r="E21" s="25"/>
      <c r="F21" s="25"/>
      <c r="G21" s="25"/>
      <c r="H21" s="25"/>
      <c r="I21" s="25"/>
      <c r="J21" s="25"/>
    </row>
    <row r="22" customFormat="false" ht="15" hidden="false" customHeight="false" outlineLevel="0" collapsed="false">
      <c r="A22" s="3" t="s">
        <v>118</v>
      </c>
      <c r="C22" s="37" t="s">
        <v>119</v>
      </c>
      <c r="D22" s="37" t="s">
        <v>120</v>
      </c>
      <c r="E22" s="37" t="s">
        <v>121</v>
      </c>
      <c r="F22" s="37" t="s">
        <v>122</v>
      </c>
      <c r="G22" s="37" t="s">
        <v>123</v>
      </c>
      <c r="H22" s="3" t="s">
        <v>124</v>
      </c>
    </row>
    <row r="23" customFormat="false" ht="25.35" hidden="false" customHeight="false" outlineLevel="0" collapsed="false">
      <c r="A23" s="4" t="s">
        <v>125</v>
      </c>
      <c r="B23" s="31" t="s">
        <v>126</v>
      </c>
      <c r="C23" s="38" t="n">
        <v>0.95</v>
      </c>
      <c r="D23" s="38" t="n">
        <v>0.6</v>
      </c>
      <c r="E23" s="38" t="n">
        <v>0.35</v>
      </c>
      <c r="F23" s="38" t="n">
        <v>0.22</v>
      </c>
      <c r="G23" s="38" t="n">
        <v>0.14</v>
      </c>
      <c r="H23" s="20" t="s">
        <v>127</v>
      </c>
    </row>
    <row r="24" customFormat="false" ht="25.35" hidden="false" customHeight="false" outlineLevel="0" collapsed="false">
      <c r="A24" s="4" t="s">
        <v>128</v>
      </c>
      <c r="B24" s="31" t="s">
        <v>126</v>
      </c>
      <c r="C24" s="38" t="n">
        <v>0.2</v>
      </c>
      <c r="D24" s="38" t="n">
        <v>0.12</v>
      </c>
      <c r="E24" s="38" t="n">
        <v>0.06</v>
      </c>
      <c r="F24" s="38" t="n">
        <v>0.02</v>
      </c>
      <c r="G24" s="38" t="n">
        <v>0</v>
      </c>
      <c r="H24" s="22" t="s">
        <v>129</v>
      </c>
    </row>
    <row r="25" customFormat="false" ht="25.35" hidden="false" customHeight="false" outlineLevel="0" collapsed="false">
      <c r="A25" s="5" t="s">
        <v>130</v>
      </c>
      <c r="B25" s="31" t="s">
        <v>126</v>
      </c>
      <c r="C25" s="38" t="n">
        <v>0.32</v>
      </c>
      <c r="D25" s="38" t="n">
        <v>0.24</v>
      </c>
      <c r="E25" s="38" t="n">
        <v>0.18</v>
      </c>
      <c r="F25" s="38" t="n">
        <v>0.12</v>
      </c>
      <c r="G25" s="38" t="n">
        <v>0.08</v>
      </c>
      <c r="H25" s="22" t="s">
        <v>131</v>
      </c>
    </row>
    <row r="26" customFormat="false" ht="15" hidden="false" customHeight="false" outlineLevel="0" collapsed="false">
      <c r="A26" s="5" t="s">
        <v>132</v>
      </c>
      <c r="B26" s="31" t="s">
        <v>126</v>
      </c>
      <c r="C26" s="38" t="n">
        <v>0.08</v>
      </c>
      <c r="D26" s="38" t="n">
        <v>0.05</v>
      </c>
      <c r="E26" s="38" t="n">
        <v>0.03</v>
      </c>
      <c r="F26" s="38" t="n">
        <v>0.01</v>
      </c>
      <c r="G26" s="38" t="n">
        <v>0</v>
      </c>
      <c r="H26" s="20" t="s">
        <v>133</v>
      </c>
    </row>
    <row r="27" customFormat="false" ht="15" hidden="false" customHeight="false" outlineLevel="0" collapsed="false">
      <c r="A27" s="5" t="s">
        <v>134</v>
      </c>
      <c r="B27" s="31" t="s">
        <v>126</v>
      </c>
      <c r="C27" s="38" t="n">
        <v>0.1</v>
      </c>
      <c r="D27" s="38" t="n">
        <v>0.08</v>
      </c>
      <c r="E27" s="38" t="n">
        <v>0.06</v>
      </c>
      <c r="F27" s="38" t="n">
        <v>0.05</v>
      </c>
      <c r="G27" s="38" t="n">
        <v>0.04</v>
      </c>
      <c r="H27" s="20" t="s">
        <v>135</v>
      </c>
    </row>
    <row r="29" customFormat="false" ht="15.75" hidden="false" customHeight="true" outlineLevel="0" collapsed="false">
      <c r="A29" s="25" t="s">
        <v>136</v>
      </c>
      <c r="B29" s="25"/>
      <c r="C29" s="25"/>
      <c r="D29" s="25"/>
      <c r="E29" s="25"/>
      <c r="F29" s="25"/>
      <c r="G29" s="25"/>
      <c r="H29" s="25"/>
      <c r="I29" s="25"/>
      <c r="J29" s="25"/>
    </row>
    <row r="30" customFormat="false" ht="15" hidden="false" customHeight="false" outlineLevel="0" collapsed="false">
      <c r="A30" s="4" t="s">
        <v>137</v>
      </c>
      <c r="B30" s="31" t="s">
        <v>126</v>
      </c>
      <c r="C30" s="38" t="n">
        <v>0.45</v>
      </c>
      <c r="D30" s="38" t="n">
        <v>0.44</v>
      </c>
      <c r="E30" s="38" t="n">
        <v>0.425</v>
      </c>
      <c r="F30" s="38" t="n">
        <v>0.41</v>
      </c>
      <c r="G30" s="38" t="n">
        <v>0.4</v>
      </c>
      <c r="H30" s="22" t="s">
        <v>138</v>
      </c>
    </row>
    <row r="31" customFormat="false" ht="15" hidden="false" customHeight="false" outlineLevel="0" collapsed="false">
      <c r="A31" s="5" t="s">
        <v>139</v>
      </c>
      <c r="B31" s="31" t="s">
        <v>126</v>
      </c>
      <c r="C31" s="38" t="n">
        <v>0.27</v>
      </c>
      <c r="D31" s="38" t="n">
        <v>0.275</v>
      </c>
      <c r="E31" s="38" t="n">
        <v>0.27</v>
      </c>
      <c r="F31" s="38" t="n">
        <v>0.26</v>
      </c>
      <c r="G31" s="38" t="n">
        <v>0.25</v>
      </c>
      <c r="H31" s="22" t="s">
        <v>140</v>
      </c>
    </row>
    <row r="32" customFormat="false" ht="15" hidden="false" customHeight="false" outlineLevel="0" collapsed="false">
      <c r="A32" s="5" t="s">
        <v>141</v>
      </c>
      <c r="B32" s="31" t="s">
        <v>126</v>
      </c>
      <c r="C32" s="38" t="n">
        <v>0.42</v>
      </c>
      <c r="D32" s="38" t="n">
        <v>0.41</v>
      </c>
      <c r="E32" s="38" t="n">
        <v>0.4</v>
      </c>
      <c r="F32" s="38" t="n">
        <v>0.39</v>
      </c>
      <c r="G32" s="38" t="n">
        <v>0.38</v>
      </c>
      <c r="H32" s="22" t="s">
        <v>142</v>
      </c>
    </row>
    <row r="34" customFormat="false" ht="15.75" hidden="false" customHeight="true" outlineLevel="0" collapsed="false">
      <c r="A34" s="25" t="s">
        <v>143</v>
      </c>
      <c r="B34" s="25"/>
      <c r="C34" s="25"/>
      <c r="D34" s="25"/>
      <c r="E34" s="25"/>
      <c r="F34" s="25"/>
      <c r="G34" s="25"/>
      <c r="H34" s="25"/>
      <c r="I34" s="25"/>
      <c r="J34" s="25"/>
    </row>
    <row r="35" customFormat="false" ht="15" hidden="false" customHeight="false" outlineLevel="0" collapsed="false">
      <c r="A35" s="5" t="s">
        <v>144</v>
      </c>
      <c r="B35" s="31" t="s">
        <v>126</v>
      </c>
      <c r="C35" s="38" t="n">
        <v>0.0033</v>
      </c>
      <c r="D35" s="38" t="n">
        <v>0.0033</v>
      </c>
      <c r="E35" s="38" t="n">
        <v>0.0033</v>
      </c>
      <c r="F35" s="38" t="n">
        <v>0.0033</v>
      </c>
      <c r="G35" s="38" t="n">
        <v>0.0033</v>
      </c>
      <c r="H35" s="22" t="s">
        <v>145</v>
      </c>
    </row>
    <row r="36" customFormat="false" ht="15" hidden="false" customHeight="false" outlineLevel="0" collapsed="false">
      <c r="A36" s="5" t="s">
        <v>146</v>
      </c>
      <c r="B36" s="31" t="s">
        <v>126</v>
      </c>
      <c r="C36" s="38" t="n">
        <v>0.0125</v>
      </c>
      <c r="D36" s="38" t="n">
        <v>0.0125</v>
      </c>
      <c r="E36" s="38" t="n">
        <v>0.0125</v>
      </c>
      <c r="F36" s="38" t="n">
        <v>0.0125</v>
      </c>
      <c r="G36" s="38" t="n">
        <v>0.0125</v>
      </c>
      <c r="H36" s="22" t="s">
        <v>147</v>
      </c>
    </row>
    <row r="37" customFormat="false" ht="15" hidden="false" customHeight="false" outlineLevel="0" collapsed="false">
      <c r="A37" s="5" t="s">
        <v>148</v>
      </c>
      <c r="B37" s="31" t="s">
        <v>126</v>
      </c>
      <c r="C37" s="38" t="n">
        <v>0.024</v>
      </c>
      <c r="D37" s="38" t="n">
        <v>0.024</v>
      </c>
      <c r="E37" s="38" t="n">
        <v>0.024</v>
      </c>
      <c r="F37" s="38" t="n">
        <v>0.024</v>
      </c>
      <c r="G37" s="38" t="n">
        <v>0.024</v>
      </c>
      <c r="H37" s="22" t="s">
        <v>149</v>
      </c>
    </row>
    <row r="38" customFormat="false" ht="15" hidden="false" customHeight="false" outlineLevel="0" collapsed="false">
      <c r="A38" s="5" t="s">
        <v>150</v>
      </c>
      <c r="B38" s="31" t="s">
        <v>126</v>
      </c>
      <c r="C38" s="38" t="n">
        <v>0.041</v>
      </c>
      <c r="D38" s="38" t="n">
        <v>0.041</v>
      </c>
      <c r="E38" s="38" t="n">
        <v>0.041</v>
      </c>
      <c r="F38" s="38" t="n">
        <v>0.041</v>
      </c>
      <c r="G38" s="38" t="n">
        <v>0.041</v>
      </c>
      <c r="H38" s="22" t="s">
        <v>151</v>
      </c>
    </row>
    <row r="39" customFormat="false" ht="15" hidden="false" customHeight="false" outlineLevel="0" collapsed="false">
      <c r="A39" s="5" t="s">
        <v>152</v>
      </c>
      <c r="B39" s="34" t="s">
        <v>102</v>
      </c>
      <c r="C39" s="39" t="n">
        <v>-20</v>
      </c>
      <c r="D39" s="39" t="n">
        <v>-20</v>
      </c>
      <c r="E39" s="39" t="n">
        <v>-20</v>
      </c>
      <c r="F39" s="39" t="n">
        <v>-20</v>
      </c>
      <c r="G39" s="39" t="n">
        <v>-20</v>
      </c>
      <c r="H39" s="20" t="s">
        <v>153</v>
      </c>
    </row>
    <row r="40" customFormat="false" ht="15" hidden="false" customHeight="false" outlineLevel="0" collapsed="false">
      <c r="A40" s="5" t="s">
        <v>154</v>
      </c>
      <c r="B40" s="34" t="s">
        <v>102</v>
      </c>
      <c r="C40" s="39" t="n">
        <v>-35</v>
      </c>
      <c r="D40" s="39" t="n">
        <v>-35</v>
      </c>
      <c r="E40" s="39" t="n">
        <v>-35</v>
      </c>
      <c r="F40" s="39" t="n">
        <v>-35</v>
      </c>
      <c r="G40" s="39" t="n">
        <v>-35</v>
      </c>
      <c r="H40" s="22" t="s">
        <v>155</v>
      </c>
    </row>
    <row r="41" customFormat="false" ht="15" hidden="false" customHeight="false" outlineLevel="0" collapsed="false">
      <c r="A41" s="5" t="s">
        <v>156</v>
      </c>
      <c r="B41" s="31" t="s">
        <v>126</v>
      </c>
      <c r="C41" s="38" t="n">
        <v>0.145</v>
      </c>
      <c r="D41" s="38" t="n">
        <v>0.145</v>
      </c>
      <c r="E41" s="38" t="n">
        <v>0.145</v>
      </c>
      <c r="F41" s="38" t="n">
        <v>0.145</v>
      </c>
      <c r="G41" s="38" t="n">
        <v>0.145</v>
      </c>
      <c r="H41" s="22" t="s">
        <v>157</v>
      </c>
    </row>
    <row r="42" customFormat="false" ht="15" hidden="false" customHeight="false" outlineLevel="0" collapsed="false">
      <c r="A42" s="5" t="s">
        <v>158</v>
      </c>
      <c r="B42" s="31" t="s">
        <v>126</v>
      </c>
      <c r="C42" s="38" t="n">
        <v>0</v>
      </c>
      <c r="D42" s="38" t="n">
        <v>0</v>
      </c>
      <c r="E42" s="38" t="n">
        <v>0</v>
      </c>
      <c r="F42" s="38" t="n">
        <v>0</v>
      </c>
      <c r="G42" s="38" t="n">
        <v>0</v>
      </c>
      <c r="H42" s="20" t="s">
        <v>159</v>
      </c>
    </row>
    <row r="43" customFormat="false" ht="15" hidden="false" customHeight="false" outlineLevel="0" collapsed="false">
      <c r="A43" s="5" t="s">
        <v>160</v>
      </c>
      <c r="B43" s="31" t="s">
        <v>126</v>
      </c>
      <c r="C43" s="38" t="n">
        <v>0.006</v>
      </c>
      <c r="H43" s="20" t="s">
        <v>161</v>
      </c>
    </row>
    <row r="45" customFormat="false" ht="15.75" hidden="false" customHeight="true" outlineLevel="0" collapsed="false">
      <c r="A45" s="25" t="s">
        <v>162</v>
      </c>
      <c r="B45" s="25"/>
      <c r="C45" s="25"/>
      <c r="D45" s="25"/>
      <c r="E45" s="25"/>
      <c r="F45" s="25"/>
      <c r="G45" s="25"/>
      <c r="H45" s="25"/>
      <c r="I45" s="25"/>
      <c r="J45" s="25"/>
    </row>
    <row r="46" customFormat="false" ht="15" hidden="false" customHeight="false" outlineLevel="0" collapsed="false">
      <c r="A46" s="4" t="s">
        <v>163</v>
      </c>
      <c r="B46" s="34" t="s">
        <v>164</v>
      </c>
      <c r="C46" s="40" t="n">
        <v>112</v>
      </c>
      <c r="D46" s="40" t="n">
        <v>110</v>
      </c>
      <c r="E46" s="40" t="n">
        <v>108</v>
      </c>
      <c r="F46" s="40" t="n">
        <v>106</v>
      </c>
      <c r="G46" s="40" t="n">
        <v>105</v>
      </c>
      <c r="H46" s="22" t="s">
        <v>165</v>
      </c>
    </row>
    <row r="47" customFormat="false" ht="15" hidden="false" customHeight="false" outlineLevel="0" collapsed="false">
      <c r="A47" s="4" t="s">
        <v>166</v>
      </c>
      <c r="B47" s="34" t="s">
        <v>164</v>
      </c>
      <c r="C47" s="40" t="n">
        <v>92</v>
      </c>
      <c r="D47" s="40" t="n">
        <v>90</v>
      </c>
      <c r="E47" s="40" t="n">
        <v>88</v>
      </c>
      <c r="F47" s="40" t="n">
        <v>86</v>
      </c>
      <c r="G47" s="40" t="n">
        <v>85</v>
      </c>
      <c r="H47" s="22" t="s">
        <v>167</v>
      </c>
    </row>
    <row r="48" customFormat="false" ht="15" hidden="false" customHeight="false" outlineLevel="0" collapsed="false">
      <c r="A48" s="4" t="s">
        <v>168</v>
      </c>
      <c r="B48" s="34" t="s">
        <v>164</v>
      </c>
      <c r="C48" s="40" t="n">
        <v>300</v>
      </c>
      <c r="D48" s="40" t="n">
        <v>290</v>
      </c>
      <c r="E48" s="40" t="n">
        <v>280</v>
      </c>
      <c r="F48" s="40" t="n">
        <v>270</v>
      </c>
      <c r="G48" s="40" t="n">
        <v>260</v>
      </c>
      <c r="H48" s="22" t="s">
        <v>169</v>
      </c>
    </row>
    <row r="49" customFormat="false" ht="15" hidden="false" customHeight="false" outlineLevel="0" collapsed="false">
      <c r="A49" s="5" t="s">
        <v>170</v>
      </c>
      <c r="B49" s="31" t="s">
        <v>126</v>
      </c>
      <c r="C49" s="38" t="n">
        <v>0.004</v>
      </c>
      <c r="D49" s="38" t="n">
        <v>0.004</v>
      </c>
      <c r="E49" s="38" t="n">
        <v>0.004</v>
      </c>
      <c r="F49" s="38" t="n">
        <v>0.004</v>
      </c>
      <c r="G49" s="38" t="n">
        <v>0.004</v>
      </c>
      <c r="H49" s="22" t="s">
        <v>171</v>
      </c>
    </row>
    <row r="50" customFormat="false" ht="15" hidden="false" customHeight="false" outlineLevel="0" collapsed="false">
      <c r="A50" s="5" t="s">
        <v>172</v>
      </c>
      <c r="B50" s="31" t="s">
        <v>126</v>
      </c>
      <c r="C50" s="38" t="n">
        <v>0.014</v>
      </c>
      <c r="D50" s="38" t="n">
        <v>0.014</v>
      </c>
      <c r="E50" s="38" t="n">
        <v>0.014</v>
      </c>
      <c r="F50" s="38" t="n">
        <v>0.014</v>
      </c>
      <c r="G50" s="38" t="n">
        <v>0.014</v>
      </c>
      <c r="H50" s="22" t="s">
        <v>173</v>
      </c>
    </row>
    <row r="51" customFormat="false" ht="15" hidden="false" customHeight="false" outlineLevel="0" collapsed="false">
      <c r="A51" s="5" t="s">
        <v>174</v>
      </c>
      <c r="B51" s="31" t="s">
        <v>126</v>
      </c>
      <c r="C51" s="38" t="n">
        <v>0.02</v>
      </c>
      <c r="D51" s="38" t="n">
        <v>0.02</v>
      </c>
      <c r="E51" s="38" t="n">
        <v>0.02</v>
      </c>
      <c r="F51" s="38" t="n">
        <v>0.02</v>
      </c>
      <c r="G51" s="38" t="n">
        <v>0.02</v>
      </c>
      <c r="H51" s="22" t="s">
        <v>175</v>
      </c>
    </row>
    <row r="53" customFormat="false" ht="15.75" hidden="false" customHeight="true" outlineLevel="0" collapsed="false">
      <c r="A53" s="25" t="s">
        <v>176</v>
      </c>
      <c r="B53" s="25"/>
      <c r="C53" s="25"/>
      <c r="D53" s="25"/>
      <c r="E53" s="25"/>
      <c r="F53" s="25"/>
      <c r="G53" s="25"/>
      <c r="H53" s="25"/>
      <c r="I53" s="25"/>
      <c r="J53" s="25"/>
    </row>
    <row r="54" customFormat="false" ht="25.35" hidden="false" customHeight="false" outlineLevel="0" collapsed="false">
      <c r="A54" s="4" t="s">
        <v>177</v>
      </c>
      <c r="B54" s="31" t="s">
        <v>126</v>
      </c>
      <c r="C54" s="38" t="n">
        <v>0.28</v>
      </c>
      <c r="D54" s="38" t="n">
        <v>0.2</v>
      </c>
      <c r="E54" s="38" t="n">
        <v>0.14</v>
      </c>
      <c r="F54" s="38" t="n">
        <v>0.11</v>
      </c>
      <c r="G54" s="38" t="n">
        <v>0.09</v>
      </c>
      <c r="H54" s="22" t="s">
        <v>178</v>
      </c>
    </row>
    <row r="55" customFormat="false" ht="15" hidden="false" customHeight="false" outlineLevel="0" collapsed="false">
      <c r="A55" s="5" t="s">
        <v>179</v>
      </c>
      <c r="B55" s="31" t="s">
        <v>126</v>
      </c>
      <c r="C55" s="38" t="n">
        <v>0.75</v>
      </c>
      <c r="H55" s="20" t="s">
        <v>180</v>
      </c>
    </row>
    <row r="56" customFormat="false" ht="15" hidden="false" customHeight="false" outlineLevel="0" collapsed="false">
      <c r="A56" s="5" t="s">
        <v>181</v>
      </c>
      <c r="B56" s="31" t="s">
        <v>126</v>
      </c>
      <c r="C56" s="38" t="n">
        <v>0.12</v>
      </c>
      <c r="H56" s="22" t="s">
        <v>182</v>
      </c>
    </row>
    <row r="57" customFormat="false" ht="15" hidden="false" customHeight="false" outlineLevel="0" collapsed="false">
      <c r="A57" s="5" t="s">
        <v>183</v>
      </c>
      <c r="B57" s="31" t="s">
        <v>126</v>
      </c>
      <c r="C57" s="38" t="n">
        <v>0.04</v>
      </c>
      <c r="H57" s="20" t="s">
        <v>184</v>
      </c>
    </row>
    <row r="58" customFormat="false" ht="15" hidden="false" customHeight="false" outlineLevel="0" collapsed="false">
      <c r="A58" s="5" t="s">
        <v>185</v>
      </c>
      <c r="B58" s="31" t="s">
        <v>126</v>
      </c>
      <c r="C58" s="38" t="n">
        <v>0.01</v>
      </c>
      <c r="H58" s="20" t="s">
        <v>186</v>
      </c>
    </row>
    <row r="59" customFormat="false" ht="15" hidden="false" customHeight="false" outlineLevel="0" collapsed="false">
      <c r="A59" s="5" t="s">
        <v>187</v>
      </c>
      <c r="B59" s="31" t="s">
        <v>126</v>
      </c>
      <c r="C59" s="38" t="n">
        <v>0.08</v>
      </c>
      <c r="H59" s="22" t="s">
        <v>188</v>
      </c>
    </row>
    <row r="61" customFormat="false" ht="15.75" hidden="false" customHeight="true" outlineLevel="0" collapsed="false">
      <c r="A61" s="25" t="s">
        <v>189</v>
      </c>
      <c r="B61" s="25"/>
      <c r="C61" s="25"/>
      <c r="D61" s="25"/>
      <c r="E61" s="25"/>
      <c r="F61" s="25"/>
      <c r="G61" s="25"/>
      <c r="H61" s="25"/>
      <c r="I61" s="25"/>
      <c r="J61" s="25"/>
    </row>
    <row r="62" customFormat="false" ht="15" hidden="false" customHeight="false" outlineLevel="0" collapsed="false">
      <c r="A62" s="5" t="s">
        <v>190</v>
      </c>
      <c r="B62" s="31" t="s">
        <v>126</v>
      </c>
      <c r="C62" s="38" t="n">
        <v>0.3</v>
      </c>
      <c r="D62" s="38" t="n">
        <v>0.3</v>
      </c>
      <c r="E62" s="38" t="n">
        <v>0.3</v>
      </c>
      <c r="F62" s="38" t="n">
        <v>0.3</v>
      </c>
      <c r="G62" s="38" t="n">
        <v>0.3</v>
      </c>
      <c r="H62" s="22" t="s">
        <v>191</v>
      </c>
    </row>
    <row r="63" customFormat="false" ht="15" hidden="false" customHeight="false" outlineLevel="0" collapsed="false">
      <c r="A63" s="5" t="s">
        <v>192</v>
      </c>
      <c r="B63" s="31" t="s">
        <v>126</v>
      </c>
      <c r="C63" s="38" t="n">
        <v>0.1</v>
      </c>
      <c r="H63" s="20" t="s">
        <v>193</v>
      </c>
    </row>
    <row r="65" customFormat="false" ht="15.75" hidden="false" customHeight="true" outlineLevel="0" collapsed="false">
      <c r="A65" s="25" t="s">
        <v>194</v>
      </c>
      <c r="B65" s="25"/>
      <c r="C65" s="25"/>
      <c r="D65" s="25"/>
      <c r="E65" s="25"/>
      <c r="F65" s="25"/>
      <c r="G65" s="25"/>
      <c r="H65" s="25"/>
      <c r="I65" s="25"/>
      <c r="J65" s="25"/>
    </row>
    <row r="66" customFormat="false" ht="15" hidden="false" customHeight="false" outlineLevel="0" collapsed="false">
      <c r="A66" s="5" t="s">
        <v>195</v>
      </c>
      <c r="B66" s="31" t="s">
        <v>126</v>
      </c>
      <c r="C66" s="38" t="n">
        <v>0.02</v>
      </c>
      <c r="H66" s="20" t="s">
        <v>196</v>
      </c>
    </row>
    <row r="67" customFormat="false" ht="15" hidden="false" customHeight="false" outlineLevel="0" collapsed="false">
      <c r="A67" s="5" t="s">
        <v>197</v>
      </c>
      <c r="B67" s="34" t="s">
        <v>102</v>
      </c>
      <c r="C67" s="39" t="n">
        <v>0</v>
      </c>
      <c r="D67" s="39" t="n">
        <v>0</v>
      </c>
      <c r="E67" s="39" t="n">
        <v>0</v>
      </c>
      <c r="F67" s="39" t="n">
        <v>0</v>
      </c>
      <c r="G67" s="39" t="n">
        <v>0</v>
      </c>
      <c r="H67" s="22" t="s">
        <v>198</v>
      </c>
    </row>
    <row r="68" customFormat="false" ht="15" hidden="false" customHeight="false" outlineLevel="0" collapsed="false">
      <c r="A68" s="5" t="s">
        <v>199</v>
      </c>
      <c r="B68" s="34" t="s">
        <v>102</v>
      </c>
      <c r="C68" s="39" t="n">
        <v>300</v>
      </c>
      <c r="D68" s="39" t="n">
        <v>300</v>
      </c>
      <c r="E68" s="39" t="n">
        <v>300</v>
      </c>
      <c r="F68" s="39" t="n">
        <v>300</v>
      </c>
      <c r="G68" s="39" t="n">
        <v>300</v>
      </c>
      <c r="H68" s="22" t="s">
        <v>200</v>
      </c>
    </row>
    <row r="69" customFormat="false" ht="15" hidden="false" customHeight="false" outlineLevel="0" collapsed="false">
      <c r="A69" s="5" t="s">
        <v>201</v>
      </c>
      <c r="B69" s="34" t="s">
        <v>102</v>
      </c>
      <c r="C69" s="39" t="n">
        <v>500</v>
      </c>
      <c r="D69" s="39" t="n">
        <v>500</v>
      </c>
      <c r="E69" s="39" t="n">
        <v>500</v>
      </c>
      <c r="F69" s="39" t="n">
        <v>500</v>
      </c>
      <c r="G69" s="39" t="n">
        <v>500</v>
      </c>
      <c r="H69" s="22" t="s">
        <v>202</v>
      </c>
    </row>
    <row r="70" customFormat="false" ht="15" hidden="false" customHeight="false" outlineLevel="0" collapsed="false">
      <c r="A70" s="5" t="s">
        <v>203</v>
      </c>
      <c r="B70" s="34" t="s">
        <v>102</v>
      </c>
      <c r="C70" s="39" t="n">
        <v>20</v>
      </c>
      <c r="D70" s="39" t="n">
        <v>20</v>
      </c>
      <c r="E70" s="39" t="n">
        <v>20</v>
      </c>
      <c r="F70" s="39" t="n">
        <v>20</v>
      </c>
      <c r="G70" s="39" t="n">
        <v>20</v>
      </c>
      <c r="H70" s="22" t="s">
        <v>204</v>
      </c>
    </row>
    <row r="71" customFormat="false" ht="15" hidden="false" customHeight="false" outlineLevel="0" collapsed="false">
      <c r="A71" s="5" t="s">
        <v>205</v>
      </c>
      <c r="B71" s="31" t="s">
        <v>126</v>
      </c>
      <c r="C71" s="38" t="n">
        <v>0.03</v>
      </c>
      <c r="H71" s="20" t="s">
        <v>206</v>
      </c>
    </row>
    <row r="72" customFormat="false" ht="15" hidden="false" customHeight="false" outlineLevel="0" collapsed="false">
      <c r="A72" s="5" t="s">
        <v>207</v>
      </c>
      <c r="B72" s="31" t="s">
        <v>126</v>
      </c>
      <c r="C72" s="38" t="n">
        <v>0.034</v>
      </c>
      <c r="H72" s="20" t="s">
        <v>208</v>
      </c>
    </row>
    <row r="73" customFormat="false" ht="15" hidden="false" customHeight="false" outlineLevel="0" collapsed="false">
      <c r="A73" s="5" t="s">
        <v>209</v>
      </c>
      <c r="B73" s="31" t="s">
        <v>126</v>
      </c>
      <c r="C73" s="38" t="n">
        <v>0.037</v>
      </c>
      <c r="H73" s="20" t="s">
        <v>210</v>
      </c>
    </row>
    <row r="74" customFormat="false" ht="15" hidden="false" customHeight="false" outlineLevel="0" collapsed="false">
      <c r="A74" s="5" t="s">
        <v>211</v>
      </c>
      <c r="B74" s="31" t="s">
        <v>126</v>
      </c>
      <c r="C74" s="38" t="n">
        <v>0.045</v>
      </c>
      <c r="H74" s="20" t="s">
        <v>212</v>
      </c>
    </row>
    <row r="75" customFormat="false" ht="15" hidden="false" customHeight="false" outlineLevel="0" collapsed="false">
      <c r="A75" s="5" t="s">
        <v>213</v>
      </c>
      <c r="B75" s="31" t="s">
        <v>126</v>
      </c>
      <c r="C75" s="38" t="n">
        <v>0.012</v>
      </c>
      <c r="H75" s="20" t="s">
        <v>214</v>
      </c>
    </row>
    <row r="76" customFormat="false" ht="15" hidden="false" customHeight="false" outlineLevel="0" collapsed="false">
      <c r="A76" s="5" t="s">
        <v>215</v>
      </c>
      <c r="B76" s="34" t="s">
        <v>102</v>
      </c>
      <c r="C76" s="39" t="n">
        <v>30</v>
      </c>
      <c r="H76" s="20" t="s">
        <v>216</v>
      </c>
    </row>
    <row r="77" customFormat="false" ht="15" hidden="false" customHeight="false" outlineLevel="0" collapsed="false">
      <c r="A77" s="4" t="s">
        <v>217</v>
      </c>
      <c r="B77" s="34" t="s">
        <v>102</v>
      </c>
      <c r="C77" s="36" t="n">
        <v>6445.6</v>
      </c>
      <c r="H77" s="28" t="s">
        <v>218</v>
      </c>
    </row>
    <row r="79" customFormat="false" ht="15.75" hidden="false" customHeight="true" outlineLevel="0" collapsed="false">
      <c r="A79" s="25" t="s">
        <v>219</v>
      </c>
      <c r="B79" s="25"/>
      <c r="C79" s="25"/>
      <c r="D79" s="25"/>
      <c r="E79" s="25"/>
      <c r="F79" s="25"/>
      <c r="G79" s="25"/>
      <c r="H79" s="25"/>
      <c r="I79" s="25"/>
      <c r="J79" s="25"/>
    </row>
    <row r="80" customFormat="false" ht="15" hidden="false" customHeight="false" outlineLevel="0" collapsed="false">
      <c r="A80" s="5" t="s">
        <v>220</v>
      </c>
      <c r="B80" s="31" t="s">
        <v>126</v>
      </c>
      <c r="C80" s="38" t="n">
        <v>0.02</v>
      </c>
      <c r="H80" s="22" t="s">
        <v>221</v>
      </c>
    </row>
    <row r="81" customFormat="false" ht="15" hidden="false" customHeight="false" outlineLevel="0" collapsed="false">
      <c r="A81" s="5" t="s">
        <v>222</v>
      </c>
      <c r="B81" s="31" t="s">
        <v>126</v>
      </c>
      <c r="C81" s="38" t="n">
        <v>0.055</v>
      </c>
      <c r="H81" s="22" t="s">
        <v>223</v>
      </c>
    </row>
    <row r="82" customFormat="false" ht="15" hidden="false" customHeight="false" outlineLevel="0" collapsed="false">
      <c r="A82" s="5" t="s">
        <v>224</v>
      </c>
      <c r="B82" s="31" t="s">
        <v>225</v>
      </c>
      <c r="C82" s="41" t="n">
        <f aca="false">Relative_Val!$O$10</f>
        <v>1.010828480948</v>
      </c>
      <c r="H82" s="28" t="s">
        <v>226</v>
      </c>
    </row>
    <row r="83" customFormat="false" ht="15" hidden="false" customHeight="false" outlineLevel="0" collapsed="false">
      <c r="A83" s="5" t="s">
        <v>227</v>
      </c>
      <c r="B83" s="31" t="s">
        <v>126</v>
      </c>
      <c r="C83" s="19" t="n">
        <f aca="false">C77/(C77+C9)</f>
        <v>0.0237672254400759</v>
      </c>
      <c r="H83" s="28" t="s">
        <v>228</v>
      </c>
    </row>
    <row r="84" customFormat="false" ht="15" hidden="false" customHeight="false" outlineLevel="0" collapsed="false">
      <c r="A84" s="5" t="s">
        <v>229</v>
      </c>
      <c r="B84" s="31" t="s">
        <v>225</v>
      </c>
      <c r="C84" s="41" t="n">
        <f aca="false">C83/(1-C83)</f>
        <v>0.0243458589584742</v>
      </c>
      <c r="H84" s="26" t="s">
        <v>230</v>
      </c>
    </row>
    <row r="85" customFormat="false" ht="15" hidden="false" customHeight="false" outlineLevel="0" collapsed="false">
      <c r="A85" s="5" t="s">
        <v>231</v>
      </c>
      <c r="B85" s="31" t="s">
        <v>225</v>
      </c>
      <c r="C85" s="41" t="n">
        <f aca="false">C82*(1+(1-C41)*C84)</f>
        <v>1.03186959287026</v>
      </c>
      <c r="H85" s="26" t="s">
        <v>232</v>
      </c>
    </row>
    <row r="86" customFormat="false" ht="25.35" hidden="false" customHeight="false" outlineLevel="0" collapsed="false">
      <c r="A86" s="5" t="s">
        <v>233</v>
      </c>
      <c r="B86" s="31" t="s">
        <v>126</v>
      </c>
      <c r="C86" s="38" t="n">
        <v>0</v>
      </c>
      <c r="H86" s="20" t="s">
        <v>234</v>
      </c>
    </row>
    <row r="87" customFormat="false" ht="15" hidden="false" customHeight="false" outlineLevel="0" collapsed="false">
      <c r="A87" s="5" t="s">
        <v>235</v>
      </c>
      <c r="B87" s="31" t="s">
        <v>126</v>
      </c>
      <c r="C87" s="19" t="n">
        <f aca="false">C80+C85*C81+C86</f>
        <v>0.0767528276078642</v>
      </c>
      <c r="H87" s="26" t="s">
        <v>236</v>
      </c>
    </row>
    <row r="88" customFormat="false" ht="15" hidden="false" customHeight="false" outlineLevel="0" collapsed="false">
      <c r="A88" s="5" t="s">
        <v>237</v>
      </c>
      <c r="B88" s="31" t="s">
        <v>126</v>
      </c>
      <c r="C88" s="38" t="n">
        <v>0.034</v>
      </c>
      <c r="H88" s="22" t="s">
        <v>238</v>
      </c>
    </row>
    <row r="89" customFormat="false" ht="15" hidden="false" customHeight="false" outlineLevel="0" collapsed="false">
      <c r="A89" s="4" t="s">
        <v>239</v>
      </c>
      <c r="B89" s="31" t="s">
        <v>126</v>
      </c>
      <c r="C89" s="19" t="n">
        <f aca="false">(1-C83)*C87+C83*C88*(1-C41)</f>
        <v>0.0756195390944878</v>
      </c>
      <c r="H89" s="28" t="s">
        <v>240</v>
      </c>
    </row>
    <row r="90" customFormat="false" ht="15" hidden="false" customHeight="false" outlineLevel="0" collapsed="false">
      <c r="A90" s="4" t="s">
        <v>241</v>
      </c>
      <c r="B90" s="31" t="s">
        <v>126</v>
      </c>
      <c r="C90" s="38"/>
      <c r="H90" s="28" t="s">
        <v>242</v>
      </c>
    </row>
    <row r="91" customFormat="false" ht="15" hidden="false" customHeight="false" outlineLevel="0" collapsed="false">
      <c r="A91" s="4" t="s">
        <v>243</v>
      </c>
      <c r="B91" s="31" t="s">
        <v>126</v>
      </c>
      <c r="C91" s="24" t="n">
        <f aca="false">IF(C90="",C89,C90)</f>
        <v>0.0756195390944878</v>
      </c>
      <c r="H91" s="28" t="s">
        <v>244</v>
      </c>
    </row>
    <row r="92" customFormat="false" ht="15" hidden="false" customHeight="false" outlineLevel="0" collapsed="false">
      <c r="A92" s="5" t="s">
        <v>245</v>
      </c>
      <c r="B92" s="31" t="s">
        <v>126</v>
      </c>
      <c r="C92" s="38" t="n">
        <v>0.03</v>
      </c>
      <c r="H92" s="20" t="s">
        <v>246</v>
      </c>
    </row>
    <row r="94" customFormat="false" ht="15.75" hidden="false" customHeight="true" outlineLevel="0" collapsed="false">
      <c r="A94" s="25" t="s">
        <v>247</v>
      </c>
      <c r="B94" s="25"/>
      <c r="C94" s="25"/>
      <c r="D94" s="25"/>
      <c r="E94" s="25"/>
      <c r="F94" s="25"/>
      <c r="G94" s="25"/>
      <c r="H94" s="25"/>
      <c r="I94" s="25"/>
      <c r="J94" s="25"/>
    </row>
    <row r="95" customFormat="false" ht="15" hidden="false" customHeight="false" outlineLevel="0" collapsed="false">
      <c r="A95" s="3" t="s">
        <v>248</v>
      </c>
      <c r="C95" s="42" t="s">
        <v>249</v>
      </c>
      <c r="D95" s="42" t="s">
        <v>250</v>
      </c>
      <c r="H95" s="3" t="s">
        <v>251</v>
      </c>
    </row>
    <row r="96" customFormat="false" ht="15" hidden="false" customHeight="false" outlineLevel="0" collapsed="false">
      <c r="A96" s="43" t="s">
        <v>252</v>
      </c>
      <c r="C96" s="38" t="n">
        <v>-0.15</v>
      </c>
      <c r="D96" s="38" t="n">
        <v>-0.03</v>
      </c>
      <c r="H96" s="26" t="s">
        <v>253</v>
      </c>
    </row>
    <row r="97" customFormat="false" ht="15" hidden="false" customHeight="false" outlineLevel="0" collapsed="false">
      <c r="A97" s="3" t="s">
        <v>254</v>
      </c>
      <c r="C97" s="38" t="n">
        <v>0</v>
      </c>
      <c r="D97" s="38" t="n">
        <v>0</v>
      </c>
      <c r="H97" s="26" t="s">
        <v>255</v>
      </c>
    </row>
    <row r="98" customFormat="false" ht="15" hidden="false" customHeight="false" outlineLevel="0" collapsed="false">
      <c r="A98" s="3" t="s">
        <v>256</v>
      </c>
      <c r="C98" s="38" t="n">
        <v>0.1</v>
      </c>
      <c r="D98" s="38" t="n">
        <v>0.015</v>
      </c>
      <c r="H98" s="26" t="s">
        <v>257</v>
      </c>
    </row>
  </sheetData>
  <mergeCells count="13">
    <mergeCell ref="A1:J1"/>
    <mergeCell ref="A2:J2"/>
    <mergeCell ref="A4:J4"/>
    <mergeCell ref="A11:J11"/>
    <mergeCell ref="A21:J21"/>
    <mergeCell ref="A29:J29"/>
    <mergeCell ref="A34:J34"/>
    <mergeCell ref="A45:J45"/>
    <mergeCell ref="A53:J53"/>
    <mergeCell ref="A61:J61"/>
    <mergeCell ref="A65:J65"/>
    <mergeCell ref="A79:J79"/>
    <mergeCell ref="A94:J9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81.88"/>
  </cols>
  <sheetData>
    <row r="1" customFormat="false" ht="24" hidden="false" customHeight="true" outlineLevel="0" collapsed="false">
      <c r="A1" s="14" t="s">
        <v>258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259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265</v>
      </c>
      <c r="B4" s="36" t="n">
        <v>7931.2</v>
      </c>
      <c r="C4" s="36" t="n">
        <v>10731.5</v>
      </c>
      <c r="D4" s="36" t="n">
        <v>19292.3</v>
      </c>
      <c r="J4" s="28" t="s">
        <v>266</v>
      </c>
    </row>
    <row r="5" customFormat="false" ht="15.75" hidden="false" customHeight="true" outlineLevel="0" collapsed="false">
      <c r="A5" s="45" t="s">
        <v>267</v>
      </c>
      <c r="B5" s="45"/>
      <c r="C5" s="45"/>
      <c r="D5" s="45"/>
      <c r="E5" s="45"/>
      <c r="F5" s="45"/>
      <c r="G5" s="45"/>
      <c r="H5" s="45"/>
      <c r="I5" s="45"/>
      <c r="J5" s="45"/>
    </row>
    <row r="6" customFormat="false" ht="15" hidden="false" customHeight="false" outlineLevel="0" collapsed="false">
      <c r="A6" s="5" t="s">
        <v>268</v>
      </c>
      <c r="B6" s="9" t="n">
        <f aca="false">B7*B$4</f>
        <v>927.9504</v>
      </c>
      <c r="C6" s="9" t="n">
        <f aca="false">C7*C$4</f>
        <v>1523.873</v>
      </c>
      <c r="D6" s="9" t="n">
        <f aca="false">D7*D$4</f>
        <v>7427.5355</v>
      </c>
      <c r="E6" s="9" t="n">
        <f aca="false">D6*(1+E8)*(1+E9)</f>
        <v>17380.43307</v>
      </c>
      <c r="F6" s="9" t="n">
        <f aca="false">E6*(1+F8)*(1+F9)</f>
        <v>31145.73606144</v>
      </c>
      <c r="G6" s="9" t="n">
        <f aca="false">F6*(1+G8)*(1+G9)</f>
        <v>44569.5483039206</v>
      </c>
      <c r="H6" s="9" t="n">
        <f aca="false">G6*(1+H8)*(1+H9)</f>
        <v>55462.3459093989</v>
      </c>
      <c r="I6" s="9" t="n">
        <f aca="false">H6*(1+I8)*(1+I9)</f>
        <v>63227.0743367147</v>
      </c>
    </row>
    <row r="7" customFormat="false" ht="15" hidden="false" customHeight="false" outlineLevel="0" collapsed="false">
      <c r="A7" s="5" t="s">
        <v>269</v>
      </c>
      <c r="B7" s="46" t="n">
        <v>0.117</v>
      </c>
      <c r="C7" s="46" t="n">
        <v>0.142</v>
      </c>
      <c r="D7" s="46" t="n">
        <v>0.385</v>
      </c>
      <c r="E7" s="19" t="n">
        <f aca="false">E6/E29</f>
        <v>0.524470150668299</v>
      </c>
      <c r="F7" s="19" t="n">
        <f aca="false">F6/F29</f>
        <v>0.613146383043952</v>
      </c>
      <c r="G7" s="19" t="n">
        <f aca="false">G6/G29</f>
        <v>0.657388973769419</v>
      </c>
      <c r="H7" s="19" t="n">
        <f aca="false">H6/H29</f>
        <v>0.681563214403618</v>
      </c>
      <c r="I7" s="19" t="n">
        <f aca="false">I6/I29</f>
        <v>0.694610551341772</v>
      </c>
      <c r="J7" s="28" t="s">
        <v>270</v>
      </c>
    </row>
    <row r="8" customFormat="false" ht="15" hidden="false" customHeight="false" outlineLevel="0" collapsed="false">
      <c r="A8" s="5" t="s">
        <v>271</v>
      </c>
      <c r="B8" s="34" t="s">
        <v>272</v>
      </c>
      <c r="C8" s="34" t="s">
        <v>272</v>
      </c>
      <c r="D8" s="34" t="s">
        <v>272</v>
      </c>
      <c r="E8" s="19" t="n">
        <f aca="false">(Assumptions!C$23+CHOOSE(Assumptions!$C$5,Assumptions!$C$96,Assumptions!$C$97,Assumptions!$C$98))</f>
        <v>0.95</v>
      </c>
      <c r="F8" s="19" t="n">
        <f aca="false">(Assumptions!D$23+CHOOSE(Assumptions!$C$5,Assumptions!$C$96,Assumptions!$C$97,Assumptions!$C$98))</f>
        <v>0.6</v>
      </c>
      <c r="G8" s="19" t="n">
        <f aca="false">(Assumptions!E$23+CHOOSE(Assumptions!$C$5,Assumptions!$C$96,Assumptions!$C$97,Assumptions!$C$98))</f>
        <v>0.35</v>
      </c>
      <c r="H8" s="19" t="n">
        <f aca="false">(Assumptions!F$23+CHOOSE(Assumptions!$C$5,Assumptions!$C$96,Assumptions!$C$97,Assumptions!$C$98))</f>
        <v>0.22</v>
      </c>
      <c r="I8" s="19" t="n">
        <f aca="false">(Assumptions!G$23+CHOOSE(Assumptions!$C$5,Assumptions!$C$96,Assumptions!$C$97,Assumptions!$C$98))</f>
        <v>0.14</v>
      </c>
      <c r="J8" s="28" t="s">
        <v>273</v>
      </c>
    </row>
    <row r="9" customFormat="false" ht="15" hidden="false" customHeight="false" outlineLevel="0" collapsed="false">
      <c r="A9" s="4" t="s">
        <v>274</v>
      </c>
      <c r="B9" s="34" t="s">
        <v>272</v>
      </c>
      <c r="C9" s="34" t="s">
        <v>272</v>
      </c>
      <c r="D9" s="34" t="s">
        <v>272</v>
      </c>
      <c r="E9" s="19" t="n">
        <f aca="false">Assumptions!C$24</f>
        <v>0.2</v>
      </c>
      <c r="F9" s="19" t="n">
        <f aca="false">Assumptions!D$24</f>
        <v>0.12</v>
      </c>
      <c r="G9" s="19" t="n">
        <f aca="false">Assumptions!E$24</f>
        <v>0.06</v>
      </c>
      <c r="H9" s="19" t="n">
        <f aca="false">Assumptions!F$24</f>
        <v>0.02</v>
      </c>
      <c r="I9" s="19" t="n">
        <f aca="false">Assumptions!G$24</f>
        <v>0</v>
      </c>
    </row>
    <row r="10" customFormat="false" ht="15" hidden="false" customHeight="false" outlineLevel="0" collapsed="false">
      <c r="A10" s="5" t="s">
        <v>275</v>
      </c>
      <c r="B10" s="46" t="n">
        <v>0.147</v>
      </c>
      <c r="C10" s="46" t="n">
        <v>0.225</v>
      </c>
      <c r="D10" s="46" t="n">
        <v>0.435</v>
      </c>
      <c r="E10" s="19" t="n">
        <f aca="false">(Assumptions!C$30+CHOOSE(Assumptions!$C$5,Assumptions!$D$96,Assumptions!$D$97,Assumptions!$D$98))</f>
        <v>0.45</v>
      </c>
      <c r="F10" s="19" t="n">
        <f aca="false">(Assumptions!D$30+CHOOSE(Assumptions!$C$5,Assumptions!$D$96,Assumptions!$D$97,Assumptions!$D$98))</f>
        <v>0.44</v>
      </c>
      <c r="G10" s="19" t="n">
        <f aca="false">(Assumptions!E$30+CHOOSE(Assumptions!$C$5,Assumptions!$D$96,Assumptions!$D$97,Assumptions!$D$98))</f>
        <v>0.425</v>
      </c>
      <c r="H10" s="19" t="n">
        <f aca="false">(Assumptions!F$30+CHOOSE(Assumptions!$C$5,Assumptions!$D$96,Assumptions!$D$97,Assumptions!$D$98))</f>
        <v>0.41</v>
      </c>
      <c r="I10" s="19" t="n">
        <f aca="false">(Assumptions!G$30+CHOOSE(Assumptions!$C$5,Assumptions!$D$96,Assumptions!$D$97,Assumptions!$D$98))</f>
        <v>0.4</v>
      </c>
      <c r="J10" s="28" t="s">
        <v>276</v>
      </c>
    </row>
    <row r="11" customFormat="false" ht="15" hidden="false" customHeight="false" outlineLevel="0" collapsed="false">
      <c r="A11" s="5" t="s">
        <v>277</v>
      </c>
      <c r="B11" s="9" t="n">
        <f aca="false">B6*B10</f>
        <v>136.4087088</v>
      </c>
      <c r="C11" s="9" t="n">
        <f aca="false">C6*C10</f>
        <v>342.871425</v>
      </c>
      <c r="D11" s="9" t="n">
        <f aca="false">D6*D10</f>
        <v>3230.9779425</v>
      </c>
      <c r="E11" s="9" t="n">
        <f aca="false">E6*E10</f>
        <v>7821.1948815</v>
      </c>
      <c r="F11" s="9" t="n">
        <f aca="false">F6*F10</f>
        <v>13704.1238670336</v>
      </c>
      <c r="G11" s="9" t="n">
        <f aca="false">G6*G10</f>
        <v>18942.0580291663</v>
      </c>
      <c r="H11" s="9" t="n">
        <f aca="false">H6*H10</f>
        <v>22739.5618228535</v>
      </c>
      <c r="I11" s="9" t="n">
        <f aca="false">I6*I10</f>
        <v>25290.8297346859</v>
      </c>
    </row>
    <row r="12" customFormat="false" ht="15" hidden="false" customHeight="true" outlineLevel="0" collapsed="false">
      <c r="A12" s="13" t="s">
        <v>278</v>
      </c>
      <c r="B12" s="13"/>
      <c r="C12" s="13"/>
      <c r="D12" s="13"/>
      <c r="E12" s="13"/>
      <c r="F12" s="13"/>
      <c r="G12" s="13"/>
      <c r="H12" s="13"/>
      <c r="I12" s="13"/>
      <c r="J12" s="13"/>
    </row>
    <row r="13" customFormat="false" ht="15.75" hidden="false" customHeight="true" outlineLevel="0" collapsed="false">
      <c r="A13" s="25" t="s">
        <v>279</v>
      </c>
      <c r="B13" s="25"/>
      <c r="C13" s="25"/>
      <c r="D13" s="25"/>
      <c r="E13" s="25"/>
      <c r="F13" s="25"/>
      <c r="G13" s="25"/>
      <c r="H13" s="25"/>
      <c r="I13" s="25"/>
      <c r="J13" s="25"/>
    </row>
    <row r="14" customFormat="false" ht="15" hidden="false" customHeight="false" outlineLevel="0" collapsed="false">
      <c r="A14" s="5" t="s">
        <v>268</v>
      </c>
      <c r="B14" s="9" t="n">
        <f aca="false">B15*B$4</f>
        <v>5789.776</v>
      </c>
      <c r="C14" s="9" t="n">
        <f aca="false">C15*C$4</f>
        <v>6170.6125</v>
      </c>
      <c r="D14" s="9" t="n">
        <f aca="false">D15*D$4</f>
        <v>8314.9813</v>
      </c>
      <c r="E14" s="9" t="n">
        <f aca="false">D14*(1+E16)*(1+E17)</f>
        <v>11853.83734128</v>
      </c>
      <c r="F14" s="9" t="n">
        <f aca="false">E14*(1+F16)*(1+F17)</f>
        <v>15433.6962183466</v>
      </c>
      <c r="G14" s="9" t="n">
        <f aca="false">F14*(1+G16)*(1+G17)</f>
        <v>18758.1143837784</v>
      </c>
      <c r="H14" s="9" t="n">
        <f aca="false">G14*(1+H16)*(1+H17)</f>
        <v>21219.1789909301</v>
      </c>
      <c r="I14" s="9" t="n">
        <f aca="false">H14*(1+I16)*(1+I17)</f>
        <v>22916.7133102045</v>
      </c>
    </row>
    <row r="15" customFormat="false" ht="15" hidden="false" customHeight="false" outlineLevel="0" collapsed="false">
      <c r="A15" s="5" t="s">
        <v>269</v>
      </c>
      <c r="B15" s="46" t="n">
        <v>0.73</v>
      </c>
      <c r="C15" s="46" t="n">
        <v>0.575</v>
      </c>
      <c r="D15" s="46" t="n">
        <v>0.431</v>
      </c>
      <c r="E15" s="19" t="n">
        <f aca="false">E14/E29</f>
        <v>0.357700169572278</v>
      </c>
      <c r="F15" s="19" t="n">
        <f aca="false">F14/F29</f>
        <v>0.303833404181259</v>
      </c>
      <c r="G15" s="19" t="n">
        <f aca="false">G14/G29</f>
        <v>0.27667719404544</v>
      </c>
      <c r="H15" s="19" t="n">
        <f aca="false">H14/H29</f>
        <v>0.260757304851277</v>
      </c>
      <c r="I15" s="19" t="n">
        <f aca="false">I14/I29</f>
        <v>0.251762255874286</v>
      </c>
      <c r="J15" s="28" t="s">
        <v>270</v>
      </c>
    </row>
    <row r="16" customFormat="false" ht="15" hidden="false" customHeight="false" outlineLevel="0" collapsed="false">
      <c r="A16" s="5" t="s">
        <v>271</v>
      </c>
      <c r="B16" s="34" t="s">
        <v>272</v>
      </c>
      <c r="C16" s="34" t="s">
        <v>272</v>
      </c>
      <c r="D16" s="34" t="s">
        <v>272</v>
      </c>
      <c r="E16" s="19" t="n">
        <f aca="false">(Assumptions!C$25+CHOOSE(Assumptions!$C$5,Assumptions!$C$96,Assumptions!$C$97,Assumptions!$C$98))</f>
        <v>0.32</v>
      </c>
      <c r="F16" s="19" t="n">
        <f aca="false">(Assumptions!D$25+CHOOSE(Assumptions!$C$5,Assumptions!$C$96,Assumptions!$C$97,Assumptions!$C$98))</f>
        <v>0.24</v>
      </c>
      <c r="G16" s="19" t="n">
        <f aca="false">(Assumptions!E$25+CHOOSE(Assumptions!$C$5,Assumptions!$C$96,Assumptions!$C$97,Assumptions!$C$98))</f>
        <v>0.18</v>
      </c>
      <c r="H16" s="19" t="n">
        <f aca="false">(Assumptions!F$25+CHOOSE(Assumptions!$C$5,Assumptions!$C$96,Assumptions!$C$97,Assumptions!$C$98))</f>
        <v>0.12</v>
      </c>
      <c r="I16" s="19" t="n">
        <f aca="false">(Assumptions!G$25+CHOOSE(Assumptions!$C$5,Assumptions!$C$96,Assumptions!$C$97,Assumptions!$C$98))</f>
        <v>0.08</v>
      </c>
      <c r="J16" s="28" t="s">
        <v>273</v>
      </c>
    </row>
    <row r="17" customFormat="false" ht="15" hidden="false" customHeight="false" outlineLevel="0" collapsed="false">
      <c r="A17" s="4" t="s">
        <v>274</v>
      </c>
      <c r="B17" s="34" t="s">
        <v>272</v>
      </c>
      <c r="C17" s="34" t="s">
        <v>272</v>
      </c>
      <c r="D17" s="34" t="s">
        <v>272</v>
      </c>
      <c r="E17" s="19" t="n">
        <f aca="false">Assumptions!C$26</f>
        <v>0.08</v>
      </c>
      <c r="F17" s="19" t="n">
        <f aca="false">Assumptions!D$26</f>
        <v>0.05</v>
      </c>
      <c r="G17" s="19" t="n">
        <f aca="false">Assumptions!E$26</f>
        <v>0.03</v>
      </c>
      <c r="H17" s="19" t="n">
        <f aca="false">Assumptions!F$26</f>
        <v>0.01</v>
      </c>
      <c r="I17" s="19" t="n">
        <f aca="false">Assumptions!G$26</f>
        <v>0</v>
      </c>
    </row>
    <row r="18" customFormat="false" ht="15" hidden="false" customHeight="false" outlineLevel="0" collapsed="false">
      <c r="A18" s="5" t="s">
        <v>275</v>
      </c>
      <c r="B18" s="46" t="n">
        <v>0.161</v>
      </c>
      <c r="C18" s="46" t="n">
        <v>0.152</v>
      </c>
      <c r="D18" s="46" t="n">
        <v>0.244</v>
      </c>
      <c r="E18" s="19" t="n">
        <f aca="false">(Assumptions!C$31+CHOOSE(Assumptions!$C$5,Assumptions!$D$96,Assumptions!$D$97,Assumptions!$D$98))</f>
        <v>0.27</v>
      </c>
      <c r="F18" s="19" t="n">
        <f aca="false">(Assumptions!D$31+CHOOSE(Assumptions!$C$5,Assumptions!$D$96,Assumptions!$D$97,Assumptions!$D$98))</f>
        <v>0.275</v>
      </c>
      <c r="G18" s="19" t="n">
        <f aca="false">(Assumptions!E$31+CHOOSE(Assumptions!$C$5,Assumptions!$D$96,Assumptions!$D$97,Assumptions!$D$98))</f>
        <v>0.27</v>
      </c>
      <c r="H18" s="19" t="n">
        <f aca="false">(Assumptions!F$31+CHOOSE(Assumptions!$C$5,Assumptions!$D$96,Assumptions!$D$97,Assumptions!$D$98))</f>
        <v>0.26</v>
      </c>
      <c r="I18" s="19" t="n">
        <f aca="false">(Assumptions!G$31+CHOOSE(Assumptions!$C$5,Assumptions!$D$96,Assumptions!$D$97,Assumptions!$D$98))</f>
        <v>0.25</v>
      </c>
      <c r="J18" s="28" t="s">
        <v>276</v>
      </c>
    </row>
    <row r="19" customFormat="false" ht="15" hidden="false" customHeight="false" outlineLevel="0" collapsed="false">
      <c r="A19" s="5" t="s">
        <v>277</v>
      </c>
      <c r="B19" s="9" t="n">
        <f aca="false">B14*B18</f>
        <v>932.153936</v>
      </c>
      <c r="C19" s="9" t="n">
        <f aca="false">C14*C18</f>
        <v>937.9331</v>
      </c>
      <c r="D19" s="9" t="n">
        <f aca="false">D14*D18</f>
        <v>2028.8554372</v>
      </c>
      <c r="E19" s="9" t="n">
        <f aca="false">E14*E18</f>
        <v>3200.5360821456</v>
      </c>
      <c r="F19" s="9" t="n">
        <f aca="false">F14*F18</f>
        <v>4244.2664600453</v>
      </c>
      <c r="G19" s="9" t="n">
        <f aca="false">G14*G18</f>
        <v>5064.69088362017</v>
      </c>
      <c r="H19" s="9" t="n">
        <f aca="false">H14*H18</f>
        <v>5516.98653764184</v>
      </c>
      <c r="I19" s="9" t="n">
        <f aca="false">I14*I18</f>
        <v>5729.17832755114</v>
      </c>
    </row>
    <row r="20" customFormat="false" ht="15" hidden="false" customHeight="true" outlineLevel="0" collapsed="false">
      <c r="A20" s="13" t="s">
        <v>280</v>
      </c>
      <c r="B20" s="13"/>
      <c r="C20" s="13"/>
      <c r="D20" s="13"/>
      <c r="E20" s="13"/>
      <c r="F20" s="13"/>
      <c r="G20" s="13"/>
      <c r="H20" s="13"/>
      <c r="I20" s="13"/>
      <c r="J20" s="13"/>
    </row>
    <row r="21" customFormat="false" ht="15.75" hidden="false" customHeight="true" outlineLevel="0" collapsed="false">
      <c r="A21" s="25" t="s">
        <v>281</v>
      </c>
      <c r="B21" s="25"/>
      <c r="C21" s="25"/>
      <c r="D21" s="25"/>
      <c r="E21" s="25"/>
      <c r="F21" s="25"/>
      <c r="G21" s="25"/>
      <c r="H21" s="25"/>
      <c r="I21" s="25"/>
      <c r="J21" s="25"/>
    </row>
    <row r="22" customFormat="false" ht="15" hidden="false" customHeight="false" outlineLevel="0" collapsed="false">
      <c r="A22" s="5" t="s">
        <v>268</v>
      </c>
      <c r="B22" s="9" t="n">
        <f aca="false">B23*B$4</f>
        <v>1213.4736</v>
      </c>
      <c r="C22" s="9" t="n">
        <f aca="false">C23*C$4</f>
        <v>3037.0145</v>
      </c>
      <c r="D22" s="9" t="n">
        <f aca="false">D23*D$4</f>
        <v>3549.7832</v>
      </c>
      <c r="E22" s="9" t="n">
        <f aca="false">D22*(1+E24)</f>
        <v>3904.76152</v>
      </c>
      <c r="F22" s="9" t="n">
        <f aca="false">E22*(1+F24)</f>
        <v>4217.1424416</v>
      </c>
      <c r="G22" s="9" t="n">
        <f aca="false">F22*(1+G24)</f>
        <v>4470.170988096</v>
      </c>
      <c r="H22" s="9" t="n">
        <f aca="false">G22*(1+H24)</f>
        <v>4693.6795375008</v>
      </c>
      <c r="I22" s="9" t="n">
        <f aca="false">H22*(1+I24)</f>
        <v>4881.42671900083</v>
      </c>
    </row>
    <row r="23" customFormat="false" ht="15" hidden="false" customHeight="false" outlineLevel="0" collapsed="false">
      <c r="A23" s="5" t="s">
        <v>269</v>
      </c>
      <c r="B23" s="46" t="n">
        <v>0.153</v>
      </c>
      <c r="C23" s="46" t="n">
        <v>0.283</v>
      </c>
      <c r="D23" s="46" t="n">
        <v>0.184</v>
      </c>
      <c r="E23" s="19" t="n">
        <f aca="false">E22/E29</f>
        <v>0.117829679759423</v>
      </c>
      <c r="F23" s="19" t="n">
        <f aca="false">F22/F29</f>
        <v>0.0830202127747894</v>
      </c>
      <c r="G23" s="19" t="n">
        <f aca="false">G22/G29</f>
        <v>0.0659338321851414</v>
      </c>
      <c r="H23" s="19" t="n">
        <f aca="false">H22/H29</f>
        <v>0.0576794807451052</v>
      </c>
      <c r="I23" s="19" t="n">
        <f aca="false">I22/I29</f>
        <v>0.0536271927839419</v>
      </c>
      <c r="J23" s="28" t="s">
        <v>270</v>
      </c>
    </row>
    <row r="24" customFormat="false" ht="15" hidden="false" customHeight="false" outlineLevel="0" collapsed="false">
      <c r="A24" s="5" t="s">
        <v>282</v>
      </c>
      <c r="B24" s="34" t="s">
        <v>272</v>
      </c>
      <c r="C24" s="34" t="s">
        <v>272</v>
      </c>
      <c r="D24" s="34" t="s">
        <v>272</v>
      </c>
      <c r="E24" s="19" t="n">
        <f aca="false">(Assumptions!C$27+CHOOSE(Assumptions!$C$5,Assumptions!$C$96,Assumptions!$C$97,Assumptions!$C$98))</f>
        <v>0.1</v>
      </c>
      <c r="F24" s="19" t="n">
        <f aca="false">(Assumptions!D$27+CHOOSE(Assumptions!$C$5,Assumptions!$C$96,Assumptions!$C$97,Assumptions!$C$98))</f>
        <v>0.08</v>
      </c>
      <c r="G24" s="19" t="n">
        <f aca="false">(Assumptions!E$27+CHOOSE(Assumptions!$C$5,Assumptions!$C$96,Assumptions!$C$97,Assumptions!$C$98))</f>
        <v>0.06</v>
      </c>
      <c r="H24" s="19" t="n">
        <f aca="false">(Assumptions!F$27+CHOOSE(Assumptions!$C$5,Assumptions!$C$96,Assumptions!$C$97,Assumptions!$C$98))</f>
        <v>0.05</v>
      </c>
      <c r="I24" s="19" t="n">
        <f aca="false">(Assumptions!G$27+CHOOSE(Assumptions!$C$5,Assumptions!$C$96,Assumptions!$C$97,Assumptions!$C$98))</f>
        <v>0.04</v>
      </c>
      <c r="J24" s="28" t="s">
        <v>273</v>
      </c>
    </row>
    <row r="25" customFormat="false" ht="15" hidden="false" customHeight="false" outlineLevel="0" collapsed="false">
      <c r="A25" s="5" t="s">
        <v>275</v>
      </c>
      <c r="B25" s="46" t="n">
        <v>0.4687</v>
      </c>
      <c r="C25" s="46" t="n">
        <v>0.379</v>
      </c>
      <c r="D25" s="46" t="n">
        <v>0.4346</v>
      </c>
      <c r="E25" s="19" t="n">
        <f aca="false">(Assumptions!C$32+CHOOSE(Assumptions!$C$5,Assumptions!$D$96,Assumptions!$D$97,Assumptions!$D$98))</f>
        <v>0.42</v>
      </c>
      <c r="F25" s="19" t="n">
        <f aca="false">(Assumptions!D$32+CHOOSE(Assumptions!$C$5,Assumptions!$D$96,Assumptions!$D$97,Assumptions!$D$98))</f>
        <v>0.41</v>
      </c>
      <c r="G25" s="19" t="n">
        <f aca="false">(Assumptions!E$32+CHOOSE(Assumptions!$C$5,Assumptions!$D$96,Assumptions!$D$97,Assumptions!$D$98))</f>
        <v>0.4</v>
      </c>
      <c r="H25" s="19" t="n">
        <f aca="false">(Assumptions!F$32+CHOOSE(Assumptions!$C$5,Assumptions!$D$96,Assumptions!$D$97,Assumptions!$D$98))</f>
        <v>0.39</v>
      </c>
      <c r="I25" s="19" t="n">
        <f aca="false">(Assumptions!G$32+CHOOSE(Assumptions!$C$5,Assumptions!$D$96,Assumptions!$D$97,Assumptions!$D$98))</f>
        <v>0.38</v>
      </c>
      <c r="J25" s="28" t="s">
        <v>276</v>
      </c>
    </row>
    <row r="26" customFormat="false" ht="15" hidden="false" customHeight="false" outlineLevel="0" collapsed="false">
      <c r="A26" s="5" t="s">
        <v>277</v>
      </c>
      <c r="B26" s="9" t="n">
        <f aca="false">B22*B25</f>
        <v>568.75507632</v>
      </c>
      <c r="C26" s="9" t="n">
        <f aca="false">C22*C25</f>
        <v>1151.0284955</v>
      </c>
      <c r="D26" s="9" t="n">
        <f aca="false">D22*D25</f>
        <v>1542.73577872</v>
      </c>
      <c r="E26" s="9" t="n">
        <f aca="false">E22*E25</f>
        <v>1639.9998384</v>
      </c>
      <c r="F26" s="9" t="n">
        <f aca="false">F22*F25</f>
        <v>1729.028401056</v>
      </c>
      <c r="G26" s="9" t="n">
        <f aca="false">G22*G25</f>
        <v>1788.0683952384</v>
      </c>
      <c r="H26" s="9" t="n">
        <f aca="false">H22*H25</f>
        <v>1830.53501962531</v>
      </c>
      <c r="I26" s="9" t="n">
        <f aca="false">I22*I25</f>
        <v>1854.94215322032</v>
      </c>
    </row>
    <row r="27" customFormat="false" ht="15" hidden="false" customHeight="true" outlineLevel="0" collapsed="false">
      <c r="A27" s="13" t="s">
        <v>283</v>
      </c>
      <c r="B27" s="13"/>
      <c r="C27" s="13"/>
      <c r="D27" s="13"/>
      <c r="E27" s="13"/>
      <c r="F27" s="13"/>
      <c r="G27" s="13"/>
      <c r="H27" s="13"/>
      <c r="I27" s="13"/>
      <c r="J27" s="13"/>
    </row>
    <row r="28" customFormat="false" ht="15.75" hidden="false" customHeight="true" outlineLevel="0" collapsed="false">
      <c r="A28" s="25" t="s">
        <v>284</v>
      </c>
      <c r="B28" s="25"/>
      <c r="C28" s="25"/>
      <c r="D28" s="25"/>
      <c r="E28" s="25"/>
      <c r="F28" s="25"/>
      <c r="G28" s="25"/>
      <c r="H28" s="25"/>
      <c r="I28" s="25"/>
      <c r="J28" s="25"/>
    </row>
    <row r="29" customFormat="false" ht="15" hidden="false" customHeight="false" outlineLevel="0" collapsed="false">
      <c r="A29" s="3" t="s">
        <v>285</v>
      </c>
      <c r="B29" s="47" t="n">
        <f aca="false">B6+B14+B22</f>
        <v>7931.2</v>
      </c>
      <c r="C29" s="47" t="n">
        <f aca="false">C6+C14+C22</f>
        <v>10731.5</v>
      </c>
      <c r="D29" s="47" t="n">
        <f aca="false">D6+D14+D22</f>
        <v>19292.3</v>
      </c>
      <c r="E29" s="47" t="n">
        <f aca="false">E6+E14+E22</f>
        <v>33139.03193128</v>
      </c>
      <c r="F29" s="47" t="n">
        <f aca="false">F6+F14+F22</f>
        <v>50796.5747213866</v>
      </c>
      <c r="G29" s="47" t="n">
        <f aca="false">G6+G14+G22</f>
        <v>67797.8336757951</v>
      </c>
      <c r="H29" s="47" t="n">
        <f aca="false">H6+H14+H22</f>
        <v>81375.2044378298</v>
      </c>
      <c r="I29" s="47" t="n">
        <f aca="false">I6+I14+I22</f>
        <v>91025.2143659201</v>
      </c>
    </row>
    <row r="30" customFormat="false" ht="15" hidden="false" customHeight="false" outlineLevel="0" collapsed="false">
      <c r="A30" s="3" t="s">
        <v>286</v>
      </c>
      <c r="B30" s="48" t="n">
        <f aca="false">B11+B19+B26</f>
        <v>1637.31772112</v>
      </c>
      <c r="C30" s="48" t="n">
        <f aca="false">C11+C19+C26</f>
        <v>2431.8330205</v>
      </c>
      <c r="D30" s="48" t="n">
        <f aca="false">D11+D19+D26</f>
        <v>6802.56915842</v>
      </c>
      <c r="E30" s="48" t="n">
        <f aca="false">E11+E19+E26</f>
        <v>12661.7308020456</v>
      </c>
      <c r="F30" s="48" t="n">
        <f aca="false">F11+F19+F26</f>
        <v>19677.4187281349</v>
      </c>
      <c r="G30" s="48" t="n">
        <f aca="false">G11+G19+G26</f>
        <v>25794.8173080248</v>
      </c>
      <c r="H30" s="48" t="n">
        <f aca="false">H11+H19+H26</f>
        <v>30087.0833801207</v>
      </c>
      <c r="I30" s="48" t="n">
        <f aca="false">I11+I19+I26</f>
        <v>32874.9502154573</v>
      </c>
    </row>
    <row r="31" customFormat="false" ht="15" hidden="false" customHeight="false" outlineLevel="0" collapsed="false">
      <c r="A31" s="5" t="s">
        <v>287</v>
      </c>
      <c r="B31" s="19" t="n">
        <f aca="false">B30/B29</f>
        <v>0.2064401</v>
      </c>
      <c r="C31" s="19" t="n">
        <f aca="false">C30/C29</f>
        <v>0.226607</v>
      </c>
      <c r="D31" s="19" t="n">
        <f aca="false">D30/D29</f>
        <v>0.3526054</v>
      </c>
      <c r="E31" s="19" t="n">
        <f aca="false">E30/E29</f>
        <v>0.382079079084207</v>
      </c>
      <c r="F31" s="19" t="n">
        <f aca="false">F30/F29</f>
        <v>0.387376881926849</v>
      </c>
      <c r="G31" s="19" t="n">
        <f aca="false">G30/G29</f>
        <v>0.380466689118328</v>
      </c>
      <c r="H31" s="19" t="n">
        <f aca="false">H30/H29</f>
        <v>0.369732814657406</v>
      </c>
      <c r="I31" s="19" t="n">
        <f aca="false">I30/I29</f>
        <v>0.361163117763178</v>
      </c>
    </row>
    <row r="32" customFormat="false" ht="15" hidden="false" customHeight="false" outlineLevel="0" collapsed="false">
      <c r="A32" s="5" t="s">
        <v>288</v>
      </c>
      <c r="C32" s="19" t="n">
        <f aca="false">C29/B29-1</f>
        <v>0.353073935848295</v>
      </c>
      <c r="D32" s="19" t="n">
        <f aca="false">D29/C29-1</f>
        <v>0.797726319712995</v>
      </c>
      <c r="E32" s="19" t="n">
        <f aca="false">E29/D29-1</f>
        <v>0.7177336</v>
      </c>
      <c r="F32" s="19" t="n">
        <f aca="false">F29/E29-1</f>
        <v>0.532832184920875</v>
      </c>
      <c r="G32" s="19" t="n">
        <f aca="false">G29/F29-1</f>
        <v>0.334693019119074</v>
      </c>
      <c r="H32" s="19" t="n">
        <f aca="false">H29/G29-1</f>
        <v>0.200262604657265</v>
      </c>
      <c r="I32" s="19" t="n">
        <f aca="false">I29/H29-1</f>
        <v>0.118586613634413</v>
      </c>
    </row>
    <row r="34" customFormat="false" ht="15.75" hidden="false" customHeight="true" outlineLevel="0" collapsed="false">
      <c r="A34" s="25" t="s">
        <v>289</v>
      </c>
      <c r="B34" s="25"/>
      <c r="C34" s="25"/>
      <c r="D34" s="25"/>
      <c r="E34" s="25"/>
      <c r="F34" s="25"/>
      <c r="G34" s="25"/>
      <c r="H34" s="25"/>
      <c r="I34" s="25"/>
      <c r="J34" s="25"/>
    </row>
    <row r="35" customFormat="false" ht="15" hidden="false" customHeight="false" outlineLevel="0" collapsed="false">
      <c r="A35" s="5" t="s">
        <v>290</v>
      </c>
      <c r="D35" s="9" t="n">
        <f aca="false">D6</f>
        <v>7427.5355</v>
      </c>
      <c r="E35" s="9" t="n">
        <f aca="false">D35*(1+Assumptions!C$23)*(1+Assumptions!C$24)</f>
        <v>17380.43307</v>
      </c>
      <c r="F35" s="9" t="n">
        <f aca="false">E35*(1+Assumptions!D$23)*(1+Assumptions!D$24)</f>
        <v>31145.73606144</v>
      </c>
      <c r="G35" s="9" t="n">
        <f aca="false">F35*(1+Assumptions!E$23)*(1+Assumptions!E$24)</f>
        <v>44569.5483039206</v>
      </c>
      <c r="H35" s="9" t="n">
        <f aca="false">G35*(1+Assumptions!F$23)*(1+Assumptions!F$24)</f>
        <v>55462.3459093989</v>
      </c>
      <c r="I35" s="9" t="n">
        <f aca="false">H35*(1+Assumptions!G$23)*(1+Assumptions!G$24)</f>
        <v>63227.0743367147</v>
      </c>
    </row>
    <row r="36" customFormat="false" ht="15" hidden="false" customHeight="false" outlineLevel="0" collapsed="false">
      <c r="A36" s="5" t="s">
        <v>291</v>
      </c>
      <c r="D36" s="9" t="n">
        <f aca="false">D14</f>
        <v>8314.9813</v>
      </c>
      <c r="E36" s="9" t="n">
        <f aca="false">D36*(1+Assumptions!C$25)*(1+Assumptions!C$26)</f>
        <v>11853.83734128</v>
      </c>
      <c r="F36" s="9" t="n">
        <f aca="false">E36*(1+Assumptions!D$25)*(1+Assumptions!D$26)</f>
        <v>15433.6962183466</v>
      </c>
      <c r="G36" s="9" t="n">
        <f aca="false">F36*(1+Assumptions!E$25)*(1+Assumptions!E$26)</f>
        <v>18758.1143837784</v>
      </c>
      <c r="H36" s="9" t="n">
        <f aca="false">G36*(1+Assumptions!F$25)*(1+Assumptions!F$26)</f>
        <v>21219.1789909301</v>
      </c>
      <c r="I36" s="9" t="n">
        <f aca="false">H36*(1+Assumptions!G$25)*(1+Assumptions!G$26)</f>
        <v>22916.7133102045</v>
      </c>
    </row>
    <row r="37" customFormat="false" ht="15" hidden="false" customHeight="false" outlineLevel="0" collapsed="false">
      <c r="A37" s="5" t="s">
        <v>292</v>
      </c>
      <c r="D37" s="9" t="n">
        <f aca="false">D22</f>
        <v>3549.7832</v>
      </c>
      <c r="E37" s="9" t="n">
        <f aca="false">D37*(1+Assumptions!C$27)</f>
        <v>3904.76152</v>
      </c>
      <c r="F37" s="9" t="n">
        <f aca="false">E37*(1+Assumptions!D$27)</f>
        <v>4217.1424416</v>
      </c>
      <c r="G37" s="9" t="n">
        <f aca="false">F37*(1+Assumptions!E$27)</f>
        <v>4470.170988096</v>
      </c>
      <c r="H37" s="9" t="n">
        <f aca="false">G37*(1+Assumptions!F$27)</f>
        <v>4693.6795375008</v>
      </c>
      <c r="I37" s="9" t="n">
        <f aca="false">H37*(1+Assumptions!G$27)</f>
        <v>4881.42671900083</v>
      </c>
    </row>
    <row r="38" customFormat="false" ht="15" hidden="false" customHeight="false" outlineLevel="0" collapsed="false">
      <c r="A38" s="3" t="s">
        <v>293</v>
      </c>
      <c r="D38" s="9" t="n">
        <f aca="false">D6+D14+D22</f>
        <v>19292.3</v>
      </c>
      <c r="E38" s="9" t="n">
        <f aca="false">E35+E36+E37</f>
        <v>33139.03193128</v>
      </c>
      <c r="F38" s="9" t="n">
        <f aca="false">F35+F36+F37</f>
        <v>50796.5747213866</v>
      </c>
      <c r="G38" s="9" t="n">
        <f aca="false">G35+G36+G37</f>
        <v>67797.8336757951</v>
      </c>
      <c r="H38" s="9" t="n">
        <f aca="false">H35+H36+H37</f>
        <v>81375.2044378298</v>
      </c>
      <c r="I38" s="9" t="n">
        <f aca="false">I35+I36+I37</f>
        <v>91025.2143659201</v>
      </c>
    </row>
    <row r="39" customFormat="false" ht="15" hidden="false" customHeight="false" outlineLevel="0" collapsed="false">
      <c r="A39" s="5" t="s">
        <v>294</v>
      </c>
      <c r="E39" s="19" t="n">
        <f aca="false">E38/D38-1</f>
        <v>0.7177336</v>
      </c>
      <c r="F39" s="19" t="n">
        <f aca="false">F38/E38-1</f>
        <v>0.532832184920875</v>
      </c>
      <c r="G39" s="19" t="n">
        <f aca="false">G38/F38-1</f>
        <v>0.334693019119074</v>
      </c>
      <c r="H39" s="19" t="n">
        <f aca="false">H38/G38-1</f>
        <v>0.200262604657265</v>
      </c>
      <c r="I39" s="19" t="n">
        <f aca="false">I38/H38-1</f>
        <v>0.118586613634413</v>
      </c>
    </row>
    <row r="40" customFormat="false" ht="15" hidden="false" customHeight="false" outlineLevel="0" collapsed="false">
      <c r="A40" s="5" t="s">
        <v>295</v>
      </c>
      <c r="E40" s="19" t="n">
        <f aca="false">(E35*Assumptions!C$30+E36*Assumptions!C$31+E37*Assumptions!C$32)/E38</f>
        <v>0.382079079084207</v>
      </c>
      <c r="F40" s="19" t="n">
        <f aca="false">(F35*Assumptions!D$30+F36*Assumptions!D$31+F37*Assumptions!D$32)/F38</f>
        <v>0.387376881926849</v>
      </c>
      <c r="G40" s="19" t="n">
        <f aca="false">(G35*Assumptions!E$30+G36*Assumptions!E$31+G37*Assumptions!E$32)/G38</f>
        <v>0.380466689118328</v>
      </c>
      <c r="H40" s="19" t="n">
        <f aca="false">(H35*Assumptions!F$30+H36*Assumptions!F$31+H37*Assumptions!F$32)/H38</f>
        <v>0.369732814657406</v>
      </c>
      <c r="I40" s="19" t="n">
        <f aca="false">(I35*Assumptions!G$30+I36*Assumptions!G$31+I37*Assumptions!G$32)/I38</f>
        <v>0.361163117763178</v>
      </c>
    </row>
    <row r="42" customFormat="false" ht="15.75" hidden="false" customHeight="true" outlineLevel="0" collapsed="false">
      <c r="A42" s="25" t="s">
        <v>296</v>
      </c>
      <c r="B42" s="25"/>
      <c r="C42" s="25"/>
      <c r="D42" s="25"/>
      <c r="E42" s="25"/>
      <c r="F42" s="25"/>
      <c r="G42" s="25"/>
      <c r="H42" s="25"/>
      <c r="I42" s="25"/>
      <c r="J42" s="25"/>
    </row>
    <row r="43" customFormat="false" ht="24" hidden="false" customHeight="true" outlineLevel="0" collapsed="false">
      <c r="A43" s="12" t="s">
        <v>297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24" hidden="false" customHeight="true" outlineLevel="0" collapsed="false">
      <c r="A44" s="12" t="s">
        <v>298</v>
      </c>
      <c r="B44" s="12"/>
      <c r="C44" s="12"/>
      <c r="D44" s="12"/>
      <c r="E44" s="12"/>
      <c r="F44" s="12"/>
      <c r="G44" s="12"/>
      <c r="H44" s="12"/>
      <c r="I44" s="12"/>
      <c r="J44" s="12"/>
    </row>
    <row r="45" customFormat="false" ht="24" hidden="false" customHeight="true" outlineLevel="0" collapsed="false">
      <c r="A45" s="12" t="s">
        <v>299</v>
      </c>
      <c r="B45" s="12"/>
      <c r="C45" s="12"/>
      <c r="D45" s="12"/>
      <c r="E45" s="12"/>
      <c r="F45" s="12"/>
      <c r="G45" s="12"/>
      <c r="H45" s="12"/>
      <c r="I45" s="12"/>
      <c r="J45" s="12"/>
    </row>
    <row r="46" customFormat="false" ht="24" hidden="false" customHeight="true" outlineLevel="0" collapsed="false">
      <c r="A46" s="12" t="s">
        <v>300</v>
      </c>
      <c r="B46" s="12"/>
      <c r="C46" s="12"/>
      <c r="D46" s="12"/>
      <c r="E46" s="12"/>
      <c r="F46" s="12"/>
      <c r="G46" s="12"/>
      <c r="H46" s="12"/>
      <c r="I46" s="12"/>
      <c r="J46" s="12"/>
    </row>
  </sheetData>
  <mergeCells count="15">
    <mergeCell ref="A1:J1"/>
    <mergeCell ref="A2:J2"/>
    <mergeCell ref="A5:J5"/>
    <mergeCell ref="A12:J12"/>
    <mergeCell ref="A13:J13"/>
    <mergeCell ref="A20:J20"/>
    <mergeCell ref="A21:J21"/>
    <mergeCell ref="A27:J27"/>
    <mergeCell ref="A28:J28"/>
    <mergeCell ref="A34:J34"/>
    <mergeCell ref="A42:J42"/>
    <mergeCell ref="A43:J43"/>
    <mergeCell ref="A44:J44"/>
    <mergeCell ref="A45:J45"/>
    <mergeCell ref="A46:J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301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302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3" t="s">
        <v>303</v>
      </c>
      <c r="B4" s="48" t="n">
        <f aca="false">Revenue_Segments!B29</f>
        <v>7931.2</v>
      </c>
      <c r="C4" s="48" t="n">
        <f aca="false">Revenue_Segments!C29</f>
        <v>10731.5</v>
      </c>
      <c r="D4" s="48" t="n">
        <f aca="false">Revenue_Segments!D29</f>
        <v>19292.3</v>
      </c>
      <c r="E4" s="48" t="n">
        <f aca="false">Revenue_Segments!E29</f>
        <v>33139.03193128</v>
      </c>
      <c r="F4" s="48" t="n">
        <f aca="false">Revenue_Segments!F29</f>
        <v>50796.5747213866</v>
      </c>
      <c r="G4" s="48" t="n">
        <f aca="false">Revenue_Segments!G29</f>
        <v>67797.8336757951</v>
      </c>
      <c r="H4" s="48" t="n">
        <f aca="false">Revenue_Segments!H29</f>
        <v>81375.2044378298</v>
      </c>
      <c r="I4" s="48" t="n">
        <f aca="false">Revenue_Segments!I29</f>
        <v>91025.2143659201</v>
      </c>
      <c r="J4" s="28" t="s">
        <v>304</v>
      </c>
    </row>
    <row r="5" customFormat="false" ht="15" hidden="false" customHeight="false" outlineLevel="0" collapsed="false">
      <c r="A5" s="5" t="s">
        <v>305</v>
      </c>
      <c r="C5" s="19" t="n">
        <f aca="false">C4/B4-1</f>
        <v>0.353073935848295</v>
      </c>
      <c r="D5" s="19" t="n">
        <f aca="false">D4/C4-1</f>
        <v>0.797726319712995</v>
      </c>
      <c r="E5" s="19" t="n">
        <f aca="false">E4/D4-1</f>
        <v>0.7177336</v>
      </c>
      <c r="F5" s="19" t="n">
        <f aca="false">F4/E4-1</f>
        <v>0.532832184920875</v>
      </c>
      <c r="G5" s="19" t="n">
        <f aca="false">G4/F4-1</f>
        <v>0.334693019119074</v>
      </c>
      <c r="H5" s="19" t="n">
        <f aca="false">H4/G4-1</f>
        <v>0.200262604657265</v>
      </c>
      <c r="I5" s="19" t="n">
        <f aca="false">I4/H4-1</f>
        <v>0.118586613634413</v>
      </c>
      <c r="J5" s="28" t="s">
        <v>306</v>
      </c>
    </row>
    <row r="6" customFormat="false" ht="15" hidden="false" customHeight="false" outlineLevel="0" collapsed="false">
      <c r="A6" s="5" t="s">
        <v>307</v>
      </c>
      <c r="B6" s="36" t="n">
        <v>6288</v>
      </c>
      <c r="C6" s="36" t="n">
        <v>8292.8</v>
      </c>
      <c r="D6" s="36" t="n">
        <v>12496.9</v>
      </c>
      <c r="E6" s="9" t="n">
        <f aca="false">E4-Revenue_Segments!E30</f>
        <v>20477.3011292344</v>
      </c>
      <c r="F6" s="9" t="n">
        <f aca="false">F4-Revenue_Segments!F30</f>
        <v>31119.1559932517</v>
      </c>
      <c r="G6" s="9" t="n">
        <f aca="false">G4-Revenue_Segments!G30</f>
        <v>42003.0163677702</v>
      </c>
      <c r="H6" s="9" t="n">
        <f aca="false">H4-Revenue_Segments!H30</f>
        <v>51288.1210577091</v>
      </c>
      <c r="I6" s="9" t="n">
        <f aca="false">I4-Revenue_Segments!I30</f>
        <v>58150.2641504627</v>
      </c>
      <c r="J6" s="28" t="s">
        <v>308</v>
      </c>
    </row>
    <row r="7" customFormat="false" ht="15" hidden="false" customHeight="false" outlineLevel="0" collapsed="false">
      <c r="A7" s="3" t="s">
        <v>309</v>
      </c>
      <c r="B7" s="48" t="n">
        <f aca="false">B4-B6</f>
        <v>1643.2</v>
      </c>
      <c r="C7" s="48" t="n">
        <f aca="false">C4-C6</f>
        <v>2438.7</v>
      </c>
      <c r="D7" s="48" t="n">
        <f aca="false">D4-D6</f>
        <v>6795.4</v>
      </c>
      <c r="E7" s="48" t="n">
        <f aca="false">E4-E6</f>
        <v>12661.7308020456</v>
      </c>
      <c r="F7" s="48" t="n">
        <f aca="false">F4-F6</f>
        <v>19677.4187281349</v>
      </c>
      <c r="G7" s="48" t="n">
        <f aca="false">G4-G6</f>
        <v>25794.8173080248</v>
      </c>
      <c r="H7" s="48" t="n">
        <f aca="false">H4-H6</f>
        <v>30087.0833801207</v>
      </c>
      <c r="I7" s="48" t="n">
        <f aca="false">I4-I6</f>
        <v>32874.9502154573</v>
      </c>
      <c r="J7" s="28"/>
    </row>
    <row r="8" customFormat="false" ht="15" hidden="false" customHeight="false" outlineLevel="0" collapsed="false">
      <c r="A8" s="5" t="s">
        <v>275</v>
      </c>
      <c r="B8" s="19" t="n">
        <f aca="false">B7/B4</f>
        <v>0.207181763163204</v>
      </c>
      <c r="C8" s="19" t="n">
        <f aca="false">C7/C4</f>
        <v>0.227246889996739</v>
      </c>
      <c r="D8" s="19" t="n">
        <f aca="false">D7/D4</f>
        <v>0.352233792756696</v>
      </c>
      <c r="E8" s="19" t="n">
        <f aca="false">E7/E4</f>
        <v>0.382079079084207</v>
      </c>
      <c r="F8" s="19" t="n">
        <f aca="false">F7/F4</f>
        <v>0.387376881926849</v>
      </c>
      <c r="G8" s="19" t="n">
        <f aca="false">G7/G4</f>
        <v>0.380466689118328</v>
      </c>
      <c r="H8" s="19" t="n">
        <f aca="false">H7/H4</f>
        <v>0.369732814657406</v>
      </c>
      <c r="I8" s="19" t="n">
        <f aca="false">I7/I4</f>
        <v>0.361163117763178</v>
      </c>
      <c r="J8" s="26" t="s">
        <v>310</v>
      </c>
    </row>
    <row r="9" customFormat="false" ht="15" hidden="false" customHeight="false" outlineLevel="0" collapsed="false">
      <c r="A9" s="5" t="s">
        <v>311</v>
      </c>
      <c r="B9" s="36" t="n">
        <v>52.1</v>
      </c>
      <c r="C9" s="36" t="n">
        <v>64.5</v>
      </c>
      <c r="D9" s="36" t="n">
        <v>64.1</v>
      </c>
      <c r="E9" s="9" t="n">
        <f aca="false">E4*Assumptions!C$35</f>
        <v>109.358805373224</v>
      </c>
      <c r="F9" s="9" t="n">
        <f aca="false">F4*Assumptions!D$35</f>
        <v>167.628696580576</v>
      </c>
      <c r="G9" s="9" t="n">
        <f aca="false">G4*Assumptions!E$35</f>
        <v>223.732851130124</v>
      </c>
      <c r="H9" s="9" t="n">
        <f aca="false">H4*Assumptions!F$35</f>
        <v>268.538174644838</v>
      </c>
      <c r="I9" s="9" t="n">
        <f aca="false">I4*Assumptions!G$35</f>
        <v>300.383207407536</v>
      </c>
      <c r="J9" s="28" t="s">
        <v>312</v>
      </c>
    </row>
    <row r="10" customFormat="false" ht="15" hidden="false" customHeight="false" outlineLevel="0" collapsed="false">
      <c r="A10" s="5" t="s">
        <v>313</v>
      </c>
      <c r="B10" s="36" t="n">
        <v>154.4</v>
      </c>
      <c r="C10" s="36" t="n">
        <v>200.8</v>
      </c>
      <c r="D10" s="36" t="n">
        <v>257.3</v>
      </c>
      <c r="E10" s="9" t="n">
        <f aca="false">E4*Assumptions!C$36</f>
        <v>414.237899141</v>
      </c>
      <c r="F10" s="9" t="n">
        <f aca="false">F4*Assumptions!D$36</f>
        <v>634.957184017332</v>
      </c>
      <c r="G10" s="9" t="n">
        <f aca="false">G4*Assumptions!E$36</f>
        <v>847.472920947438</v>
      </c>
      <c r="H10" s="9" t="n">
        <f aca="false">H4*Assumptions!F$36</f>
        <v>1017.19005547287</v>
      </c>
      <c r="I10" s="9" t="n">
        <f aca="false">I4*Assumptions!G$36</f>
        <v>1137.815179574</v>
      </c>
      <c r="J10" s="28" t="s">
        <v>314</v>
      </c>
    </row>
    <row r="11" customFormat="false" ht="15" hidden="false" customHeight="false" outlineLevel="0" collapsed="false">
      <c r="A11" s="5" t="s">
        <v>315</v>
      </c>
      <c r="B11" s="36" t="n">
        <v>268.2</v>
      </c>
      <c r="C11" s="36" t="n">
        <v>392.2</v>
      </c>
      <c r="D11" s="36" t="n">
        <v>500.4</v>
      </c>
      <c r="E11" s="9" t="n">
        <f aca="false">E4*Assumptions!C$37</f>
        <v>795.33676635072</v>
      </c>
      <c r="F11" s="9" t="n">
        <f aca="false">F4*Assumptions!D$37</f>
        <v>1219.11779331328</v>
      </c>
      <c r="G11" s="9" t="n">
        <f aca="false">G4*Assumptions!E$37</f>
        <v>1627.14800821908</v>
      </c>
      <c r="H11" s="9" t="n">
        <f aca="false">H4*Assumptions!F$37</f>
        <v>1953.00490650792</v>
      </c>
      <c r="I11" s="9" t="n">
        <f aca="false">I4*Assumptions!G$37</f>
        <v>2184.60514478208</v>
      </c>
      <c r="J11" s="28" t="s">
        <v>316</v>
      </c>
    </row>
    <row r="12" customFormat="false" ht="15" hidden="false" customHeight="false" outlineLevel="0" collapsed="false">
      <c r="A12" s="5" t="s">
        <v>317</v>
      </c>
      <c r="B12" s="36" t="n">
        <v>348.3</v>
      </c>
      <c r="C12" s="36" t="n">
        <v>449.8</v>
      </c>
      <c r="D12" s="36" t="n">
        <v>777.6</v>
      </c>
      <c r="E12" s="9" t="n">
        <f aca="false">E4*Assumptions!C$38</f>
        <v>1358.70030918248</v>
      </c>
      <c r="F12" s="9" t="n">
        <f aca="false">F4*Assumptions!D$38</f>
        <v>2082.65956357685</v>
      </c>
      <c r="G12" s="9" t="n">
        <f aca="false">G4*Assumptions!E$38</f>
        <v>2779.7111807076</v>
      </c>
      <c r="H12" s="9" t="n">
        <f aca="false">H4*Assumptions!F$38</f>
        <v>3336.38338195102</v>
      </c>
      <c r="I12" s="9" t="n">
        <f aca="false">I4*Assumptions!G$38</f>
        <v>3732.03378900272</v>
      </c>
      <c r="J12" s="28" t="s">
        <v>318</v>
      </c>
    </row>
    <row r="13" customFormat="false" ht="15" hidden="false" customHeight="false" outlineLevel="0" collapsed="false">
      <c r="A13" s="5" t="s">
        <v>319</v>
      </c>
      <c r="B13" s="36" t="n">
        <v>53.3</v>
      </c>
      <c r="C13" s="36" t="n">
        <v>21.1</v>
      </c>
      <c r="D13" s="36" t="n">
        <v>119.9</v>
      </c>
      <c r="E13" s="9" t="n">
        <f aca="false">FIN!E67</f>
        <v>190.538434990382</v>
      </c>
      <c r="F13" s="9" t="n">
        <f aca="false">FIN!F67</f>
        <v>98.9780444364938</v>
      </c>
      <c r="G13" s="9" t="n">
        <f aca="false">FIN!G67</f>
        <v>25.5929709923382</v>
      </c>
      <c r="H13" s="9" t="n">
        <f aca="false">FIN!H67</f>
        <v>14.288135426365</v>
      </c>
      <c r="I13" s="9" t="n">
        <f aca="false">FIN!I67</f>
        <v>9.36369974355002</v>
      </c>
      <c r="J13" s="28" t="s">
        <v>320</v>
      </c>
    </row>
    <row r="14" customFormat="false" ht="15" hidden="false" customHeight="false" outlineLevel="0" collapsed="false">
      <c r="A14" s="5" t="s">
        <v>321</v>
      </c>
      <c r="B14" s="36" t="n">
        <v>-8</v>
      </c>
      <c r="C14" s="36" t="n">
        <v>-22</v>
      </c>
      <c r="D14" s="36" t="n">
        <v>-19.4</v>
      </c>
      <c r="E14" s="9" t="n">
        <f aca="false">Assumptions!C$39</f>
        <v>-20</v>
      </c>
      <c r="F14" s="9" t="n">
        <f aca="false">Assumptions!D$39</f>
        <v>-20</v>
      </c>
      <c r="G14" s="9" t="n">
        <f aca="false">Assumptions!E$39</f>
        <v>-20</v>
      </c>
      <c r="H14" s="9" t="n">
        <f aca="false">Assumptions!F$39</f>
        <v>-20</v>
      </c>
      <c r="I14" s="9" t="n">
        <f aca="false">Assumptions!G$39</f>
        <v>-20</v>
      </c>
      <c r="J14" s="28" t="s">
        <v>322</v>
      </c>
    </row>
    <row r="15" customFormat="false" ht="15" hidden="false" customHeight="false" outlineLevel="0" collapsed="false">
      <c r="A15" s="3" t="s">
        <v>323</v>
      </c>
      <c r="B15" s="48" t="n">
        <f aca="false">B7-B9-B10-B11-B12-B13+B14</f>
        <v>758.9</v>
      </c>
      <c r="C15" s="48" t="n">
        <f aca="false">C7-C9-C10-C11-C12-C13+C14</f>
        <v>1288.3</v>
      </c>
      <c r="D15" s="48" t="n">
        <f aca="false">D7-D9-D10-D11-D12-D13+D14</f>
        <v>5056.7</v>
      </c>
      <c r="E15" s="48" t="n">
        <f aca="false">E7-E9-E10-E11-E12-E13+E14</f>
        <v>9773.55858700779</v>
      </c>
      <c r="F15" s="48" t="n">
        <f aca="false">F7-F9-F10-F11-F12-F13+F14</f>
        <v>15454.0774462104</v>
      </c>
      <c r="G15" s="48" t="n">
        <f aca="false">G7-G9-G10-G11-G12-G13+G14</f>
        <v>20271.1593760283</v>
      </c>
      <c r="H15" s="48" t="n">
        <f aca="false">H7-H9-H10-H11-H12-H13+H14</f>
        <v>23477.6787261177</v>
      </c>
      <c r="I15" s="48" t="n">
        <f aca="false">I7-I9-I10-I11-I12-I13+I14</f>
        <v>25490.7491949474</v>
      </c>
      <c r="J15" s="28"/>
    </row>
    <row r="16" customFormat="false" ht="15" hidden="false" customHeight="false" outlineLevel="0" collapsed="false">
      <c r="A16" s="5" t="s">
        <v>154</v>
      </c>
      <c r="B16" s="36" t="n">
        <v>-9.7</v>
      </c>
      <c r="C16" s="36" t="n">
        <v>23.5</v>
      </c>
      <c r="D16" s="36" t="n">
        <v>-35</v>
      </c>
      <c r="E16" s="9" t="n">
        <f aca="false">Assumptions!C$40</f>
        <v>-35</v>
      </c>
      <c r="F16" s="9" t="n">
        <f aca="false">Assumptions!D$40</f>
        <v>-35</v>
      </c>
      <c r="G16" s="9" t="n">
        <f aca="false">Assumptions!E$40</f>
        <v>-35</v>
      </c>
      <c r="H16" s="9" t="n">
        <f aca="false">Assumptions!F$40</f>
        <v>-35</v>
      </c>
      <c r="I16" s="9" t="n">
        <f aca="false">Assumptions!G$40</f>
        <v>-35</v>
      </c>
      <c r="J16" s="26" t="s">
        <v>155</v>
      </c>
    </row>
    <row r="17" customFormat="false" ht="15" hidden="false" customHeight="false" outlineLevel="0" collapsed="false">
      <c r="A17" s="3" t="s">
        <v>324</v>
      </c>
      <c r="B17" s="48" t="n">
        <f aca="false">B15+B16</f>
        <v>749.2</v>
      </c>
      <c r="C17" s="48" t="n">
        <f aca="false">C15+C16</f>
        <v>1311.8</v>
      </c>
      <c r="D17" s="48" t="n">
        <f aca="false">D15+D16</f>
        <v>5021.7</v>
      </c>
      <c r="E17" s="48" t="n">
        <f aca="false">E15+E16</f>
        <v>9738.55858700779</v>
      </c>
      <c r="F17" s="48" t="n">
        <f aca="false">F15+F16</f>
        <v>15419.0774462104</v>
      </c>
      <c r="G17" s="48" t="n">
        <f aca="false">G15+G16</f>
        <v>20236.1593760283</v>
      </c>
      <c r="H17" s="48" t="n">
        <f aca="false">H15+H16</f>
        <v>23442.6787261177</v>
      </c>
      <c r="I17" s="48" t="n">
        <f aca="false">I15+I16</f>
        <v>25455.7491949474</v>
      </c>
      <c r="J17" s="28"/>
    </row>
    <row r="18" customFormat="false" ht="15" hidden="false" customHeight="false" outlineLevel="0" collapsed="false">
      <c r="A18" s="5" t="s">
        <v>325</v>
      </c>
      <c r="B18" s="36" t="n">
        <v>77.9</v>
      </c>
      <c r="C18" s="36" t="n">
        <v>157.4</v>
      </c>
      <c r="D18" s="36" t="n">
        <v>709.7</v>
      </c>
      <c r="E18" s="9" t="n">
        <f aca="false">E17*Assumptions!C$41</f>
        <v>1412.09099511613</v>
      </c>
      <c r="F18" s="9" t="n">
        <f aca="false">F17*Assumptions!D$41</f>
        <v>2235.7662297005</v>
      </c>
      <c r="G18" s="9" t="n">
        <f aca="false">G17*Assumptions!E$41</f>
        <v>2934.2431095241</v>
      </c>
      <c r="H18" s="9" t="n">
        <f aca="false">H17*Assumptions!F$41</f>
        <v>3399.18841528706</v>
      </c>
      <c r="I18" s="9" t="n">
        <f aca="false">I17*Assumptions!G$41</f>
        <v>3691.08363326738</v>
      </c>
      <c r="J18" s="28" t="s">
        <v>326</v>
      </c>
    </row>
    <row r="19" customFormat="false" ht="15" hidden="false" customHeight="false" outlineLevel="0" collapsed="false">
      <c r="A19" s="3" t="s">
        <v>327</v>
      </c>
      <c r="B19" s="48" t="n">
        <f aca="false">B17-B18</f>
        <v>671.3</v>
      </c>
      <c r="C19" s="48" t="n">
        <f aca="false">C17-C18</f>
        <v>1154.4</v>
      </c>
      <c r="D19" s="48" t="n">
        <f aca="false">D17-D18</f>
        <v>4312</v>
      </c>
      <c r="E19" s="48" t="n">
        <f aca="false">E17-E18</f>
        <v>8326.46759189166</v>
      </c>
      <c r="F19" s="48" t="n">
        <f aca="false">F17-F18</f>
        <v>13183.3112165099</v>
      </c>
      <c r="G19" s="48" t="n">
        <f aca="false">G17-G18</f>
        <v>17301.9162665042</v>
      </c>
      <c r="H19" s="48" t="n">
        <f aca="false">H17-H18</f>
        <v>20043.4903108306</v>
      </c>
      <c r="I19" s="48" t="n">
        <f aca="false">I17-I18</f>
        <v>21764.6655616801</v>
      </c>
      <c r="J19" s="28" t="s">
        <v>328</v>
      </c>
    </row>
    <row r="20" customFormat="false" ht="15" hidden="false" customHeight="false" outlineLevel="0" collapsed="false">
      <c r="A20" s="3" t="s">
        <v>329</v>
      </c>
      <c r="B20" s="49" t="n">
        <v>671.3</v>
      </c>
      <c r="C20" s="49" t="n">
        <v>1154.4</v>
      </c>
      <c r="D20" s="49" t="n">
        <v>4312</v>
      </c>
      <c r="E20" s="48" t="n">
        <f aca="false">E19*(1-Assumptions!C$42)</f>
        <v>8326.46759189166</v>
      </c>
      <c r="F20" s="48" t="n">
        <f aca="false">F19*(1-Assumptions!D$42)</f>
        <v>13183.3112165099</v>
      </c>
      <c r="G20" s="48" t="n">
        <f aca="false">G19*(1-Assumptions!E$42)</f>
        <v>17301.9162665042</v>
      </c>
      <c r="H20" s="48" t="n">
        <f aca="false">H19*(1-Assumptions!F$42)</f>
        <v>20043.4903108306</v>
      </c>
      <c r="I20" s="48" t="n">
        <f aca="false">I19*(1-Assumptions!G$42)</f>
        <v>21764.6655616801</v>
      </c>
      <c r="J20" s="28" t="s">
        <v>330</v>
      </c>
    </row>
    <row r="21" customFormat="false" ht="15" hidden="false" customHeight="false" outlineLevel="0" collapsed="false">
      <c r="A21" s="5" t="s">
        <v>331</v>
      </c>
      <c r="B21" s="9" t="n">
        <f aca="false">B19-B20</f>
        <v>0</v>
      </c>
      <c r="C21" s="9" t="n">
        <f aca="false">C19-C20</f>
        <v>0</v>
      </c>
      <c r="D21" s="9" t="n">
        <f aca="false">D19-D20</f>
        <v>0</v>
      </c>
      <c r="E21" s="9" t="n">
        <f aca="false">E19-E20</f>
        <v>0</v>
      </c>
      <c r="F21" s="9" t="n">
        <f aca="false">F19-F20</f>
        <v>0</v>
      </c>
      <c r="G21" s="9" t="n">
        <f aca="false">G19-G20</f>
        <v>0</v>
      </c>
      <c r="H21" s="9" t="n">
        <f aca="false">H19-H20</f>
        <v>0</v>
      </c>
      <c r="I21" s="9" t="n">
        <f aca="false">I19-I20</f>
        <v>0</v>
      </c>
      <c r="J21" s="28" t="s">
        <v>332</v>
      </c>
    </row>
    <row r="22" customFormat="false" ht="15" hidden="false" customHeight="false" outlineLevel="0" collapsed="false">
      <c r="A22" s="5" t="s">
        <v>333</v>
      </c>
      <c r="B22" s="19" t="n">
        <f aca="false">B20/B4</f>
        <v>0.084640407504539</v>
      </c>
      <c r="C22" s="19" t="n">
        <f aca="false">C20/C4</f>
        <v>0.107571168988492</v>
      </c>
      <c r="D22" s="19" t="n">
        <f aca="false">D20/D4</f>
        <v>0.22350886104819</v>
      </c>
      <c r="E22" s="19" t="n">
        <f aca="false">E20/E4</f>
        <v>0.251258624849337</v>
      </c>
      <c r="F22" s="19" t="n">
        <f aca="false">F20/F4</f>
        <v>0.25953149968908</v>
      </c>
      <c r="G22" s="19" t="n">
        <f aca="false">G20/G4</f>
        <v>0.255198659432702</v>
      </c>
      <c r="H22" s="19" t="n">
        <f aca="false">H20/H4</f>
        <v>0.246309553988816</v>
      </c>
      <c r="I22" s="19" t="n">
        <f aca="false">I20/I4</f>
        <v>0.239105897341658</v>
      </c>
      <c r="J22" s="26" t="s">
        <v>334</v>
      </c>
    </row>
    <row r="23" customFormat="false" ht="15" hidden="false" customHeight="false" outlineLevel="0" collapsed="false">
      <c r="A23" s="4" t="s">
        <v>335</v>
      </c>
      <c r="B23" s="8" t="n">
        <f aca="false">B20/Equity_Roll!$C$21</f>
        <v>0.682909460834181</v>
      </c>
      <c r="C23" s="8" t="n">
        <f aca="false">C20/Equity_Roll!$C$21</f>
        <v>1.17436419125127</v>
      </c>
      <c r="D23" s="8" t="n">
        <f aca="false">D20/Equity_Roll!$C$21</f>
        <v>4.38657171922686</v>
      </c>
      <c r="E23" s="8" t="n">
        <f aca="false">E20/Equity_Roll!$C$21</f>
        <v>8.47046550548491</v>
      </c>
      <c r="F23" s="8" t="n">
        <f aca="false">F20/Equity_Roll!$C$21</f>
        <v>13.4113033738656</v>
      </c>
      <c r="G23" s="8" t="n">
        <f aca="false">G20/Equity_Roll!$C$21</f>
        <v>17.6011355712148</v>
      </c>
      <c r="H23" s="8" t="n">
        <f aca="false">H20/Equity_Roll!$C$21</f>
        <v>20.3901223914859</v>
      </c>
      <c r="I23" s="8" t="n">
        <f aca="false">I20/Equity_Roll!$C$21</f>
        <v>22.1410636436216</v>
      </c>
      <c r="J23" s="28" t="s">
        <v>336</v>
      </c>
    </row>
    <row r="24" customFormat="false" ht="15" hidden="false" customHeight="false" outlineLevel="0" collapsed="false">
      <c r="A24" s="10" t="s">
        <v>337</v>
      </c>
      <c r="B24" s="48" t="n">
        <f aca="false">B17+B13</f>
        <v>802.5</v>
      </c>
      <c r="C24" s="48" t="n">
        <f aca="false">C17+C13</f>
        <v>1332.9</v>
      </c>
      <c r="D24" s="48" t="n">
        <f aca="false">D17+D13</f>
        <v>5141.6</v>
      </c>
      <c r="E24" s="48" t="n">
        <f aca="false">E17+E13</f>
        <v>9929.09702199818</v>
      </c>
      <c r="F24" s="48" t="n">
        <f aca="false">F17+F13</f>
        <v>15518.0554906469</v>
      </c>
      <c r="G24" s="48" t="n">
        <f aca="false">G17+G13</f>
        <v>20261.7523470206</v>
      </c>
      <c r="H24" s="48" t="n">
        <f aca="false">H17+H13</f>
        <v>23456.966861544</v>
      </c>
      <c r="I24" s="48" t="n">
        <f aca="false">I17+I13</f>
        <v>25465.112894691</v>
      </c>
      <c r="J24" s="28" t="s">
        <v>338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339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340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341</v>
      </c>
      <c r="B4" s="36" t="n">
        <v>2141.3</v>
      </c>
      <c r="C4" s="36" t="n">
        <v>1662</v>
      </c>
      <c r="D4" s="36" t="n">
        <v>3279.6</v>
      </c>
      <c r="E4" s="9" t="n">
        <f aca="false">FIN!E63</f>
        <v>662.7806386256</v>
      </c>
      <c r="F4" s="9" t="n">
        <f aca="false">FIN!F63</f>
        <v>1015.93149442773</v>
      </c>
      <c r="G4" s="9" t="n">
        <f aca="false">FIN!G63</f>
        <v>1355.9566735159</v>
      </c>
      <c r="H4" s="9" t="n">
        <f aca="false">FIN!H63</f>
        <v>1627.5040887566</v>
      </c>
      <c r="I4" s="9" t="n">
        <f aca="false">FIN!I63</f>
        <v>1820.5042873184</v>
      </c>
      <c r="J4" s="28" t="s">
        <v>342</v>
      </c>
    </row>
    <row r="5" customFormat="false" ht="15" hidden="false" customHeight="false" outlineLevel="0" collapsed="false">
      <c r="A5" s="5" t="s">
        <v>343</v>
      </c>
      <c r="B5" s="36" t="n">
        <v>3.5</v>
      </c>
      <c r="C5" s="36" t="n">
        <v>0</v>
      </c>
      <c r="D5" s="36" t="n">
        <v>137</v>
      </c>
      <c r="E5" s="9" t="n">
        <f aca="false">FIN!E61</f>
        <v>137</v>
      </c>
      <c r="F5" s="9" t="n">
        <f aca="false">FIN!F61</f>
        <v>335.052915193967</v>
      </c>
      <c r="G5" s="9" t="n">
        <f aca="false">FIN!G61</f>
        <v>7985.20624740863</v>
      </c>
      <c r="H5" s="9" t="n">
        <f aca="false">FIN!H61</f>
        <v>18508.514141763</v>
      </c>
      <c r="I5" s="9" t="n">
        <f aca="false">FIN!I61</f>
        <v>30634.9714378481</v>
      </c>
      <c r="J5" s="28" t="s">
        <v>344</v>
      </c>
    </row>
    <row r="6" customFormat="false" ht="15" hidden="false" customHeight="false" outlineLevel="0" collapsed="false">
      <c r="A6" s="5" t="s">
        <v>345</v>
      </c>
      <c r="B6" s="36" t="n">
        <v>3421</v>
      </c>
      <c r="C6" s="36" t="n">
        <v>4079.1</v>
      </c>
      <c r="D6" s="36" t="n">
        <v>6061</v>
      </c>
      <c r="E6" s="9" t="n">
        <f aca="false">Assumptions!C$46/365*IS!E4</f>
        <v>10168.6892501462</v>
      </c>
      <c r="F6" s="9" t="n">
        <f aca="false">Assumptions!D$46/365*IS!F4</f>
        <v>15308.5567653494</v>
      </c>
      <c r="G6" s="9" t="n">
        <f aca="false">Assumptions!E$46/365*IS!G4</f>
        <v>20060.7288684544</v>
      </c>
      <c r="H6" s="9" t="n">
        <f aca="false">Assumptions!F$46/365*IS!H4</f>
        <v>23632.2511518081</v>
      </c>
      <c r="I6" s="9" t="n">
        <f aca="false">Assumptions!G$46/365*IS!I4</f>
        <v>26185.3356395113</v>
      </c>
      <c r="J6" s="28" t="s">
        <v>346</v>
      </c>
    </row>
    <row r="7" customFormat="false" ht="15" hidden="false" customHeight="false" outlineLevel="0" collapsed="false">
      <c r="A7" s="5" t="s">
        <v>347</v>
      </c>
      <c r="B7" s="36" t="n">
        <v>37.5</v>
      </c>
      <c r="C7" s="36" t="n">
        <v>34.4</v>
      </c>
      <c r="D7" s="36" t="n">
        <v>78.3</v>
      </c>
      <c r="E7" s="9" t="n">
        <f aca="false">IS!E4*Assumptions!C$49</f>
        <v>132.55612772512</v>
      </c>
      <c r="F7" s="9" t="n">
        <f aca="false">IS!F4*Assumptions!D$49</f>
        <v>203.186298885546</v>
      </c>
      <c r="G7" s="9" t="n">
        <f aca="false">IS!G4*Assumptions!E$49</f>
        <v>271.19133470318</v>
      </c>
      <c r="H7" s="9" t="n">
        <f aca="false">IS!H4*Assumptions!F$49</f>
        <v>325.500817751319</v>
      </c>
      <c r="I7" s="9" t="n">
        <f aca="false">IS!I4*Assumptions!G$49</f>
        <v>364.10085746368</v>
      </c>
      <c r="J7" s="28" t="s">
        <v>348</v>
      </c>
    </row>
    <row r="8" customFormat="false" ht="15" hidden="false" customHeight="false" outlineLevel="0" collapsed="false">
      <c r="A8" s="5" t="s">
        <v>349</v>
      </c>
      <c r="B8" s="36" t="n">
        <v>74.3</v>
      </c>
      <c r="C8" s="36" t="n">
        <v>120.8</v>
      </c>
      <c r="D8" s="36" t="n">
        <v>352.1</v>
      </c>
      <c r="E8" s="9" t="n">
        <f aca="false">D8</f>
        <v>352.1</v>
      </c>
      <c r="F8" s="9" t="n">
        <f aca="false">E8</f>
        <v>352.1</v>
      </c>
      <c r="G8" s="9" t="n">
        <f aca="false">F8</f>
        <v>352.1</v>
      </c>
      <c r="H8" s="9" t="n">
        <f aca="false">G8</f>
        <v>352.1</v>
      </c>
      <c r="I8" s="9" t="n">
        <f aca="false">H8</f>
        <v>352.1</v>
      </c>
      <c r="J8" s="28" t="s">
        <v>350</v>
      </c>
    </row>
    <row r="9" customFormat="false" ht="15" hidden="false" customHeight="false" outlineLevel="0" collapsed="false">
      <c r="A9" s="5" t="s">
        <v>351</v>
      </c>
      <c r="B9" s="36" t="n">
        <v>1376.8</v>
      </c>
      <c r="C9" s="36" t="n">
        <v>2045.4</v>
      </c>
      <c r="D9" s="36" t="n">
        <v>3162.4</v>
      </c>
      <c r="E9" s="9" t="n">
        <f aca="false">Assumptions!C$47/365*IS!E6</f>
        <v>5161.40192846456</v>
      </c>
      <c r="F9" s="9" t="n">
        <f aca="false">Assumptions!D$47/365*IS!F6</f>
        <v>7673.21654628123</v>
      </c>
      <c r="G9" s="9" t="n">
        <f aca="false">Assumptions!E$47/365*IS!G6</f>
        <v>10126.7546311336</v>
      </c>
      <c r="H9" s="9" t="n">
        <f aca="false">Assumptions!F$47/365*IS!H6</f>
        <v>12084.3244135972</v>
      </c>
      <c r="I9" s="9" t="n">
        <f aca="false">Assumptions!G$47/365*IS!I6</f>
        <v>13541.8423364091</v>
      </c>
      <c r="J9" s="28" t="s">
        <v>352</v>
      </c>
    </row>
    <row r="10" customFormat="false" ht="15" hidden="false" customHeight="false" outlineLevel="0" collapsed="false">
      <c r="A10" s="5" t="s">
        <v>353</v>
      </c>
      <c r="B10" s="36" t="n">
        <v>208.7</v>
      </c>
      <c r="C10" s="36" t="n">
        <v>138.3</v>
      </c>
      <c r="D10" s="36" t="n">
        <v>443.4</v>
      </c>
      <c r="E10" s="9" t="n">
        <f aca="false">D10</f>
        <v>443.4</v>
      </c>
      <c r="F10" s="9" t="n">
        <f aca="false">E10</f>
        <v>443.4</v>
      </c>
      <c r="G10" s="9" t="n">
        <f aca="false">F10</f>
        <v>443.4</v>
      </c>
      <c r="H10" s="9" t="n">
        <f aca="false">G10</f>
        <v>443.4</v>
      </c>
      <c r="I10" s="9" t="n">
        <f aca="false">H10</f>
        <v>443.4</v>
      </c>
      <c r="J10" s="28" t="s">
        <v>354</v>
      </c>
    </row>
    <row r="11" customFormat="false" ht="15" hidden="false" customHeight="false" outlineLevel="0" collapsed="false">
      <c r="A11" s="3" t="s">
        <v>355</v>
      </c>
      <c r="B11" s="47" t="n">
        <f aca="false">B4+B5+B6+B7+B8+B9+B10</f>
        <v>7263.1</v>
      </c>
      <c r="C11" s="47" t="n">
        <f aca="false">C4+C5+C6+C7+C8+C9+C10</f>
        <v>8080</v>
      </c>
      <c r="D11" s="47" t="n">
        <f aca="false">D4+D5+D6+D7+D8+D9+D10</f>
        <v>13513.8</v>
      </c>
      <c r="E11" s="47" t="n">
        <f aca="false">E4+E5+E6+E7+E8+E9+E10</f>
        <v>17057.9279449615</v>
      </c>
      <c r="F11" s="47" t="n">
        <f aca="false">F4+F5+F6+F7+F8+F9+F10</f>
        <v>25331.4440201379</v>
      </c>
      <c r="G11" s="47" t="n">
        <f aca="false">G4+G5+G6+G7+G8+G9+G10</f>
        <v>40595.3377552158</v>
      </c>
      <c r="H11" s="47" t="n">
        <f aca="false">H4+H5+H6+H7+H8+H9+H10</f>
        <v>56973.5946136762</v>
      </c>
      <c r="I11" s="47" t="n">
        <f aca="false">I4+I5+I6+I7+I8+I9+I10</f>
        <v>73342.2545585506</v>
      </c>
      <c r="J11" s="28"/>
    </row>
    <row r="12" customFormat="false" ht="15" hidden="false" customHeight="false" outlineLevel="0" collapsed="false">
      <c r="A12" s="5" t="s">
        <v>356</v>
      </c>
      <c r="B12" s="36" t="n">
        <v>7128.7</v>
      </c>
      <c r="C12" s="36" t="n">
        <v>7428.8</v>
      </c>
      <c r="D12" s="36" t="n">
        <v>12774.3</v>
      </c>
      <c r="E12" s="9" t="n">
        <f aca="false">PPE!E18</f>
        <v>20475.6320725357</v>
      </c>
      <c r="F12" s="9" t="n">
        <f aca="false">PPE!F18</f>
        <v>27990.666122574</v>
      </c>
      <c r="G12" s="9" t="n">
        <f aca="false">PPE!G18</f>
        <v>33893.390894299</v>
      </c>
      <c r="H12" s="9" t="n">
        <f aca="false">PPE!H18</f>
        <v>38490.9181980435</v>
      </c>
      <c r="I12" s="9" t="n">
        <f aca="false">PPE!I18</f>
        <v>41737.6153102685</v>
      </c>
      <c r="J12" s="28" t="s">
        <v>357</v>
      </c>
    </row>
    <row r="13" customFormat="false" ht="15" hidden="false" customHeight="false" outlineLevel="0" collapsed="false">
      <c r="A13" s="5" t="s">
        <v>358</v>
      </c>
      <c r="B13" s="36" t="n">
        <v>65.6</v>
      </c>
      <c r="C13" s="36" t="n">
        <v>70.3</v>
      </c>
      <c r="D13" s="36" t="n">
        <v>98.1</v>
      </c>
      <c r="E13" s="9" t="n">
        <f aca="false">D13</f>
        <v>98.1</v>
      </c>
      <c r="F13" s="9" t="n">
        <f aca="false">E13</f>
        <v>98.1</v>
      </c>
      <c r="G13" s="9" t="n">
        <f aca="false">F13</f>
        <v>98.1</v>
      </c>
      <c r="H13" s="9" t="n">
        <f aca="false">G13</f>
        <v>98.1</v>
      </c>
      <c r="I13" s="9" t="n">
        <f aca="false">H13</f>
        <v>98.1</v>
      </c>
      <c r="J13" s="28" t="s">
        <v>350</v>
      </c>
    </row>
    <row r="14" customFormat="false" ht="15" hidden="false" customHeight="false" outlineLevel="0" collapsed="false">
      <c r="A14" s="5" t="s">
        <v>359</v>
      </c>
      <c r="B14" s="36" t="n">
        <v>759.9</v>
      </c>
      <c r="C14" s="36" t="n">
        <v>755.9</v>
      </c>
      <c r="D14" s="36" t="n">
        <v>959.5</v>
      </c>
      <c r="E14" s="9" t="n">
        <f aca="false">Schedules!E23</f>
        <v>882.74</v>
      </c>
      <c r="F14" s="9" t="n">
        <f aca="false">Schedules!F23</f>
        <v>812.1208</v>
      </c>
      <c r="G14" s="9" t="n">
        <f aca="false">Schedules!G23</f>
        <v>747.151136</v>
      </c>
      <c r="H14" s="9" t="n">
        <f aca="false">Schedules!H23</f>
        <v>687.37904512</v>
      </c>
      <c r="I14" s="9" t="n">
        <f aca="false">Schedules!I23</f>
        <v>632.3887215104</v>
      </c>
      <c r="J14" s="28" t="s">
        <v>360</v>
      </c>
    </row>
    <row r="15" customFormat="false" ht="15" hidden="false" customHeight="false" outlineLevel="0" collapsed="false">
      <c r="A15" s="5" t="s">
        <v>361</v>
      </c>
      <c r="B15" s="36" t="n">
        <v>1156.3</v>
      </c>
      <c r="C15" s="36" t="n">
        <v>1217.3</v>
      </c>
      <c r="D15" s="36" t="n">
        <v>1193.5</v>
      </c>
      <c r="E15" s="9" t="n">
        <f aca="false">D15</f>
        <v>1193.5</v>
      </c>
      <c r="F15" s="9" t="n">
        <f aca="false">E15</f>
        <v>1193.5</v>
      </c>
      <c r="G15" s="9" t="n">
        <f aca="false">F15</f>
        <v>1193.5</v>
      </c>
      <c r="H15" s="9" t="n">
        <f aca="false">G15</f>
        <v>1193.5</v>
      </c>
      <c r="I15" s="9" t="n">
        <f aca="false">H15</f>
        <v>1193.5</v>
      </c>
      <c r="J15" s="28" t="s">
        <v>350</v>
      </c>
    </row>
    <row r="16" customFormat="false" ht="15" hidden="false" customHeight="false" outlineLevel="0" collapsed="false">
      <c r="A16" s="5" t="s">
        <v>362</v>
      </c>
      <c r="B16" s="36" t="n">
        <v>71.9</v>
      </c>
      <c r="C16" s="36" t="n">
        <v>105.2</v>
      </c>
      <c r="D16" s="36" t="n">
        <v>210.9</v>
      </c>
      <c r="E16" s="9" t="n">
        <f aca="false">D16</f>
        <v>210.9</v>
      </c>
      <c r="F16" s="9" t="n">
        <f aca="false">E16</f>
        <v>210.9</v>
      </c>
      <c r="G16" s="9" t="n">
        <f aca="false">F16</f>
        <v>210.9</v>
      </c>
      <c r="H16" s="9" t="n">
        <f aca="false">G16</f>
        <v>210.9</v>
      </c>
      <c r="I16" s="9" t="n">
        <f aca="false">H16</f>
        <v>210.9</v>
      </c>
      <c r="J16" s="28" t="s">
        <v>350</v>
      </c>
    </row>
    <row r="17" customFormat="false" ht="15" hidden="false" customHeight="false" outlineLevel="0" collapsed="false">
      <c r="A17" s="5" t="s">
        <v>363</v>
      </c>
      <c r="B17" s="36" t="n">
        <v>76.7</v>
      </c>
      <c r="C17" s="36" t="n">
        <v>52.5</v>
      </c>
      <c r="D17" s="36" t="n">
        <v>343.3</v>
      </c>
      <c r="E17" s="9" t="n">
        <f aca="false">D17</f>
        <v>343.3</v>
      </c>
      <c r="F17" s="9" t="n">
        <f aca="false">E17</f>
        <v>343.3</v>
      </c>
      <c r="G17" s="9" t="n">
        <f aca="false">F17</f>
        <v>343.3</v>
      </c>
      <c r="H17" s="9" t="n">
        <f aca="false">G17</f>
        <v>343.3</v>
      </c>
      <c r="I17" s="9" t="n">
        <f aca="false">H17</f>
        <v>343.3</v>
      </c>
      <c r="J17" s="28" t="s">
        <v>350</v>
      </c>
    </row>
    <row r="18" customFormat="false" ht="15" hidden="false" customHeight="false" outlineLevel="0" collapsed="false">
      <c r="A18" s="5" t="s">
        <v>364</v>
      </c>
      <c r="B18" s="36" t="n">
        <v>765.2</v>
      </c>
      <c r="C18" s="36" t="n">
        <v>1116.3</v>
      </c>
      <c r="D18" s="36" t="n">
        <v>2854.3</v>
      </c>
      <c r="E18" s="9" t="n">
        <f aca="false">D18</f>
        <v>2854.3</v>
      </c>
      <c r="F18" s="9" t="n">
        <f aca="false">E18</f>
        <v>2854.3</v>
      </c>
      <c r="G18" s="9" t="n">
        <f aca="false">F18</f>
        <v>2854.3</v>
      </c>
      <c r="H18" s="9" t="n">
        <f aca="false">G18</f>
        <v>2854.3</v>
      </c>
      <c r="I18" s="9" t="n">
        <f aca="false">H18</f>
        <v>2854.3</v>
      </c>
      <c r="J18" s="28" t="s">
        <v>365</v>
      </c>
    </row>
    <row r="19" customFormat="false" ht="15" hidden="false" customHeight="false" outlineLevel="0" collapsed="false">
      <c r="A19" s="5" t="s">
        <v>366</v>
      </c>
      <c r="B19" s="36" t="n">
        <v>96.1</v>
      </c>
      <c r="C19" s="36" t="n">
        <v>349.1</v>
      </c>
      <c r="D19" s="36" t="n">
        <v>3296.9</v>
      </c>
      <c r="E19" s="9" t="n">
        <f aca="false">D19</f>
        <v>3296.9</v>
      </c>
      <c r="F19" s="9" t="n">
        <f aca="false">E19</f>
        <v>3296.9</v>
      </c>
      <c r="G19" s="9" t="n">
        <f aca="false">F19</f>
        <v>3296.9</v>
      </c>
      <c r="H19" s="9" t="n">
        <f aca="false">G19</f>
        <v>3296.9</v>
      </c>
      <c r="I19" s="9" t="n">
        <f aca="false">H19</f>
        <v>3296.9</v>
      </c>
      <c r="J19" s="26" t="s">
        <v>367</v>
      </c>
    </row>
    <row r="20" customFormat="false" ht="15" hidden="false" customHeight="false" outlineLevel="0" collapsed="false">
      <c r="A20" s="3" t="s">
        <v>368</v>
      </c>
      <c r="B20" s="47" t="n">
        <f aca="false">B12+B13+B14+B15+B16+B17+B18+B19</f>
        <v>10120.4</v>
      </c>
      <c r="C20" s="47" t="n">
        <f aca="false">C12+C13+C14+C15+C16+C17+C18+C19</f>
        <v>11095.4</v>
      </c>
      <c r="D20" s="47" t="n">
        <f aca="false">D12+D13+D14+D15+D16+D17+D18+D19</f>
        <v>21730.8</v>
      </c>
      <c r="E20" s="47" t="n">
        <f aca="false">E12+E13+E14+E15+E16+E17+E18+E19</f>
        <v>29355.3720725357</v>
      </c>
      <c r="F20" s="47" t="n">
        <f aca="false">F12+F13+F14+F15+F16+F17+F18+F19</f>
        <v>36799.786922574</v>
      </c>
      <c r="G20" s="47" t="n">
        <f aca="false">G12+G13+G14+G15+G16+G17+G18+G19</f>
        <v>42637.542030299</v>
      </c>
      <c r="H20" s="47" t="n">
        <f aca="false">H12+H13+H14+H15+H16+H17+H18+H19</f>
        <v>47175.2972431635</v>
      </c>
      <c r="I20" s="47" t="n">
        <f aca="false">I12+I13+I14+I15+I16+I17+I18+I19</f>
        <v>50367.0040317789</v>
      </c>
      <c r="J20" s="28"/>
    </row>
    <row r="21" customFormat="false" ht="15" hidden="false" customHeight="false" outlineLevel="0" collapsed="false">
      <c r="A21" s="3" t="s">
        <v>369</v>
      </c>
      <c r="B21" s="47" t="n">
        <f aca="false">B11+B20</f>
        <v>17383.5</v>
      </c>
      <c r="C21" s="47" t="n">
        <f aca="false">C11+C20</f>
        <v>19175.4</v>
      </c>
      <c r="D21" s="47" t="n">
        <f aca="false">D11+D20</f>
        <v>35244.6</v>
      </c>
      <c r="E21" s="47" t="n">
        <f aca="false">E11+E20</f>
        <v>46413.3000174971</v>
      </c>
      <c r="F21" s="47" t="n">
        <f aca="false">F11+F20</f>
        <v>62131.2309427118</v>
      </c>
      <c r="G21" s="47" t="n">
        <f aca="false">G11+G20</f>
        <v>83232.8797855148</v>
      </c>
      <c r="H21" s="47" t="n">
        <f aca="false">H11+H20</f>
        <v>104148.89185684</v>
      </c>
      <c r="I21" s="47" t="n">
        <f aca="false">I11+I20</f>
        <v>123709.258590329</v>
      </c>
      <c r="J21" s="26" t="s">
        <v>370</v>
      </c>
    </row>
    <row r="22" customFormat="false" ht="15" hidden="false" customHeight="false" outlineLevel="0" collapsed="false">
      <c r="A22" s="5" t="s">
        <v>371</v>
      </c>
      <c r="B22" s="36" t="n">
        <v>3014.1</v>
      </c>
      <c r="C22" s="36" t="n">
        <v>1253.7</v>
      </c>
      <c r="D22" s="36" t="n">
        <v>1499.7</v>
      </c>
      <c r="E22" s="9" t="n">
        <f aca="false">FIN!E24</f>
        <v>0</v>
      </c>
      <c r="F22" s="9" t="n">
        <f aca="false">FIN!F24</f>
        <v>0</v>
      </c>
      <c r="G22" s="9" t="n">
        <f aca="false">FIN!G24</f>
        <v>0</v>
      </c>
      <c r="H22" s="9" t="n">
        <f aca="false">FIN!H24</f>
        <v>0</v>
      </c>
      <c r="I22" s="9" t="n">
        <f aca="false">FIN!I24</f>
        <v>0</v>
      </c>
      <c r="J22" s="28" t="s">
        <v>372</v>
      </c>
    </row>
    <row r="23" customFormat="false" ht="15" hidden="false" customHeight="false" outlineLevel="0" collapsed="false">
      <c r="A23" s="5" t="s">
        <v>373</v>
      </c>
      <c r="B23" s="36" t="n">
        <v>3605.3</v>
      </c>
      <c r="C23" s="36" t="n">
        <v>4963</v>
      </c>
      <c r="D23" s="36" t="n">
        <v>10525.9</v>
      </c>
      <c r="E23" s="9" t="n">
        <f aca="false">Assumptions!C$48/365*IS!E6</f>
        <v>16830.6584623844</v>
      </c>
      <c r="F23" s="9" t="n">
        <f aca="false">Assumptions!D$48/365*IS!F6</f>
        <v>24724.8088713506</v>
      </c>
      <c r="G23" s="9" t="n">
        <f aca="false">Assumptions!E$48/365*IS!G6</f>
        <v>32221.4920081525</v>
      </c>
      <c r="H23" s="9" t="n">
        <f aca="false">Assumptions!F$48/365*IS!H6</f>
        <v>37939.1580426889</v>
      </c>
      <c r="I23" s="9" t="n">
        <f aca="false">Assumptions!G$48/365*IS!I6</f>
        <v>41422.1059701926</v>
      </c>
      <c r="J23" s="28" t="s">
        <v>374</v>
      </c>
    </row>
    <row r="24" customFormat="false" ht="15" hidden="false" customHeight="false" outlineLevel="0" collapsed="false">
      <c r="A24" s="5" t="s">
        <v>375</v>
      </c>
      <c r="B24" s="36" t="n">
        <v>5.2</v>
      </c>
      <c r="C24" s="36" t="n">
        <v>3.8</v>
      </c>
      <c r="D24" s="36" t="n">
        <v>11.4</v>
      </c>
      <c r="E24" s="9" t="n">
        <f aca="false">D24</f>
        <v>11.4</v>
      </c>
      <c r="F24" s="9" t="n">
        <f aca="false">E24</f>
        <v>11.4</v>
      </c>
      <c r="G24" s="9" t="n">
        <f aca="false">F24</f>
        <v>11.4</v>
      </c>
      <c r="H24" s="9" t="n">
        <f aca="false">G24</f>
        <v>11.4</v>
      </c>
      <c r="I24" s="9" t="n">
        <f aca="false">H24</f>
        <v>11.4</v>
      </c>
      <c r="J24" s="28" t="s">
        <v>350</v>
      </c>
    </row>
    <row r="25" customFormat="false" ht="15" hidden="false" customHeight="false" outlineLevel="0" collapsed="false">
      <c r="A25" s="5" t="s">
        <v>376</v>
      </c>
      <c r="B25" s="36" t="n">
        <v>166.4</v>
      </c>
      <c r="C25" s="36" t="n">
        <v>196</v>
      </c>
      <c r="D25" s="36" t="n">
        <v>278.9</v>
      </c>
      <c r="E25" s="9" t="n">
        <f aca="false">IS!E4*Assumptions!C$50</f>
        <v>463.94644703792</v>
      </c>
      <c r="F25" s="9" t="n">
        <f aca="false">IS!F4*Assumptions!D$50</f>
        <v>711.152046099412</v>
      </c>
      <c r="G25" s="9" t="n">
        <f aca="false">IS!G4*Assumptions!E$50</f>
        <v>949.169671461131</v>
      </c>
      <c r="H25" s="9" t="n">
        <f aca="false">IS!H4*Assumptions!F$50</f>
        <v>1139.25286212962</v>
      </c>
      <c r="I25" s="9" t="n">
        <f aca="false">IS!I4*Assumptions!G$50</f>
        <v>1274.35300112288</v>
      </c>
      <c r="J25" s="28" t="s">
        <v>377</v>
      </c>
    </row>
    <row r="26" customFormat="false" ht="15" hidden="false" customHeight="false" outlineLevel="0" collapsed="false">
      <c r="A26" s="5" t="s">
        <v>378</v>
      </c>
      <c r="B26" s="36" t="n">
        <v>108.9</v>
      </c>
      <c r="C26" s="36" t="n">
        <v>145.4</v>
      </c>
      <c r="D26" s="36" t="n">
        <v>471.6</v>
      </c>
      <c r="E26" s="9" t="n">
        <f aca="false">IS!E4*Assumptions!C$51</f>
        <v>662.7806386256</v>
      </c>
      <c r="F26" s="9" t="n">
        <f aca="false">IS!F4*Assumptions!D$51</f>
        <v>1015.93149442773</v>
      </c>
      <c r="G26" s="9" t="n">
        <f aca="false">IS!G4*Assumptions!E$51</f>
        <v>1355.9566735159</v>
      </c>
      <c r="H26" s="9" t="n">
        <f aca="false">IS!H4*Assumptions!F$51</f>
        <v>1627.5040887566</v>
      </c>
      <c r="I26" s="9" t="n">
        <f aca="false">IS!I4*Assumptions!G$51</f>
        <v>1820.5042873184</v>
      </c>
      <c r="J26" s="28" t="s">
        <v>379</v>
      </c>
    </row>
    <row r="27" customFormat="false" ht="15" hidden="false" customHeight="false" outlineLevel="0" collapsed="false">
      <c r="A27" s="5" t="s">
        <v>380</v>
      </c>
      <c r="B27" s="36" t="n">
        <v>202</v>
      </c>
      <c r="C27" s="36" t="n">
        <v>280.8</v>
      </c>
      <c r="D27" s="36" t="n">
        <v>238.3</v>
      </c>
      <c r="E27" s="9" t="n">
        <f aca="false">D27</f>
        <v>238.3</v>
      </c>
      <c r="F27" s="9" t="n">
        <f aca="false">E27</f>
        <v>238.3</v>
      </c>
      <c r="G27" s="9" t="n">
        <f aca="false">F27</f>
        <v>238.3</v>
      </c>
      <c r="H27" s="9" t="n">
        <f aca="false">G27</f>
        <v>238.3</v>
      </c>
      <c r="I27" s="9" t="n">
        <f aca="false">H27</f>
        <v>238.3</v>
      </c>
      <c r="J27" s="28" t="s">
        <v>350</v>
      </c>
    </row>
    <row r="28" customFormat="false" ht="15" hidden="false" customHeight="false" outlineLevel="0" collapsed="false">
      <c r="A28" s="5" t="s">
        <v>381</v>
      </c>
      <c r="B28" s="36" t="n">
        <v>296.9</v>
      </c>
      <c r="C28" s="36" t="n">
        <v>668.9</v>
      </c>
      <c r="D28" s="36" t="n">
        <v>996.2</v>
      </c>
      <c r="E28" s="9" t="n">
        <f aca="false">FIN!E32</f>
        <v>696.2</v>
      </c>
      <c r="F28" s="9" t="n">
        <f aca="false">FIN!F32</f>
        <v>396.2</v>
      </c>
      <c r="G28" s="9" t="n">
        <f aca="false">FIN!G32</f>
        <v>96.2000000000001</v>
      </c>
      <c r="H28" s="9" t="n">
        <f aca="false">FIN!H32</f>
        <v>0</v>
      </c>
      <c r="I28" s="9" t="n">
        <f aca="false">FIN!I32</f>
        <v>0</v>
      </c>
      <c r="J28" s="28" t="s">
        <v>382</v>
      </c>
    </row>
    <row r="29" customFormat="false" ht="15" hidden="false" customHeight="false" outlineLevel="0" collapsed="false">
      <c r="A29" s="5" t="s">
        <v>383</v>
      </c>
      <c r="B29" s="36" t="n">
        <v>177.1</v>
      </c>
      <c r="C29" s="36" t="n">
        <v>18.9</v>
      </c>
      <c r="D29" s="36" t="n">
        <v>16.9</v>
      </c>
      <c r="E29" s="9" t="n">
        <f aca="false">D29</f>
        <v>16.9</v>
      </c>
      <c r="F29" s="9" t="n">
        <f aca="false">E29</f>
        <v>16.9</v>
      </c>
      <c r="G29" s="9" t="n">
        <f aca="false">F29</f>
        <v>16.9</v>
      </c>
      <c r="H29" s="9" t="n">
        <f aca="false">G29</f>
        <v>16.9</v>
      </c>
      <c r="I29" s="9" t="n">
        <f aca="false">H29</f>
        <v>16.9</v>
      </c>
      <c r="J29" s="28" t="s">
        <v>384</v>
      </c>
    </row>
    <row r="30" customFormat="false" ht="15" hidden="false" customHeight="false" outlineLevel="0" collapsed="false">
      <c r="A30" s="3" t="s">
        <v>385</v>
      </c>
      <c r="B30" s="47" t="n">
        <f aca="false">B22+B23+B24+B25+B26+B27+B28+B29</f>
        <v>7575.9</v>
      </c>
      <c r="C30" s="47" t="n">
        <f aca="false">C22+C23+C24+C25+C26+C27+C28+C29</f>
        <v>7530.5</v>
      </c>
      <c r="D30" s="47" t="n">
        <f aca="false">D22+D23+D24+D25+D26+D27+D28+D29</f>
        <v>14038.9</v>
      </c>
      <c r="E30" s="47" t="n">
        <f aca="false">E22+E23+E24+E25+E26+E27+E28+E29</f>
        <v>18920.185548048</v>
      </c>
      <c r="F30" s="47" t="n">
        <f aca="false">F22+F23+F24+F25+F26+F27+F28+F29</f>
        <v>27114.6924118778</v>
      </c>
      <c r="G30" s="47" t="n">
        <f aca="false">G22+G23+G24+G25+G26+G27+G28+G29</f>
        <v>34889.4183531295</v>
      </c>
      <c r="H30" s="47" t="n">
        <f aca="false">H22+H23+H24+H25+H26+H27+H28+H29</f>
        <v>40972.5149935752</v>
      </c>
      <c r="I30" s="47" t="n">
        <f aca="false">I22+I23+I24+I25+I26+I27+I28+I29</f>
        <v>44783.5632586339</v>
      </c>
      <c r="J30" s="28"/>
    </row>
    <row r="31" customFormat="false" ht="15" hidden="false" customHeight="false" outlineLevel="0" collapsed="false">
      <c r="A31" s="5" t="s">
        <v>386</v>
      </c>
      <c r="B31" s="36" t="n">
        <v>1777.1</v>
      </c>
      <c r="C31" s="36" t="n">
        <v>2310</v>
      </c>
      <c r="D31" s="36" t="n">
        <v>3867.4</v>
      </c>
      <c r="E31" s="9" t="n">
        <f aca="false">FIN!E42</f>
        <v>3141.9468775575</v>
      </c>
      <c r="F31" s="9" t="n">
        <f aca="false">FIN!F42</f>
        <v>0</v>
      </c>
      <c r="G31" s="9" t="n">
        <f aca="false">FIN!G42</f>
        <v>0</v>
      </c>
      <c r="H31" s="9" t="n">
        <f aca="false">FIN!H42</f>
        <v>0</v>
      </c>
      <c r="I31" s="9" t="n">
        <f aca="false">FIN!I42</f>
        <v>0</v>
      </c>
      <c r="J31" s="28" t="s">
        <v>387</v>
      </c>
    </row>
    <row r="32" customFormat="false" ht="15" hidden="false" customHeight="false" outlineLevel="0" collapsed="false">
      <c r="A32" s="5" t="s">
        <v>388</v>
      </c>
      <c r="B32" s="36" t="n">
        <v>53.7</v>
      </c>
      <c r="C32" s="36" t="n">
        <v>60.2</v>
      </c>
      <c r="D32" s="36" t="n">
        <v>82.3</v>
      </c>
      <c r="E32" s="9" t="n">
        <f aca="false">FIN!E50</f>
        <v>62.3</v>
      </c>
      <c r="F32" s="9" t="n">
        <f aca="false">FIN!F50</f>
        <v>42.3</v>
      </c>
      <c r="G32" s="9" t="n">
        <f aca="false">FIN!G50</f>
        <v>22.3</v>
      </c>
      <c r="H32" s="9" t="n">
        <f aca="false">FIN!H50</f>
        <v>2.3</v>
      </c>
      <c r="I32" s="9" t="n">
        <f aca="false">FIN!I50</f>
        <v>0</v>
      </c>
      <c r="J32" s="28" t="s">
        <v>382</v>
      </c>
    </row>
    <row r="33" customFormat="false" ht="15" hidden="false" customHeight="false" outlineLevel="0" collapsed="false">
      <c r="A33" s="5" t="s">
        <v>389</v>
      </c>
      <c r="B33" s="36" t="n">
        <v>351.1</v>
      </c>
      <c r="C33" s="36" t="n">
        <v>346.7</v>
      </c>
      <c r="D33" s="36" t="n">
        <v>638.3</v>
      </c>
      <c r="E33" s="9" t="n">
        <f aca="false">D33</f>
        <v>638.3</v>
      </c>
      <c r="F33" s="9" t="n">
        <f aca="false">E33</f>
        <v>638.3</v>
      </c>
      <c r="G33" s="9" t="n">
        <f aca="false">F33</f>
        <v>638.3</v>
      </c>
      <c r="H33" s="9" t="n">
        <f aca="false">G33</f>
        <v>638.3</v>
      </c>
      <c r="I33" s="9" t="n">
        <f aca="false">H33</f>
        <v>638.3</v>
      </c>
      <c r="J33" s="28" t="s">
        <v>390</v>
      </c>
    </row>
    <row r="34" customFormat="false" ht="15" hidden="false" customHeight="false" outlineLevel="0" collapsed="false">
      <c r="A34" s="3" t="s">
        <v>391</v>
      </c>
      <c r="B34" s="47" t="n">
        <f aca="false">B31+B32+B33</f>
        <v>2181.9</v>
      </c>
      <c r="C34" s="47" t="n">
        <f aca="false">C31+C32+C33</f>
        <v>2716.9</v>
      </c>
      <c r="D34" s="47" t="n">
        <f aca="false">D31+D32+D33</f>
        <v>4588</v>
      </c>
      <c r="E34" s="47" t="n">
        <f aca="false">E31+E32+E33</f>
        <v>3842.5468775575</v>
      </c>
      <c r="F34" s="47" t="n">
        <f aca="false">F31+F32+F33</f>
        <v>680.6</v>
      </c>
      <c r="G34" s="47" t="n">
        <f aca="false">G31+G32+G33</f>
        <v>660.6</v>
      </c>
      <c r="H34" s="47" t="n">
        <f aca="false">H31+H32+H33</f>
        <v>640.6</v>
      </c>
      <c r="I34" s="47" t="n">
        <f aca="false">I31+I32+I33</f>
        <v>638.3</v>
      </c>
      <c r="J34" s="28"/>
    </row>
    <row r="35" customFormat="false" ht="15" hidden="false" customHeight="false" outlineLevel="0" collapsed="false">
      <c r="A35" s="3" t="s">
        <v>392</v>
      </c>
      <c r="B35" s="47" t="n">
        <f aca="false">B30+B34</f>
        <v>9757.8</v>
      </c>
      <c r="C35" s="47" t="n">
        <f aca="false">C30+C34</f>
        <v>10247.4</v>
      </c>
      <c r="D35" s="47" t="n">
        <f aca="false">D30+D34</f>
        <v>18626.9</v>
      </c>
      <c r="E35" s="47" t="n">
        <f aca="false">E30+E34</f>
        <v>22762.7324256055</v>
      </c>
      <c r="F35" s="47" t="n">
        <f aca="false">F30+F34</f>
        <v>27795.2924118778</v>
      </c>
      <c r="G35" s="47" t="n">
        <f aca="false">G30+G34</f>
        <v>35550.0183531295</v>
      </c>
      <c r="H35" s="47" t="n">
        <f aca="false">H30+H34</f>
        <v>41613.1149935751</v>
      </c>
      <c r="I35" s="47" t="n">
        <f aca="false">I30+I34</f>
        <v>45421.8632586339</v>
      </c>
    </row>
    <row r="36" customFormat="false" ht="15" hidden="false" customHeight="false" outlineLevel="0" collapsed="false">
      <c r="A36" s="5" t="s">
        <v>393</v>
      </c>
      <c r="B36" s="36" t="n">
        <v>862.7</v>
      </c>
      <c r="C36" s="36" t="n">
        <v>862.7</v>
      </c>
      <c r="D36" s="36" t="n">
        <v>870.3</v>
      </c>
      <c r="E36" s="9" t="n">
        <f aca="false">Equity_Roll!E5</f>
        <v>870.3</v>
      </c>
      <c r="F36" s="9" t="n">
        <f aca="false">Equity_Roll!F5</f>
        <v>870.3</v>
      </c>
      <c r="G36" s="9" t="n">
        <f aca="false">Equity_Roll!G5</f>
        <v>870.3</v>
      </c>
      <c r="H36" s="9" t="n">
        <f aca="false">Equity_Roll!H5</f>
        <v>870.3</v>
      </c>
      <c r="I36" s="9" t="n">
        <f aca="false">Equity_Roll!I5</f>
        <v>870.3</v>
      </c>
      <c r="J36" s="28" t="s">
        <v>394</v>
      </c>
    </row>
    <row r="37" customFormat="false" ht="15" hidden="false" customHeight="false" outlineLevel="0" collapsed="false">
      <c r="A37" s="5" t="s">
        <v>395</v>
      </c>
      <c r="B37" s="36" t="n">
        <v>3256.2</v>
      </c>
      <c r="C37" s="36" t="n">
        <v>3266.9</v>
      </c>
      <c r="D37" s="36" t="n">
        <v>5387.3</v>
      </c>
      <c r="E37" s="9" t="n">
        <f aca="false">Equity_Roll!E6</f>
        <v>5387.3</v>
      </c>
      <c r="F37" s="9" t="n">
        <f aca="false">Equity_Roll!F6</f>
        <v>5387.3</v>
      </c>
      <c r="G37" s="9" t="n">
        <f aca="false">Equity_Roll!G6</f>
        <v>5387.3</v>
      </c>
      <c r="H37" s="9" t="n">
        <f aca="false">Equity_Roll!H6</f>
        <v>5387.3</v>
      </c>
      <c r="I37" s="9" t="n">
        <f aca="false">Equity_Roll!I6</f>
        <v>5387.3</v>
      </c>
      <c r="J37" s="28" t="s">
        <v>394</v>
      </c>
    </row>
    <row r="38" customFormat="false" ht="15" hidden="false" customHeight="false" outlineLevel="0" collapsed="false">
      <c r="A38" s="5" t="s">
        <v>396</v>
      </c>
      <c r="B38" s="36" t="n">
        <v>56.1</v>
      </c>
      <c r="C38" s="36" t="n">
        <v>84.4</v>
      </c>
      <c r="D38" s="36" t="n">
        <v>5.4</v>
      </c>
      <c r="E38" s="9" t="n">
        <f aca="false">Equity_Roll!E7</f>
        <v>5.4</v>
      </c>
      <c r="F38" s="9" t="n">
        <f aca="false">Equity_Roll!F7</f>
        <v>5.4</v>
      </c>
      <c r="G38" s="9" t="n">
        <f aca="false">Equity_Roll!G7</f>
        <v>5.4</v>
      </c>
      <c r="H38" s="9" t="n">
        <f aca="false">Equity_Roll!H7</f>
        <v>5.4</v>
      </c>
      <c r="I38" s="9" t="n">
        <f aca="false">Equity_Roll!I7</f>
        <v>5.4</v>
      </c>
      <c r="J38" s="28" t="s">
        <v>394</v>
      </c>
    </row>
    <row r="39" customFormat="false" ht="15" hidden="false" customHeight="false" outlineLevel="0" collapsed="false">
      <c r="A39" s="5" t="s">
        <v>397</v>
      </c>
      <c r="B39" s="36" t="n">
        <v>240.5</v>
      </c>
      <c r="C39" s="36" t="n">
        <v>567.4</v>
      </c>
      <c r="D39" s="36" t="n">
        <v>1994.3</v>
      </c>
      <c r="E39" s="9" t="n">
        <f aca="false">Equity_Roll!E8</f>
        <v>1994.3</v>
      </c>
      <c r="F39" s="9" t="n">
        <f aca="false">Equity_Roll!F8</f>
        <v>1994.3</v>
      </c>
      <c r="G39" s="9" t="n">
        <f aca="false">Equity_Roll!G8</f>
        <v>1994.3</v>
      </c>
      <c r="H39" s="9" t="n">
        <f aca="false">Equity_Roll!H8</f>
        <v>1994.3</v>
      </c>
      <c r="I39" s="9" t="n">
        <f aca="false">Equity_Roll!I8</f>
        <v>1994.3</v>
      </c>
      <c r="J39" s="28" t="s">
        <v>394</v>
      </c>
    </row>
    <row r="40" customFormat="false" ht="15" hidden="false" customHeight="false" outlineLevel="0" collapsed="false">
      <c r="A40" s="5" t="s">
        <v>398</v>
      </c>
      <c r="B40" s="36" t="n">
        <v>383.7</v>
      </c>
      <c r="C40" s="36" t="n">
        <v>476.7</v>
      </c>
      <c r="D40" s="36" t="n">
        <v>476.7</v>
      </c>
      <c r="E40" s="9" t="n">
        <f aca="false">Equity_Roll!E10</f>
        <v>1309.34675918917</v>
      </c>
      <c r="F40" s="9" t="n">
        <f aca="false">Equity_Roll!F10</f>
        <v>2627.67788084015</v>
      </c>
      <c r="G40" s="9" t="n">
        <f aca="false">Equity_Roll!G10</f>
        <v>4357.86950749057</v>
      </c>
      <c r="H40" s="9" t="n">
        <f aca="false">Equity_Roll!H10</f>
        <v>6362.21853857363</v>
      </c>
      <c r="I40" s="9" t="n">
        <f aca="false">Equity_Roll!I10</f>
        <v>8538.68509474164</v>
      </c>
      <c r="J40" s="28" t="s">
        <v>399</v>
      </c>
    </row>
    <row r="41" customFormat="false" ht="15" hidden="false" customHeight="false" outlineLevel="0" collapsed="false">
      <c r="A41" s="5" t="s">
        <v>400</v>
      </c>
      <c r="B41" s="36" t="n">
        <v>2932.9</v>
      </c>
      <c r="C41" s="36" t="n">
        <v>3831</v>
      </c>
      <c r="D41" s="36" t="n">
        <v>7885.4</v>
      </c>
      <c r="E41" s="9" t="n">
        <f aca="false">Equity_Roll!E12</f>
        <v>14085.6208327025</v>
      </c>
      <c r="F41" s="9" t="n">
        <f aca="false">Equity_Roll!F12</f>
        <v>23452.6606499939</v>
      </c>
      <c r="G41" s="9" t="n">
        <f aca="false">Equity_Roll!G12</f>
        <v>35069.3919248947</v>
      </c>
      <c r="H41" s="9" t="n">
        <f aca="false">Equity_Roll!H12</f>
        <v>47917.958324691</v>
      </c>
      <c r="I41" s="9" t="n">
        <f aca="false">Equity_Roll!I12</f>
        <v>61493.1102369538</v>
      </c>
      <c r="J41" s="28" t="s">
        <v>401</v>
      </c>
    </row>
    <row r="42" customFormat="false" ht="15" hidden="false" customHeight="false" outlineLevel="0" collapsed="false">
      <c r="A42" s="5" t="s">
        <v>402</v>
      </c>
      <c r="B42" s="36" t="n">
        <v>5.8</v>
      </c>
      <c r="C42" s="36" t="n">
        <v>7.7</v>
      </c>
      <c r="D42" s="36" t="n">
        <v>9.1</v>
      </c>
      <c r="E42" s="9" t="n">
        <f aca="false">D42</f>
        <v>9.1</v>
      </c>
      <c r="F42" s="9" t="n">
        <f aca="false">E42</f>
        <v>9.1</v>
      </c>
      <c r="G42" s="9" t="n">
        <f aca="false">F42</f>
        <v>9.1</v>
      </c>
      <c r="H42" s="9" t="n">
        <f aca="false">G42</f>
        <v>9.1</v>
      </c>
      <c r="I42" s="9" t="n">
        <f aca="false">H42</f>
        <v>9.1</v>
      </c>
      <c r="J42" s="28" t="s">
        <v>403</v>
      </c>
    </row>
    <row r="43" customFormat="false" ht="15" hidden="false" customHeight="false" outlineLevel="0" collapsed="false">
      <c r="A43" s="3" t="s">
        <v>404</v>
      </c>
      <c r="B43" s="47" t="n">
        <f aca="false">B36+B37-B38+B39+B40+B41+B42</f>
        <v>7625.7</v>
      </c>
      <c r="C43" s="47" t="n">
        <f aca="false">C36+C37-C38+C39+C40+C41+C42</f>
        <v>8928</v>
      </c>
      <c r="D43" s="47" t="n">
        <f aca="false">D36+D37-D38+D39+D40+D41+D42</f>
        <v>16617.7</v>
      </c>
      <c r="E43" s="47" t="n">
        <f aca="false">E36+E37-E38+E39+E40+E41+E42</f>
        <v>23650.5675918917</v>
      </c>
      <c r="F43" s="47" t="n">
        <f aca="false">F36+F37-F38+F39+F40+F41+F42</f>
        <v>34335.938530834</v>
      </c>
      <c r="G43" s="47" t="n">
        <f aca="false">G36+G37-G38+G39+G40+G41+G42</f>
        <v>47682.8614323852</v>
      </c>
      <c r="H43" s="47" t="n">
        <f aca="false">H36+H37-H38+H39+H40+H41+H42</f>
        <v>62535.7768632646</v>
      </c>
      <c r="I43" s="47" t="n">
        <f aca="false">I36+I37-I38+I39+I40+I41+I42</f>
        <v>78287.3953316955</v>
      </c>
    </row>
    <row r="44" customFormat="false" ht="15" hidden="false" customHeight="false" outlineLevel="0" collapsed="false">
      <c r="A44" s="5" t="s">
        <v>405</v>
      </c>
      <c r="B44" s="36" t="n">
        <v>0</v>
      </c>
      <c r="C44" s="36" t="n">
        <v>0</v>
      </c>
      <c r="D44" s="36" t="n">
        <v>0</v>
      </c>
      <c r="E44" s="9" t="n">
        <f aca="false">D44</f>
        <v>0</v>
      </c>
      <c r="F44" s="9" t="n">
        <f aca="false">E44</f>
        <v>0</v>
      </c>
      <c r="G44" s="9" t="n">
        <f aca="false">F44</f>
        <v>0</v>
      </c>
      <c r="H44" s="9" t="n">
        <f aca="false">G44</f>
        <v>0</v>
      </c>
      <c r="I44" s="9" t="n">
        <f aca="false">H44</f>
        <v>0</v>
      </c>
      <c r="J44" s="28" t="s">
        <v>406</v>
      </c>
    </row>
    <row r="45" customFormat="false" ht="15" hidden="false" customHeight="false" outlineLevel="0" collapsed="false">
      <c r="A45" s="3" t="s">
        <v>407</v>
      </c>
      <c r="B45" s="48" t="n">
        <f aca="false">B43+B44</f>
        <v>7625.7</v>
      </c>
      <c r="C45" s="48" t="n">
        <f aca="false">C43+C44</f>
        <v>8928</v>
      </c>
      <c r="D45" s="48" t="n">
        <f aca="false">D43+D44</f>
        <v>16617.7</v>
      </c>
      <c r="E45" s="48" t="n">
        <f aca="false">E43+E44</f>
        <v>23650.5675918917</v>
      </c>
      <c r="F45" s="48" t="n">
        <f aca="false">F43+F44</f>
        <v>34335.938530834</v>
      </c>
      <c r="G45" s="48" t="n">
        <f aca="false">G43+G44</f>
        <v>47682.8614323852</v>
      </c>
      <c r="H45" s="48" t="n">
        <f aca="false">H43+H44</f>
        <v>62535.7768632646</v>
      </c>
      <c r="I45" s="48" t="n">
        <f aca="false">I43+I44</f>
        <v>78287.3953316955</v>
      </c>
    </row>
    <row r="46" customFormat="false" ht="15" hidden="false" customHeight="false" outlineLevel="0" collapsed="false">
      <c r="A46" s="3" t="s">
        <v>408</v>
      </c>
      <c r="B46" s="47" t="n">
        <f aca="false">B35+B45</f>
        <v>17383.5</v>
      </c>
      <c r="C46" s="47" t="n">
        <f aca="false">C35+C45</f>
        <v>19175.4</v>
      </c>
      <c r="D46" s="47" t="n">
        <f aca="false">D35+D45</f>
        <v>35244.6</v>
      </c>
      <c r="E46" s="47" t="n">
        <f aca="false">E35+E45</f>
        <v>46413.3000174971</v>
      </c>
      <c r="F46" s="47" t="n">
        <f aca="false">F35+F45</f>
        <v>62131.2309427118</v>
      </c>
      <c r="G46" s="47" t="n">
        <f aca="false">G35+G45</f>
        <v>83232.8797855148</v>
      </c>
      <c r="H46" s="47" t="n">
        <f aca="false">H35+H45</f>
        <v>104148.89185684</v>
      </c>
      <c r="I46" s="47" t="n">
        <f aca="false">I35+I45</f>
        <v>123709.258590329</v>
      </c>
    </row>
    <row r="47" customFormat="false" ht="15" hidden="false" customHeight="false" outlineLevel="0" collapsed="false">
      <c r="A47" s="43" t="s">
        <v>409</v>
      </c>
      <c r="B47" s="50" t="n">
        <f aca="false">B21-B46</f>
        <v>0</v>
      </c>
      <c r="C47" s="50" t="n">
        <f aca="false">C21-C46</f>
        <v>0</v>
      </c>
      <c r="D47" s="50" t="n">
        <f aca="false">D21-D46</f>
        <v>0</v>
      </c>
      <c r="E47" s="50" t="n">
        <f aca="false">E21-E46</f>
        <v>0</v>
      </c>
      <c r="F47" s="50" t="n">
        <f aca="false">F21-F46</f>
        <v>0</v>
      </c>
      <c r="G47" s="50" t="n">
        <f aca="false">G21-G46</f>
        <v>0</v>
      </c>
      <c r="H47" s="50" t="n">
        <f aca="false">H21-H46</f>
        <v>0</v>
      </c>
      <c r="I47" s="50" t="n">
        <f aca="false">I21-I46</f>
        <v>0</v>
      </c>
      <c r="J47" s="28" t="s">
        <v>410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411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412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264</v>
      </c>
    </row>
    <row r="4" customFormat="false" ht="15" hidden="false" customHeight="false" outlineLevel="0" collapsed="false">
      <c r="A4" s="5" t="s">
        <v>329</v>
      </c>
      <c r="B4" s="36" t="n">
        <v>671.3</v>
      </c>
      <c r="C4" s="36" t="n">
        <v>1154.4</v>
      </c>
      <c r="D4" s="36" t="n">
        <v>4312</v>
      </c>
      <c r="E4" s="9" t="n">
        <f aca="false">IS!E20</f>
        <v>8326.46759189166</v>
      </c>
      <c r="F4" s="9" t="n">
        <f aca="false">IS!F20</f>
        <v>13183.3112165099</v>
      </c>
      <c r="G4" s="9" t="n">
        <f aca="false">IS!G20</f>
        <v>17301.9162665042</v>
      </c>
      <c r="H4" s="9" t="n">
        <f aca="false">IS!H20</f>
        <v>20043.4903108306</v>
      </c>
      <c r="I4" s="9" t="n">
        <f aca="false">IS!I20</f>
        <v>21764.6655616801</v>
      </c>
      <c r="J4" s="28" t="s">
        <v>413</v>
      </c>
    </row>
    <row r="5" customFormat="false" ht="15" hidden="false" customHeight="false" outlineLevel="0" collapsed="false">
      <c r="A5" s="5" t="s">
        <v>414</v>
      </c>
      <c r="B5" s="36" t="n">
        <v>640.1</v>
      </c>
      <c r="C5" s="36" t="n">
        <v>787.6</v>
      </c>
      <c r="D5" s="36" t="n">
        <v>993</v>
      </c>
      <c r="E5" s="9" t="n">
        <f aca="false">PPE!E19</f>
        <v>1562.75686822275</v>
      </c>
      <c r="F5" s="9" t="n">
        <f aca="false">PPE!F19</f>
        <v>2542.37684586553</v>
      </c>
      <c r="G5" s="9" t="n">
        <f aca="false">PPE!G19</f>
        <v>3407.49150110921</v>
      </c>
      <c r="H5" s="9" t="n">
        <f aca="false">PPE!H19</f>
        <v>4106.67674700246</v>
      </c>
      <c r="I5" s="9" t="n">
        <f aca="false">PPE!I19</f>
        <v>4646.05484871961</v>
      </c>
      <c r="J5" s="28" t="s">
        <v>415</v>
      </c>
    </row>
    <row r="6" customFormat="false" ht="15" hidden="false" customHeight="false" outlineLevel="0" collapsed="false">
      <c r="A6" s="5" t="s">
        <v>416</v>
      </c>
      <c r="B6" s="34" t="s">
        <v>272</v>
      </c>
      <c r="C6" s="34" t="s">
        <v>272</v>
      </c>
      <c r="D6" s="34" t="s">
        <v>272</v>
      </c>
      <c r="E6" s="9" t="n">
        <f aca="false">FIN!E64</f>
        <v>184.192718822136</v>
      </c>
      <c r="F6" s="9" t="n">
        <f aca="false">FIN!F64</f>
        <v>79.0503172348138</v>
      </c>
      <c r="G6" s="9" t="n">
        <f aca="false">FIN!G64</f>
        <v>9.8243</v>
      </c>
      <c r="H6" s="9" t="n">
        <f aca="false">FIN!H64</f>
        <v>2.1889</v>
      </c>
      <c r="I6" s="9" t="n">
        <f aca="false">FIN!I64</f>
        <v>0.0517499999999999</v>
      </c>
      <c r="J6" s="28" t="s">
        <v>417</v>
      </c>
    </row>
    <row r="7" customFormat="false" ht="15" hidden="false" customHeight="false" outlineLevel="0" collapsed="false">
      <c r="A7" s="5" t="s">
        <v>418</v>
      </c>
      <c r="B7" s="34" t="s">
        <v>272</v>
      </c>
      <c r="C7" s="34" t="s">
        <v>272</v>
      </c>
      <c r="D7" s="34" t="s">
        <v>272</v>
      </c>
      <c r="E7" s="9" t="n">
        <f aca="false">-Schedules!E18</f>
        <v>520.038241712082</v>
      </c>
      <c r="F7" s="9" t="n">
        <f aca="false">-Schedules!F18</f>
        <v>772.194559649541</v>
      </c>
      <c r="G7" s="9" t="n">
        <f aca="false">-Schedules!G18</f>
        <v>801.010717476653</v>
      </c>
      <c r="H7" s="9" t="n">
        <f aca="false">-Schedules!H18</f>
        <v>595.895091580227</v>
      </c>
      <c r="I7" s="9" t="n">
        <f aca="false">-Schedules!I18</f>
        <v>-238.154185168642</v>
      </c>
      <c r="J7" s="28" t="s">
        <v>419</v>
      </c>
    </row>
    <row r="8" customFormat="false" ht="15" hidden="false" customHeight="false" outlineLevel="0" collapsed="false">
      <c r="A8" s="3" t="s">
        <v>420</v>
      </c>
      <c r="B8" s="49" t="n">
        <v>1279.8</v>
      </c>
      <c r="C8" s="49" t="n">
        <v>1358.3</v>
      </c>
      <c r="D8" s="49" t="n">
        <v>4602.7</v>
      </c>
      <c r="E8" s="48" t="n">
        <f aca="false">E4+E5+E6+E7</f>
        <v>10593.4554206486</v>
      </c>
      <c r="F8" s="48" t="n">
        <f aca="false">F4+F5+F6+F7</f>
        <v>16576.9329392598</v>
      </c>
      <c r="G8" s="48" t="n">
        <f aca="false">G4+G5+G6+G7</f>
        <v>21520.24278509</v>
      </c>
      <c r="H8" s="48" t="n">
        <f aca="false">H4+H5+H6+H7</f>
        <v>24748.2510494133</v>
      </c>
      <c r="I8" s="48" t="n">
        <f aca="false">I4+I5+I6+I7</f>
        <v>26172.617975231</v>
      </c>
      <c r="J8" s="28" t="s">
        <v>421</v>
      </c>
    </row>
    <row r="9" customFormat="false" ht="15" hidden="false" customHeight="false" outlineLevel="0" collapsed="false">
      <c r="A9" s="5" t="s">
        <v>422</v>
      </c>
      <c r="B9" s="36" t="n">
        <v>-644.6</v>
      </c>
      <c r="C9" s="36" t="n">
        <v>-833.8</v>
      </c>
      <c r="D9" s="36" t="n">
        <v>-6616.8</v>
      </c>
      <c r="E9" s="9" t="n">
        <f aca="false">-PPE!E14</f>
        <v>-9278.9289407584</v>
      </c>
      <c r="F9" s="9" t="n">
        <f aca="false">-PPE!F14</f>
        <v>-10159.3149442773</v>
      </c>
      <c r="G9" s="9" t="n">
        <f aca="false">-PPE!G14</f>
        <v>-9491.69671461131</v>
      </c>
      <c r="H9" s="9" t="n">
        <f aca="false">-PPE!H14</f>
        <v>-8951.27248816128</v>
      </c>
      <c r="I9" s="9" t="n">
        <f aca="false">-PPE!I14</f>
        <v>-8192.26929293281</v>
      </c>
      <c r="J9" s="28" t="s">
        <v>423</v>
      </c>
    </row>
    <row r="10" customFormat="false" ht="15" hidden="false" customHeight="false" outlineLevel="0" collapsed="false">
      <c r="A10" s="5" t="s">
        <v>424</v>
      </c>
      <c r="B10" s="34" t="s">
        <v>272</v>
      </c>
      <c r="C10" s="34" t="s">
        <v>272</v>
      </c>
      <c r="D10" s="34" t="s">
        <v>272</v>
      </c>
      <c r="E10" s="9" t="n">
        <f aca="false">PPE!E9</f>
        <v>91.6</v>
      </c>
      <c r="F10" s="9" t="n">
        <f aca="false">PPE!F9</f>
        <v>172.523248373461</v>
      </c>
      <c r="G10" s="9" t="n">
        <f aca="false">PPE!G9</f>
        <v>246.450105777072</v>
      </c>
      <c r="H10" s="9" t="n">
        <f aca="false">PPE!H9</f>
        <v>306.840528294295</v>
      </c>
      <c r="I10" s="9" t="n">
        <f aca="false">PPE!I9</f>
        <v>354.507655597858</v>
      </c>
      <c r="J10" s="28" t="s">
        <v>425</v>
      </c>
    </row>
    <row r="11" customFormat="false" ht="15" hidden="false" customHeight="false" outlineLevel="0" collapsed="false">
      <c r="A11" s="5" t="s">
        <v>426</v>
      </c>
      <c r="B11" s="34" t="s">
        <v>272</v>
      </c>
      <c r="C11" s="34" t="s">
        <v>272</v>
      </c>
      <c r="D11" s="34" t="s">
        <v>272</v>
      </c>
      <c r="E11" s="9" t="n">
        <f aca="false">-FIN!E62</f>
        <v>-0</v>
      </c>
      <c r="F11" s="9" t="n">
        <f aca="false">-FIN!F62</f>
        <v>-198.052915193967</v>
      </c>
      <c r="G11" s="9" t="n">
        <f aca="false">-FIN!G62</f>
        <v>-7650.15333221466</v>
      </c>
      <c r="H11" s="9" t="n">
        <f aca="false">-FIN!H62</f>
        <v>-10523.3078943544</v>
      </c>
      <c r="I11" s="9" t="n">
        <f aca="false">-FIN!I62</f>
        <v>-12126.4572960851</v>
      </c>
      <c r="J11" s="28" t="s">
        <v>427</v>
      </c>
    </row>
    <row r="12" customFormat="false" ht="15" hidden="false" customHeight="false" outlineLevel="0" collapsed="false">
      <c r="A12" s="3" t="s">
        <v>428</v>
      </c>
      <c r="B12" s="49" t="n">
        <v>-1999.7</v>
      </c>
      <c r="C12" s="49" t="n">
        <v>-1040.8</v>
      </c>
      <c r="D12" s="49" t="n">
        <v>-6735</v>
      </c>
      <c r="E12" s="48" t="n">
        <f aca="false">E9+E10+E11</f>
        <v>-9187.3289407584</v>
      </c>
      <c r="F12" s="48" t="n">
        <f aca="false">F9+F10+F11</f>
        <v>-10184.8446110978</v>
      </c>
      <c r="G12" s="48" t="n">
        <f aca="false">G9+G10+G11</f>
        <v>-16895.3999410489</v>
      </c>
      <c r="H12" s="48" t="n">
        <f aca="false">H9+H10+H11</f>
        <v>-19167.7398542213</v>
      </c>
      <c r="I12" s="48" t="n">
        <f aca="false">I9+I10+I11</f>
        <v>-19964.2189334201</v>
      </c>
      <c r="J12" s="28" t="s">
        <v>429</v>
      </c>
    </row>
    <row r="13" customFormat="false" ht="15" hidden="false" customHeight="false" outlineLevel="0" collapsed="false">
      <c r="A13" s="5" t="s">
        <v>430</v>
      </c>
      <c r="B13" s="34" t="s">
        <v>272</v>
      </c>
      <c r="C13" s="34" t="s">
        <v>272</v>
      </c>
      <c r="D13" s="34" t="s">
        <v>272</v>
      </c>
      <c r="E13" s="9" t="n">
        <f aca="false">FIN!E57</f>
        <v>-2545.1531224425</v>
      </c>
      <c r="F13" s="9" t="n">
        <f aca="false">FIN!F57</f>
        <v>-3461.9468775575</v>
      </c>
      <c r="G13" s="9" t="n">
        <f aca="false">FIN!G57</f>
        <v>-320</v>
      </c>
      <c r="H13" s="9" t="n">
        <f aca="false">FIN!H57</f>
        <v>-116.2</v>
      </c>
      <c r="I13" s="9" t="n">
        <f aca="false">FIN!I57</f>
        <v>-2.3</v>
      </c>
      <c r="J13" s="28" t="s">
        <v>431</v>
      </c>
    </row>
    <row r="14" customFormat="false" ht="15" hidden="false" customHeight="false" outlineLevel="0" collapsed="false">
      <c r="A14" s="5" t="s">
        <v>432</v>
      </c>
      <c r="B14" s="34" t="s">
        <v>272</v>
      </c>
      <c r="C14" s="34" t="s">
        <v>272</v>
      </c>
      <c r="D14" s="34" t="s">
        <v>272</v>
      </c>
      <c r="E14" s="9" t="n">
        <f aca="false">-FIN!E64</f>
        <v>-184.192718822136</v>
      </c>
      <c r="F14" s="9" t="n">
        <f aca="false">-FIN!F64</f>
        <v>-79.0503172348138</v>
      </c>
      <c r="G14" s="9" t="n">
        <f aca="false">-FIN!G64</f>
        <v>-9.8243</v>
      </c>
      <c r="H14" s="9" t="n">
        <f aca="false">-FIN!H64</f>
        <v>-2.1889</v>
      </c>
      <c r="I14" s="9" t="n">
        <f aca="false">-FIN!I64</f>
        <v>-0.0517499999999999</v>
      </c>
      <c r="J14" s="28" t="s">
        <v>433</v>
      </c>
    </row>
    <row r="15" customFormat="false" ht="15" hidden="false" customHeight="false" outlineLevel="0" collapsed="false">
      <c r="A15" s="5" t="s">
        <v>434</v>
      </c>
      <c r="B15" s="34" t="s">
        <v>272</v>
      </c>
      <c r="C15" s="34" t="s">
        <v>272</v>
      </c>
      <c r="D15" s="34" t="s">
        <v>272</v>
      </c>
      <c r="E15" s="9" t="n">
        <f aca="false">-Schedules!E26</f>
        <v>-1293.6</v>
      </c>
      <c r="F15" s="9" t="n">
        <f aca="false">-Schedules!F26</f>
        <v>-2497.9402775675</v>
      </c>
      <c r="G15" s="9" t="n">
        <f aca="false">-Schedules!G26</f>
        <v>-3954.99336495296</v>
      </c>
      <c r="H15" s="9" t="n">
        <f aca="false">-Schedules!H26</f>
        <v>-5190.57487995125</v>
      </c>
      <c r="I15" s="9" t="n">
        <f aca="false">-Schedules!I26</f>
        <v>-6013.04709324918</v>
      </c>
      <c r="J15" s="28" t="s">
        <v>435</v>
      </c>
    </row>
    <row r="16" customFormat="false" ht="15" hidden="false" customHeight="false" outlineLevel="0" collapsed="false">
      <c r="A16" s="3" t="s">
        <v>436</v>
      </c>
      <c r="B16" s="49" t="n">
        <v>733.8</v>
      </c>
      <c r="C16" s="49" t="n">
        <v>-210</v>
      </c>
      <c r="D16" s="49" t="n">
        <v>4377.5</v>
      </c>
      <c r="E16" s="48" t="n">
        <f aca="false">E13+E14+E15</f>
        <v>-4022.94584126463</v>
      </c>
      <c r="F16" s="48" t="n">
        <f aca="false">F13+F14+F15</f>
        <v>-6038.93747235981</v>
      </c>
      <c r="G16" s="48" t="n">
        <f aca="false">G13+G14+G15</f>
        <v>-4284.81766495296</v>
      </c>
      <c r="H16" s="48" t="n">
        <f aca="false">H13+H14+H15</f>
        <v>-5308.96377995125</v>
      </c>
      <c r="I16" s="48" t="n">
        <f aca="false">I13+I14+I15</f>
        <v>-6015.39884324918</v>
      </c>
      <c r="J16" s="28" t="s">
        <v>437</v>
      </c>
    </row>
    <row r="17" customFormat="false" ht="15" hidden="false" customHeight="false" outlineLevel="0" collapsed="false">
      <c r="A17" s="3" t="s">
        <v>438</v>
      </c>
      <c r="B17" s="34" t="s">
        <v>272</v>
      </c>
      <c r="C17" s="34" t="s">
        <v>272</v>
      </c>
      <c r="D17" s="34" t="s">
        <v>272</v>
      </c>
      <c r="E17" s="48" t="n">
        <f aca="false">E8+E12+E16</f>
        <v>-2616.8193613744</v>
      </c>
      <c r="F17" s="48" t="n">
        <f aca="false">F8+F12+F16</f>
        <v>353.150855802129</v>
      </c>
      <c r="G17" s="48" t="n">
        <f aca="false">G8+G12+G16</f>
        <v>340.025179088168</v>
      </c>
      <c r="H17" s="48" t="n">
        <f aca="false">H8+H12+H16</f>
        <v>271.547415240701</v>
      </c>
      <c r="I17" s="48" t="n">
        <f aca="false">I8+I12+I16</f>
        <v>193.000198561806</v>
      </c>
      <c r="J17" s="28"/>
    </row>
    <row r="18" customFormat="false" ht="15" hidden="false" customHeight="false" outlineLevel="0" collapsed="false">
      <c r="A18" s="5" t="s">
        <v>439</v>
      </c>
      <c r="B18" s="34" t="s">
        <v>272</v>
      </c>
      <c r="C18" s="34" t="s">
        <v>272</v>
      </c>
      <c r="D18" s="34" t="s">
        <v>272</v>
      </c>
      <c r="E18" s="9" t="n">
        <f aca="false">BS!D4</f>
        <v>3279.6</v>
      </c>
      <c r="F18" s="9" t="n">
        <f aca="false">E19</f>
        <v>662.780638625599</v>
      </c>
      <c r="G18" s="9" t="n">
        <f aca="false">F19</f>
        <v>1015.93149442773</v>
      </c>
      <c r="H18" s="9" t="n">
        <f aca="false">G19</f>
        <v>1355.9566735159</v>
      </c>
      <c r="I18" s="9" t="n">
        <f aca="false">H19</f>
        <v>1627.5040887566</v>
      </c>
      <c r="J18" s="26" t="s">
        <v>440</v>
      </c>
    </row>
    <row r="19" customFormat="false" ht="15" hidden="false" customHeight="false" outlineLevel="0" collapsed="false">
      <c r="A19" s="3" t="s">
        <v>441</v>
      </c>
      <c r="B19" s="49" t="n">
        <v>2141.3</v>
      </c>
      <c r="C19" s="49" t="n">
        <v>1662</v>
      </c>
      <c r="D19" s="49" t="n">
        <v>3279.6</v>
      </c>
      <c r="E19" s="48" t="n">
        <f aca="false">E18+E17</f>
        <v>662.780638625599</v>
      </c>
      <c r="F19" s="48" t="n">
        <f aca="false">F18+F17</f>
        <v>1015.93149442773</v>
      </c>
      <c r="G19" s="48" t="n">
        <f aca="false">G18+G17</f>
        <v>1355.9566735159</v>
      </c>
      <c r="H19" s="48" t="n">
        <f aca="false">H18+H17</f>
        <v>1627.5040887566</v>
      </c>
      <c r="I19" s="48" t="n">
        <f aca="false">I18+I17</f>
        <v>1820.5042873184</v>
      </c>
      <c r="J19" s="28" t="s">
        <v>442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443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444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5" t="s">
        <v>445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345</v>
      </c>
      <c r="B6" s="9" t="n">
        <f aca="false">BS!B6</f>
        <v>3421</v>
      </c>
      <c r="C6" s="9" t="n">
        <f aca="false">BS!C6</f>
        <v>4079.1</v>
      </c>
      <c r="D6" s="9" t="n">
        <f aca="false">BS!D6</f>
        <v>6061</v>
      </c>
      <c r="E6" s="9" t="n">
        <f aca="false">BS!E6</f>
        <v>10168.6892501462</v>
      </c>
      <c r="F6" s="9" t="n">
        <f aca="false">BS!F6</f>
        <v>15308.5567653494</v>
      </c>
      <c r="G6" s="9" t="n">
        <f aca="false">BS!G6</f>
        <v>20060.7288684544</v>
      </c>
      <c r="H6" s="9" t="n">
        <f aca="false">BS!H6</f>
        <v>23632.2511518081</v>
      </c>
      <c r="I6" s="9" t="n">
        <f aca="false">BS!I6</f>
        <v>26185.3356395113</v>
      </c>
      <c r="J6" s="28" t="s">
        <v>446</v>
      </c>
    </row>
    <row r="7" customFormat="false" ht="15" hidden="false" customHeight="false" outlineLevel="0" collapsed="false">
      <c r="A7" s="5" t="s">
        <v>347</v>
      </c>
      <c r="B7" s="9" t="n">
        <f aca="false">BS!B7</f>
        <v>37.5</v>
      </c>
      <c r="C7" s="9" t="n">
        <f aca="false">BS!C7</f>
        <v>34.4</v>
      </c>
      <c r="D7" s="9" t="n">
        <f aca="false">BS!D7</f>
        <v>78.3</v>
      </c>
      <c r="E7" s="9" t="n">
        <f aca="false">BS!E7</f>
        <v>132.55612772512</v>
      </c>
      <c r="F7" s="9" t="n">
        <f aca="false">BS!F7</f>
        <v>203.186298885546</v>
      </c>
      <c r="G7" s="9" t="n">
        <f aca="false">BS!G7</f>
        <v>271.19133470318</v>
      </c>
      <c r="H7" s="9" t="n">
        <f aca="false">BS!H7</f>
        <v>325.500817751319</v>
      </c>
      <c r="I7" s="9" t="n">
        <f aca="false">BS!I7</f>
        <v>364.10085746368</v>
      </c>
      <c r="J7" s="28" t="s">
        <v>447</v>
      </c>
    </row>
    <row r="8" customFormat="false" ht="15" hidden="false" customHeight="false" outlineLevel="0" collapsed="false">
      <c r="A8" s="5" t="s">
        <v>349</v>
      </c>
      <c r="B8" s="9" t="n">
        <f aca="false">BS!B8</f>
        <v>74.3</v>
      </c>
      <c r="C8" s="9" t="n">
        <f aca="false">BS!C8</f>
        <v>120.8</v>
      </c>
      <c r="D8" s="9" t="n">
        <f aca="false">BS!D8</f>
        <v>352.1</v>
      </c>
      <c r="E8" s="9" t="n">
        <f aca="false">BS!E8</f>
        <v>352.1</v>
      </c>
      <c r="F8" s="9" t="n">
        <f aca="false">BS!F8</f>
        <v>352.1</v>
      </c>
      <c r="G8" s="9" t="n">
        <f aca="false">BS!G8</f>
        <v>352.1</v>
      </c>
      <c r="H8" s="9" t="n">
        <f aca="false">BS!H8</f>
        <v>352.1</v>
      </c>
      <c r="I8" s="9" t="n">
        <f aca="false">BS!I8</f>
        <v>352.1</v>
      </c>
      <c r="J8" s="28" t="s">
        <v>448</v>
      </c>
    </row>
    <row r="9" customFormat="false" ht="15" hidden="false" customHeight="false" outlineLevel="0" collapsed="false">
      <c r="A9" s="5" t="s">
        <v>351</v>
      </c>
      <c r="B9" s="9" t="n">
        <f aca="false">BS!B9</f>
        <v>1376.8</v>
      </c>
      <c r="C9" s="9" t="n">
        <f aca="false">BS!C9</f>
        <v>2045.4</v>
      </c>
      <c r="D9" s="9" t="n">
        <f aca="false">BS!D9</f>
        <v>3162.4</v>
      </c>
      <c r="E9" s="9" t="n">
        <f aca="false">BS!E9</f>
        <v>5161.40192846456</v>
      </c>
      <c r="F9" s="9" t="n">
        <f aca="false">BS!F9</f>
        <v>7673.21654628123</v>
      </c>
      <c r="G9" s="9" t="n">
        <f aca="false">BS!G9</f>
        <v>10126.7546311336</v>
      </c>
      <c r="H9" s="9" t="n">
        <f aca="false">BS!H9</f>
        <v>12084.3244135972</v>
      </c>
      <c r="I9" s="9" t="n">
        <f aca="false">BS!I9</f>
        <v>13541.8423364091</v>
      </c>
      <c r="J9" s="28" t="s">
        <v>449</v>
      </c>
    </row>
    <row r="10" customFormat="false" ht="15" hidden="false" customHeight="false" outlineLevel="0" collapsed="false">
      <c r="A10" s="3" t="s">
        <v>450</v>
      </c>
      <c r="B10" s="9" t="n">
        <f aca="false">SUM(B6:B9)</f>
        <v>4909.6</v>
      </c>
      <c r="C10" s="9" t="n">
        <f aca="false">SUM(C6:C9)</f>
        <v>6279.7</v>
      </c>
      <c r="D10" s="9" t="n">
        <f aca="false">SUM(D6:D9)</f>
        <v>9653.8</v>
      </c>
      <c r="E10" s="9" t="n">
        <f aca="false">SUM(E6:E9)</f>
        <v>15814.7473063359</v>
      </c>
      <c r="F10" s="9" t="n">
        <f aca="false">SUM(F6:F9)</f>
        <v>23537.0596105162</v>
      </c>
      <c r="G10" s="9" t="n">
        <f aca="false">SUM(G6:G9)</f>
        <v>30810.7748342912</v>
      </c>
      <c r="H10" s="9" t="n">
        <f aca="false">SUM(H6:H9)</f>
        <v>36394.1763831566</v>
      </c>
      <c r="I10" s="9" t="n">
        <f aca="false">SUM(I6:I9)</f>
        <v>40443.3788333841</v>
      </c>
      <c r="J10" s="28"/>
    </row>
    <row r="11" customFormat="false" ht="15" hidden="false" customHeight="false" outlineLevel="0" collapsed="false">
      <c r="A11" s="5" t="s">
        <v>373</v>
      </c>
      <c r="B11" s="9" t="n">
        <f aca="false">BS!B23</f>
        <v>3605.3</v>
      </c>
      <c r="C11" s="9" t="n">
        <f aca="false">BS!C23</f>
        <v>4963</v>
      </c>
      <c r="D11" s="9" t="n">
        <f aca="false">BS!D23</f>
        <v>10525.9</v>
      </c>
      <c r="E11" s="9" t="n">
        <f aca="false">BS!E23</f>
        <v>16830.6584623844</v>
      </c>
      <c r="F11" s="9" t="n">
        <f aca="false">BS!F23</f>
        <v>24724.8088713506</v>
      </c>
      <c r="G11" s="9" t="n">
        <f aca="false">BS!G23</f>
        <v>32221.4920081525</v>
      </c>
      <c r="H11" s="9" t="n">
        <f aca="false">BS!H23</f>
        <v>37939.1580426889</v>
      </c>
      <c r="I11" s="9" t="n">
        <f aca="false">BS!I23</f>
        <v>41422.1059701926</v>
      </c>
      <c r="J11" s="28" t="s">
        <v>451</v>
      </c>
    </row>
    <row r="12" customFormat="false" ht="15" hidden="false" customHeight="false" outlineLevel="0" collapsed="false">
      <c r="A12" s="5" t="s">
        <v>375</v>
      </c>
      <c r="B12" s="9" t="n">
        <f aca="false">BS!B24</f>
        <v>5.2</v>
      </c>
      <c r="C12" s="9" t="n">
        <f aca="false">BS!C24</f>
        <v>3.8</v>
      </c>
      <c r="D12" s="9" t="n">
        <f aca="false">BS!D24</f>
        <v>11.4</v>
      </c>
      <c r="E12" s="9" t="n">
        <f aca="false">BS!E24</f>
        <v>11.4</v>
      </c>
      <c r="F12" s="9" t="n">
        <f aca="false">BS!F24</f>
        <v>11.4</v>
      </c>
      <c r="G12" s="9" t="n">
        <f aca="false">BS!G24</f>
        <v>11.4</v>
      </c>
      <c r="H12" s="9" t="n">
        <f aca="false">BS!H24</f>
        <v>11.4</v>
      </c>
      <c r="I12" s="9" t="n">
        <f aca="false">BS!I24</f>
        <v>11.4</v>
      </c>
      <c r="J12" s="28" t="s">
        <v>452</v>
      </c>
    </row>
    <row r="13" customFormat="false" ht="15" hidden="false" customHeight="false" outlineLevel="0" collapsed="false">
      <c r="A13" s="5" t="s">
        <v>376</v>
      </c>
      <c r="B13" s="9" t="n">
        <f aca="false">BS!B25</f>
        <v>166.4</v>
      </c>
      <c r="C13" s="9" t="n">
        <f aca="false">BS!C25</f>
        <v>196</v>
      </c>
      <c r="D13" s="9" t="n">
        <f aca="false">BS!D25</f>
        <v>278.9</v>
      </c>
      <c r="E13" s="9" t="n">
        <f aca="false">BS!E25</f>
        <v>463.94644703792</v>
      </c>
      <c r="F13" s="9" t="n">
        <f aca="false">BS!F25</f>
        <v>711.152046099412</v>
      </c>
      <c r="G13" s="9" t="n">
        <f aca="false">BS!G25</f>
        <v>949.169671461131</v>
      </c>
      <c r="H13" s="9" t="n">
        <f aca="false">BS!H25</f>
        <v>1139.25286212962</v>
      </c>
      <c r="I13" s="9" t="n">
        <f aca="false">BS!I25</f>
        <v>1274.35300112288</v>
      </c>
      <c r="J13" s="28" t="s">
        <v>453</v>
      </c>
    </row>
    <row r="14" customFormat="false" ht="15" hidden="false" customHeight="false" outlineLevel="0" collapsed="false">
      <c r="A14" s="5" t="s">
        <v>378</v>
      </c>
      <c r="B14" s="9" t="n">
        <f aca="false">BS!B26</f>
        <v>108.9</v>
      </c>
      <c r="C14" s="9" t="n">
        <f aca="false">BS!C26</f>
        <v>145.4</v>
      </c>
      <c r="D14" s="9" t="n">
        <f aca="false">BS!D26</f>
        <v>471.6</v>
      </c>
      <c r="E14" s="9" t="n">
        <f aca="false">BS!E26</f>
        <v>662.7806386256</v>
      </c>
      <c r="F14" s="9" t="n">
        <f aca="false">BS!F26</f>
        <v>1015.93149442773</v>
      </c>
      <c r="G14" s="9" t="n">
        <f aca="false">BS!G26</f>
        <v>1355.9566735159</v>
      </c>
      <c r="H14" s="9" t="n">
        <f aca="false">BS!H26</f>
        <v>1627.5040887566</v>
      </c>
      <c r="I14" s="9" t="n">
        <f aca="false">BS!I26</f>
        <v>1820.5042873184</v>
      </c>
      <c r="J14" s="28" t="s">
        <v>453</v>
      </c>
    </row>
    <row r="15" customFormat="false" ht="15" hidden="false" customHeight="false" outlineLevel="0" collapsed="false">
      <c r="A15" s="5" t="s">
        <v>380</v>
      </c>
      <c r="B15" s="9" t="n">
        <f aca="false">BS!B27</f>
        <v>202</v>
      </c>
      <c r="C15" s="9" t="n">
        <f aca="false">BS!C27</f>
        <v>280.8</v>
      </c>
      <c r="D15" s="9" t="n">
        <f aca="false">BS!D27</f>
        <v>238.3</v>
      </c>
      <c r="E15" s="9" t="n">
        <f aca="false">BS!E27</f>
        <v>238.3</v>
      </c>
      <c r="F15" s="9" t="n">
        <f aca="false">BS!F27</f>
        <v>238.3</v>
      </c>
      <c r="G15" s="9" t="n">
        <f aca="false">BS!G27</f>
        <v>238.3</v>
      </c>
      <c r="H15" s="9" t="n">
        <f aca="false">BS!H27</f>
        <v>238.3</v>
      </c>
      <c r="I15" s="9" t="n">
        <f aca="false">BS!I27</f>
        <v>238.3</v>
      </c>
      <c r="J15" s="28" t="s">
        <v>452</v>
      </c>
    </row>
    <row r="16" customFormat="false" ht="15" hidden="false" customHeight="false" outlineLevel="0" collapsed="false">
      <c r="A16" s="3" t="s">
        <v>454</v>
      </c>
      <c r="B16" s="9" t="n">
        <f aca="false">SUM(B11:B15)</f>
        <v>4087.8</v>
      </c>
      <c r="C16" s="9" t="n">
        <f aca="false">SUM(C11:C15)</f>
        <v>5589</v>
      </c>
      <c r="D16" s="9" t="n">
        <f aca="false">SUM(D11:D15)</f>
        <v>11526.1</v>
      </c>
      <c r="E16" s="9" t="n">
        <f aca="false">SUM(E11:E15)</f>
        <v>18207.085548048</v>
      </c>
      <c r="F16" s="9" t="n">
        <f aca="false">SUM(F11:F15)</f>
        <v>26701.5924118778</v>
      </c>
      <c r="G16" s="9" t="n">
        <f aca="false">SUM(G11:G15)</f>
        <v>34776.3183531295</v>
      </c>
      <c r="H16" s="9" t="n">
        <f aca="false">SUM(H11:H15)</f>
        <v>40955.6149935751</v>
      </c>
      <c r="I16" s="9" t="n">
        <f aca="false">SUM(I11:I15)</f>
        <v>44766.6632586339</v>
      </c>
      <c r="J16" s="28"/>
    </row>
    <row r="17" customFormat="false" ht="15" hidden="false" customHeight="false" outlineLevel="0" collapsed="false">
      <c r="A17" s="3" t="s">
        <v>455</v>
      </c>
      <c r="B17" s="9" t="n">
        <f aca="false">B10-B16</f>
        <v>821.8</v>
      </c>
      <c r="C17" s="9" t="n">
        <f aca="false">C10-C16</f>
        <v>690.7</v>
      </c>
      <c r="D17" s="9" t="n">
        <f aca="false">D10-D16</f>
        <v>-1872.3</v>
      </c>
      <c r="E17" s="9" t="n">
        <f aca="false">E10-E16</f>
        <v>-2392.33824171208</v>
      </c>
      <c r="F17" s="9" t="n">
        <f aca="false">F10-F16</f>
        <v>-3164.53280136162</v>
      </c>
      <c r="G17" s="9" t="n">
        <f aca="false">G10-G16</f>
        <v>-3965.54351883828</v>
      </c>
      <c r="H17" s="9" t="n">
        <f aca="false">H10-H16</f>
        <v>-4561.4386104185</v>
      </c>
      <c r="I17" s="9" t="n">
        <f aca="false">I10-I16</f>
        <v>-4323.28442524986</v>
      </c>
      <c r="J17" s="28" t="s">
        <v>456</v>
      </c>
    </row>
    <row r="18" customFormat="false" ht="15" hidden="false" customHeight="false" outlineLevel="0" collapsed="false">
      <c r="A18" s="4" t="s">
        <v>457</v>
      </c>
      <c r="E18" s="9" t="n">
        <f aca="false">E17-D17</f>
        <v>-520.038241712082</v>
      </c>
      <c r="F18" s="9" t="n">
        <f aca="false">F17-E17</f>
        <v>-772.194559649541</v>
      </c>
      <c r="G18" s="9" t="n">
        <f aca="false">G17-F17</f>
        <v>-801.010717476653</v>
      </c>
      <c r="H18" s="9" t="n">
        <f aca="false">H17-G17</f>
        <v>-595.895091580227</v>
      </c>
      <c r="I18" s="9" t="n">
        <f aca="false">I17-H17</f>
        <v>238.154185168642</v>
      </c>
      <c r="J18" s="26" t="s">
        <v>458</v>
      </c>
    </row>
    <row r="20" customFormat="false" ht="15.75" hidden="false" customHeight="true" outlineLevel="0" collapsed="false">
      <c r="A20" s="25" t="s">
        <v>459</v>
      </c>
      <c r="B20" s="25"/>
      <c r="C20" s="25"/>
      <c r="D20" s="25"/>
      <c r="E20" s="25"/>
      <c r="F20" s="25"/>
      <c r="G20" s="25"/>
      <c r="H20" s="25"/>
      <c r="I20" s="25"/>
      <c r="J20" s="25"/>
    </row>
    <row r="21" customFormat="false" ht="15" hidden="false" customHeight="false" outlineLevel="0" collapsed="false">
      <c r="A21" s="5" t="s">
        <v>460</v>
      </c>
      <c r="E21" s="9" t="n">
        <f aca="false">BS!D14</f>
        <v>959.5</v>
      </c>
      <c r="F21" s="9" t="n">
        <f aca="false">E23</f>
        <v>882.74</v>
      </c>
      <c r="G21" s="9" t="n">
        <f aca="false">F23</f>
        <v>812.1208</v>
      </c>
      <c r="H21" s="9" t="n">
        <f aca="false">G23</f>
        <v>747.151136</v>
      </c>
      <c r="I21" s="9" t="n">
        <f aca="false">H23</f>
        <v>687.37904512</v>
      </c>
      <c r="J21" s="26" t="s">
        <v>461</v>
      </c>
    </row>
    <row r="22" customFormat="false" ht="15" hidden="false" customHeight="false" outlineLevel="0" collapsed="false">
      <c r="A22" s="5" t="s">
        <v>462</v>
      </c>
      <c r="E22" s="9" t="n">
        <f aca="false">E21*Assumptions!$C$59</f>
        <v>76.76</v>
      </c>
      <c r="F22" s="9" t="n">
        <f aca="false">F21*Assumptions!$C$59</f>
        <v>70.6192</v>
      </c>
      <c r="G22" s="9" t="n">
        <f aca="false">G21*Assumptions!$C$59</f>
        <v>64.969664</v>
      </c>
      <c r="H22" s="9" t="n">
        <f aca="false">H21*Assumptions!$C$59</f>
        <v>59.77209088</v>
      </c>
      <c r="I22" s="9" t="n">
        <f aca="false">I21*Assumptions!$C$59</f>
        <v>54.9903236096</v>
      </c>
      <c r="J22" s="28" t="s">
        <v>463</v>
      </c>
    </row>
    <row r="23" customFormat="false" ht="15" hidden="false" customHeight="false" outlineLevel="0" collapsed="false">
      <c r="A23" s="5" t="s">
        <v>464</v>
      </c>
      <c r="E23" s="9" t="n">
        <f aca="false">E21-E22</f>
        <v>882.74</v>
      </c>
      <c r="F23" s="9" t="n">
        <f aca="false">F21-F22</f>
        <v>812.1208</v>
      </c>
      <c r="G23" s="9" t="n">
        <f aca="false">G21-G22</f>
        <v>747.151136</v>
      </c>
      <c r="H23" s="9" t="n">
        <f aca="false">H21-H22</f>
        <v>687.37904512</v>
      </c>
      <c r="I23" s="9" t="n">
        <f aca="false">I21-I22</f>
        <v>632.3887215104</v>
      </c>
      <c r="J23" s="28" t="s">
        <v>465</v>
      </c>
    </row>
    <row r="25" customFormat="false" ht="15.75" hidden="false" customHeight="true" outlineLevel="0" collapsed="false">
      <c r="A25" s="25" t="s">
        <v>466</v>
      </c>
      <c r="B25" s="25"/>
      <c r="C25" s="25"/>
      <c r="D25" s="25"/>
      <c r="E25" s="25"/>
      <c r="F25" s="25"/>
      <c r="G25" s="25"/>
      <c r="H25" s="25"/>
      <c r="I25" s="25"/>
      <c r="J25" s="25"/>
    </row>
    <row r="26" customFormat="false" ht="15" hidden="false" customHeight="false" outlineLevel="0" collapsed="false">
      <c r="A26" s="5" t="s">
        <v>467</v>
      </c>
      <c r="E26" s="9" t="n">
        <f aca="false">IS!D20*Assumptions!C$62</f>
        <v>1293.6</v>
      </c>
      <c r="F26" s="9" t="n">
        <f aca="false">IS!E20*Assumptions!D$62</f>
        <v>2497.9402775675</v>
      </c>
      <c r="G26" s="9" t="n">
        <f aca="false">IS!F20*Assumptions!E$62</f>
        <v>3954.99336495296</v>
      </c>
      <c r="H26" s="9" t="n">
        <f aca="false">IS!G20*Assumptions!F$62</f>
        <v>5190.57487995125</v>
      </c>
      <c r="I26" s="9" t="n">
        <f aca="false">IS!H20*Assumptions!G$62</f>
        <v>6013.04709324918</v>
      </c>
      <c r="J26" s="28" t="s">
        <v>468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60.05"/>
  </cols>
  <sheetData>
    <row r="1" customFormat="false" ht="24" hidden="false" customHeight="true" outlineLevel="0" collapsed="false">
      <c r="A1" s="14" t="s">
        <v>469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470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5" t="s">
        <v>471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472</v>
      </c>
      <c r="E6" s="36" t="n">
        <v>9160</v>
      </c>
      <c r="F6" s="9" t="n">
        <f aca="false">E10</f>
        <v>17252.3248373461</v>
      </c>
      <c r="G6" s="9" t="n">
        <f aca="false">F10</f>
        <v>24645.0105777072</v>
      </c>
      <c r="H6" s="9" t="n">
        <f aca="false">G10</f>
        <v>30684.0528294295</v>
      </c>
      <c r="I6" s="9" t="n">
        <f aca="false">H10</f>
        <v>35450.7655597858</v>
      </c>
      <c r="J6" s="26" t="s">
        <v>473</v>
      </c>
    </row>
    <row r="7" customFormat="false" ht="15" hidden="false" customHeight="false" outlineLevel="0" collapsed="false">
      <c r="A7" s="5" t="s">
        <v>474</v>
      </c>
      <c r="E7" s="9" t="n">
        <f aca="false">(E13+E14)*Assumptions!$C$55</f>
        <v>9669.9217055688</v>
      </c>
      <c r="F7" s="9" t="n">
        <f aca="false">(F13+F14)*Assumptions!$C$55</f>
        <v>10036.9666346002</v>
      </c>
      <c r="G7" s="9" t="n">
        <f aca="false">(G13+G14)*Assumptions!$C$55</f>
        <v>9628.01419460853</v>
      </c>
      <c r="H7" s="9" t="n">
        <f aca="false">(H13+H14)*Assumptions!$C$55</f>
        <v>9120.45791477309</v>
      </c>
      <c r="I7" s="9" t="n">
        <f aca="false">(I13+I14)*Assumptions!$C$55</f>
        <v>8424.31644839288</v>
      </c>
      <c r="J7" s="28" t="s">
        <v>475</v>
      </c>
    </row>
    <row r="8" customFormat="false" ht="15" hidden="false" customHeight="false" outlineLevel="0" collapsed="false">
      <c r="A8" s="5" t="s">
        <v>476</v>
      </c>
      <c r="E8" s="9" t="n">
        <f aca="false">E6*Assumptions!$C$56+E7*Assumptions!$C$57</f>
        <v>1485.99686822275</v>
      </c>
      <c r="F8" s="9" t="n">
        <f aca="false">F6*Assumptions!$C$56+F7*Assumptions!$C$57</f>
        <v>2471.75764586553</v>
      </c>
      <c r="G8" s="9" t="n">
        <f aca="false">G6*Assumptions!$C$56+G7*Assumptions!$C$57</f>
        <v>3342.52183710921</v>
      </c>
      <c r="H8" s="9" t="n">
        <f aca="false">H6*Assumptions!$C$56+H7*Assumptions!$C$57</f>
        <v>4046.90465612246</v>
      </c>
      <c r="I8" s="9" t="n">
        <f aca="false">I6*Assumptions!$C$56+I7*Assumptions!$C$57</f>
        <v>4591.06452511001</v>
      </c>
      <c r="J8" s="28" t="s">
        <v>477</v>
      </c>
    </row>
    <row r="9" customFormat="false" ht="15" hidden="false" customHeight="false" outlineLevel="0" collapsed="false">
      <c r="A9" s="5" t="s">
        <v>478</v>
      </c>
      <c r="E9" s="9" t="n">
        <f aca="false">E6*Assumptions!$C$58</f>
        <v>91.6</v>
      </c>
      <c r="F9" s="9" t="n">
        <f aca="false">F6*Assumptions!$C$58</f>
        <v>172.523248373461</v>
      </c>
      <c r="G9" s="9" t="n">
        <f aca="false">G6*Assumptions!$C$58</f>
        <v>246.450105777072</v>
      </c>
      <c r="H9" s="9" t="n">
        <f aca="false">H6*Assumptions!$C$58</f>
        <v>306.840528294295</v>
      </c>
      <c r="I9" s="9" t="n">
        <f aca="false">I6*Assumptions!$C$58</f>
        <v>354.507655597858</v>
      </c>
      <c r="J9" s="28" t="s">
        <v>479</v>
      </c>
    </row>
    <row r="10" customFormat="false" ht="15" hidden="false" customHeight="false" outlineLevel="0" collapsed="false">
      <c r="A10" s="3" t="s">
        <v>480</v>
      </c>
      <c r="E10" s="9" t="n">
        <f aca="false">E6+E7-E8-E9</f>
        <v>17252.3248373461</v>
      </c>
      <c r="F10" s="9" t="n">
        <f aca="false">F6+F7-F8-F9</f>
        <v>24645.0105777072</v>
      </c>
      <c r="G10" s="9" t="n">
        <f aca="false">G6+G7-G8-G9</f>
        <v>30684.0528294295</v>
      </c>
      <c r="H10" s="9" t="n">
        <f aca="false">H6+H7-H8-H9</f>
        <v>35450.7655597858</v>
      </c>
      <c r="I10" s="9" t="n">
        <f aca="false">I6+I7-I8-I9</f>
        <v>38929.5098274708</v>
      </c>
      <c r="J10" s="28" t="s">
        <v>481</v>
      </c>
    </row>
    <row r="12" customFormat="false" ht="15.75" hidden="false" customHeight="true" outlineLevel="0" collapsed="false">
      <c r="A12" s="25" t="s">
        <v>482</v>
      </c>
      <c r="B12" s="25"/>
      <c r="C12" s="25"/>
      <c r="D12" s="25"/>
      <c r="E12" s="25"/>
      <c r="F12" s="25"/>
      <c r="G12" s="25"/>
      <c r="H12" s="25"/>
      <c r="I12" s="25"/>
      <c r="J12" s="25"/>
    </row>
    <row r="13" customFormat="false" ht="15" hidden="false" customHeight="false" outlineLevel="0" collapsed="false">
      <c r="A13" s="5" t="s">
        <v>483</v>
      </c>
      <c r="E13" s="36" t="n">
        <v>3614.3</v>
      </c>
      <c r="F13" s="9" t="n">
        <f aca="false">E15</f>
        <v>3223.3072351896</v>
      </c>
      <c r="G13" s="9" t="n">
        <f aca="false">F15</f>
        <v>3345.65554486673</v>
      </c>
      <c r="H13" s="9" t="n">
        <f aca="false">G15</f>
        <v>3209.33806486951</v>
      </c>
      <c r="I13" s="9" t="n">
        <f aca="false">H15</f>
        <v>3040.1526382577</v>
      </c>
      <c r="J13" s="26" t="s">
        <v>484</v>
      </c>
    </row>
    <row r="14" customFormat="false" ht="15" hidden="false" customHeight="false" outlineLevel="0" collapsed="false">
      <c r="A14" s="5" t="s">
        <v>485</v>
      </c>
      <c r="E14" s="9" t="n">
        <f aca="false">IS!E4*Assumptions!C$54</f>
        <v>9278.9289407584</v>
      </c>
      <c r="F14" s="9" t="n">
        <f aca="false">IS!F4*Assumptions!D$54</f>
        <v>10159.3149442773</v>
      </c>
      <c r="G14" s="9" t="n">
        <f aca="false">IS!G4*Assumptions!E$54</f>
        <v>9491.69671461131</v>
      </c>
      <c r="H14" s="9" t="n">
        <f aca="false">IS!H4*Assumptions!F$54</f>
        <v>8951.27248816128</v>
      </c>
      <c r="I14" s="9" t="n">
        <f aca="false">IS!I4*Assumptions!G$54</f>
        <v>8192.26929293281</v>
      </c>
      <c r="J14" s="28" t="s">
        <v>486</v>
      </c>
    </row>
    <row r="15" customFormat="false" ht="15" hidden="false" customHeight="false" outlineLevel="0" collapsed="false">
      <c r="A15" s="3" t="s">
        <v>487</v>
      </c>
      <c r="E15" s="9" t="n">
        <f aca="false">E13+E14-E7</f>
        <v>3223.3072351896</v>
      </c>
      <c r="F15" s="9" t="n">
        <f aca="false">F13+F14-F7</f>
        <v>3345.65554486673</v>
      </c>
      <c r="G15" s="9" t="n">
        <f aca="false">G13+G14-G7</f>
        <v>3209.33806486951</v>
      </c>
      <c r="H15" s="9" t="n">
        <f aca="false">H13+H14-H7</f>
        <v>3040.1526382577</v>
      </c>
      <c r="I15" s="9" t="n">
        <f aca="false">I13+I14-I7</f>
        <v>2808.10548279763</v>
      </c>
      <c r="J15" s="28" t="s">
        <v>488</v>
      </c>
    </row>
    <row r="17" customFormat="false" ht="15.75" hidden="false" customHeight="true" outlineLevel="0" collapsed="false">
      <c r="A17" s="25" t="s">
        <v>489</v>
      </c>
      <c r="B17" s="25"/>
      <c r="C17" s="25"/>
      <c r="D17" s="25"/>
      <c r="E17" s="25"/>
      <c r="F17" s="25"/>
      <c r="G17" s="25"/>
      <c r="H17" s="25"/>
      <c r="I17" s="25"/>
      <c r="J17" s="25"/>
    </row>
    <row r="18" customFormat="false" ht="15" hidden="false" customHeight="false" outlineLevel="0" collapsed="false">
      <c r="A18" s="3" t="s">
        <v>490</v>
      </c>
      <c r="B18" s="9" t="n">
        <f aca="false">BS!B12</f>
        <v>7128.7</v>
      </c>
      <c r="C18" s="9" t="n">
        <f aca="false">BS!C12</f>
        <v>7428.8</v>
      </c>
      <c r="D18" s="9" t="n">
        <f aca="false">BS!D12</f>
        <v>12774.3</v>
      </c>
      <c r="E18" s="9" t="n">
        <f aca="false">E10+E15</f>
        <v>20475.6320725357</v>
      </c>
      <c r="F18" s="9" t="n">
        <f aca="false">F10+F15</f>
        <v>27990.666122574</v>
      </c>
      <c r="G18" s="9" t="n">
        <f aca="false">G10+G15</f>
        <v>33893.390894299</v>
      </c>
      <c r="H18" s="9" t="n">
        <f aca="false">H10+H15</f>
        <v>38490.9181980435</v>
      </c>
      <c r="I18" s="9" t="n">
        <f aca="false">I10+I15</f>
        <v>41737.6153102685</v>
      </c>
      <c r="J18" s="28" t="s">
        <v>491</v>
      </c>
    </row>
    <row r="19" customFormat="false" ht="15" hidden="false" customHeight="false" outlineLevel="0" collapsed="false">
      <c r="A19" s="10" t="s">
        <v>492</v>
      </c>
      <c r="B19" s="9" t="n">
        <f aca="false">CF!B5</f>
        <v>640.1</v>
      </c>
      <c r="C19" s="9" t="n">
        <f aca="false">CF!C5</f>
        <v>787.6</v>
      </c>
      <c r="D19" s="9" t="n">
        <f aca="false">CF!D5</f>
        <v>993</v>
      </c>
      <c r="E19" s="9" t="n">
        <f aca="false">E8+Schedules!E22</f>
        <v>1562.75686822275</v>
      </c>
      <c r="F19" s="9" t="n">
        <f aca="false">F8+Schedules!F22</f>
        <v>2542.37684586553</v>
      </c>
      <c r="G19" s="9" t="n">
        <f aca="false">G8+Schedules!G22</f>
        <v>3407.49150110921</v>
      </c>
      <c r="H19" s="9" t="n">
        <f aca="false">H8+Schedules!H22</f>
        <v>4106.67674700246</v>
      </c>
      <c r="I19" s="9" t="n">
        <f aca="false">I8+Schedules!I22</f>
        <v>4646.05484871961</v>
      </c>
      <c r="J19" s="28" t="s">
        <v>493</v>
      </c>
    </row>
    <row r="20" customFormat="false" ht="15" hidden="false" customHeight="false" outlineLevel="0" collapsed="false">
      <c r="A20" s="5" t="s">
        <v>494</v>
      </c>
      <c r="E20" s="19" t="n">
        <f aca="false">E8/E6</f>
        <v>0.162226732338728</v>
      </c>
      <c r="F20" s="19" t="n">
        <f aca="false">F8/F6</f>
        <v>0.1432709892243</v>
      </c>
      <c r="G20" s="19" t="n">
        <f aca="false">G8/G6</f>
        <v>0.1356267154591</v>
      </c>
      <c r="H20" s="19" t="n">
        <f aca="false">H8/H6</f>
        <v>0.131889508814853</v>
      </c>
      <c r="I20" s="19" t="n">
        <f aca="false">I8/I6</f>
        <v>0.129505370409207</v>
      </c>
      <c r="J20" s="28" t="s">
        <v>495</v>
      </c>
    </row>
    <row r="21" customFormat="false" ht="15" hidden="false" customHeight="false" outlineLevel="0" collapsed="false">
      <c r="A21" s="5" t="s">
        <v>496</v>
      </c>
      <c r="E21" s="51" t="n">
        <f aca="false">E6/E8</f>
        <v>6.16421218367394</v>
      </c>
      <c r="F21" s="51" t="n">
        <f aca="false">F6/F8</f>
        <v>6.97978010352419</v>
      </c>
      <c r="G21" s="51" t="n">
        <f aca="false">G6/G8</f>
        <v>7.37317862940921</v>
      </c>
      <c r="H21" s="51" t="n">
        <f aca="false">H6/H8</f>
        <v>7.58210420969724</v>
      </c>
      <c r="I21" s="51" t="n">
        <f aca="false">I6/I8</f>
        <v>7.72168750099114</v>
      </c>
      <c r="J21" s="28" t="s">
        <v>497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9" min="2" style="0" width="10.01"/>
    <col collapsed="false" customWidth="true" hidden="false" outlineLevel="0" max="10" min="10" style="0" width="63.69"/>
  </cols>
  <sheetData>
    <row r="1" customFormat="false" ht="24" hidden="false" customHeight="true" outlineLevel="0" collapsed="false">
      <c r="A1" s="14" t="s">
        <v>498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499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.75" hidden="false" customHeight="true" outlineLevel="0" collapsed="false">
      <c r="A5" s="25" t="s">
        <v>500</v>
      </c>
      <c r="B5" s="25"/>
      <c r="C5" s="25"/>
      <c r="D5" s="25"/>
      <c r="E5" s="25"/>
      <c r="F5" s="25"/>
      <c r="G5" s="25"/>
      <c r="H5" s="25"/>
      <c r="I5" s="25"/>
      <c r="J5" s="25"/>
    </row>
    <row r="6" customFormat="false" ht="15" hidden="false" customHeight="false" outlineLevel="0" collapsed="false">
      <c r="A6" s="5" t="s">
        <v>439</v>
      </c>
      <c r="E6" s="9" t="n">
        <f aca="false">D63</f>
        <v>3279.6</v>
      </c>
      <c r="F6" s="9" t="n">
        <f aca="false">E63</f>
        <v>662.7806386256</v>
      </c>
      <c r="G6" s="9" t="n">
        <f aca="false">F63</f>
        <v>1015.93149442773</v>
      </c>
      <c r="H6" s="9" t="n">
        <f aca="false">G63</f>
        <v>1355.9566735159</v>
      </c>
      <c r="I6" s="9" t="n">
        <f aca="false">H63</f>
        <v>1627.5040887566</v>
      </c>
      <c r="J6" s="26" t="s">
        <v>501</v>
      </c>
    </row>
    <row r="7" customFormat="false" ht="15" hidden="false" customHeight="false" outlineLevel="0" collapsed="false">
      <c r="A7" s="5" t="s">
        <v>502</v>
      </c>
      <c r="E7" s="9" t="n">
        <f aca="false">CF!E8</f>
        <v>10593.4554206486</v>
      </c>
      <c r="F7" s="9" t="n">
        <f aca="false">CF!F8</f>
        <v>16576.9329392598</v>
      </c>
      <c r="G7" s="9" t="n">
        <f aca="false">CF!G8</f>
        <v>21520.24278509</v>
      </c>
      <c r="H7" s="9" t="n">
        <f aca="false">CF!H8</f>
        <v>24748.2510494133</v>
      </c>
      <c r="I7" s="9" t="n">
        <f aca="false">CF!I8</f>
        <v>26172.617975231</v>
      </c>
      <c r="J7" s="28" t="s">
        <v>503</v>
      </c>
    </row>
    <row r="8" customFormat="false" ht="15" hidden="false" customHeight="false" outlineLevel="0" collapsed="false">
      <c r="A8" s="5" t="s">
        <v>504</v>
      </c>
      <c r="E8" s="9" t="n">
        <f aca="false">-PPE!E14+PPE!E9</f>
        <v>-9187.3289407584</v>
      </c>
      <c r="F8" s="9" t="n">
        <f aca="false">-PPE!F14+PPE!F9</f>
        <v>-9986.79169590385</v>
      </c>
      <c r="G8" s="9" t="n">
        <f aca="false">-PPE!G14+PPE!G9</f>
        <v>-9245.24660883424</v>
      </c>
      <c r="H8" s="9" t="n">
        <f aca="false">-PPE!H14+PPE!H9</f>
        <v>-8644.43195986698</v>
      </c>
      <c r="I8" s="9" t="n">
        <f aca="false">-PPE!I14+PPE!I9</f>
        <v>-7837.76163733495</v>
      </c>
      <c r="J8" s="28" t="s">
        <v>505</v>
      </c>
    </row>
    <row r="9" customFormat="false" ht="15" hidden="false" customHeight="false" outlineLevel="0" collapsed="false">
      <c r="A9" s="5" t="s">
        <v>506</v>
      </c>
      <c r="E9" s="9" t="n">
        <f aca="false">-Schedules!E26</f>
        <v>-1293.6</v>
      </c>
      <c r="F9" s="9" t="n">
        <f aca="false">-Schedules!F26</f>
        <v>-2497.9402775675</v>
      </c>
      <c r="G9" s="9" t="n">
        <f aca="false">-Schedules!G26</f>
        <v>-3954.99336495296</v>
      </c>
      <c r="H9" s="9" t="n">
        <f aca="false">-Schedules!H26</f>
        <v>-5190.57487995125</v>
      </c>
      <c r="I9" s="9" t="n">
        <f aca="false">-Schedules!I26</f>
        <v>-6013.04709324918</v>
      </c>
      <c r="J9" s="28" t="s">
        <v>507</v>
      </c>
    </row>
    <row r="10" customFormat="false" ht="15" hidden="false" customHeight="false" outlineLevel="0" collapsed="false">
      <c r="A10" s="5" t="s">
        <v>508</v>
      </c>
      <c r="E10" s="9" t="n">
        <f aca="false">-E64</f>
        <v>-184.192718822136</v>
      </c>
      <c r="F10" s="9" t="n">
        <f aca="false">-F64</f>
        <v>-79.0503172348138</v>
      </c>
      <c r="G10" s="9" t="n">
        <f aca="false">-G64</f>
        <v>-9.8243</v>
      </c>
      <c r="H10" s="9" t="n">
        <f aca="false">-H64</f>
        <v>-2.1889</v>
      </c>
      <c r="I10" s="9" t="n">
        <f aca="false">-I64</f>
        <v>-0.0517499999999999</v>
      </c>
      <c r="J10" s="28" t="s">
        <v>509</v>
      </c>
    </row>
    <row r="11" customFormat="false" ht="15" hidden="false" customHeight="false" outlineLevel="0" collapsed="false">
      <c r="A11" s="5" t="s">
        <v>510</v>
      </c>
      <c r="E11" s="9" t="n">
        <f aca="false">-(E20+E31+E39+E49)</f>
        <v>-820</v>
      </c>
      <c r="F11" s="9" t="n">
        <f aca="false">-(F20+F31+F39+F49)</f>
        <v>-820</v>
      </c>
      <c r="G11" s="9" t="n">
        <f aca="false">-(G20+G31+G39+G49)</f>
        <v>-320</v>
      </c>
      <c r="H11" s="9" t="n">
        <f aca="false">-(H20+H31+H39+H49)</f>
        <v>-116.2</v>
      </c>
      <c r="I11" s="9" t="n">
        <f aca="false">-(I20+I31+I39+I49)</f>
        <v>-2.3</v>
      </c>
      <c r="J11" s="28" t="s">
        <v>511</v>
      </c>
    </row>
    <row r="12" customFormat="false" ht="15" hidden="false" customHeight="false" outlineLevel="0" collapsed="false">
      <c r="A12" s="3" t="s">
        <v>512</v>
      </c>
      <c r="E12" s="9" t="n">
        <f aca="false">E6+E7+E8+E9+E10+E11</f>
        <v>2387.9337610681</v>
      </c>
      <c r="F12" s="9" t="n">
        <f aca="false">F6+F7+F8+F9+F10+F11</f>
        <v>3855.9312871792</v>
      </c>
      <c r="G12" s="9" t="n">
        <f aca="false">G6+G7+G8+G9+G10+G11</f>
        <v>9006.11000573056</v>
      </c>
      <c r="H12" s="9" t="n">
        <f aca="false">H6+H7+H8+H9+H10+H11</f>
        <v>12150.811983111</v>
      </c>
      <c r="I12" s="9" t="n">
        <f aca="false">I6+I7+I8+I9+I10+I11</f>
        <v>13946.9615834035</v>
      </c>
      <c r="J12" s="28" t="s">
        <v>513</v>
      </c>
    </row>
    <row r="13" customFormat="false" ht="15" hidden="false" customHeight="false" outlineLevel="0" collapsed="false">
      <c r="A13" s="5" t="s">
        <v>514</v>
      </c>
      <c r="E13" s="9" t="n">
        <f aca="false">IS!E4*Assumptions!$C$66</f>
        <v>662.7806386256</v>
      </c>
      <c r="F13" s="9" t="n">
        <f aca="false">IS!F4*Assumptions!$C$66</f>
        <v>1015.93149442773</v>
      </c>
      <c r="G13" s="9" t="n">
        <f aca="false">IS!G4*Assumptions!$C$66</f>
        <v>1355.9566735159</v>
      </c>
      <c r="H13" s="9" t="n">
        <f aca="false">IS!H4*Assumptions!$C$66</f>
        <v>1627.5040887566</v>
      </c>
      <c r="I13" s="9" t="n">
        <f aca="false">IS!I4*Assumptions!$C$66</f>
        <v>1820.5042873184</v>
      </c>
      <c r="J13" s="28" t="s">
        <v>515</v>
      </c>
    </row>
    <row r="14" customFormat="false" ht="15" hidden="false" customHeight="false" outlineLevel="0" collapsed="false">
      <c r="A14" s="3" t="s">
        <v>516</v>
      </c>
      <c r="E14" s="9" t="n">
        <f aca="false">MAX(0,E13-E12)</f>
        <v>0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9" t="n">
        <f aca="false">MAX(0,I13-I12)</f>
        <v>0</v>
      </c>
      <c r="J14" s="28" t="s">
        <v>517</v>
      </c>
    </row>
    <row r="15" customFormat="false" ht="15" hidden="false" customHeight="false" outlineLevel="0" collapsed="false">
      <c r="A15" s="3" t="s">
        <v>518</v>
      </c>
      <c r="E15" s="9" t="n">
        <f aca="false">MAX(0,E12+E14-E13)</f>
        <v>1725.1531224425</v>
      </c>
      <c r="F15" s="9" t="n">
        <f aca="false">MAX(0,F12+F14-F13)</f>
        <v>2839.99979275147</v>
      </c>
      <c r="G15" s="9" t="n">
        <f aca="false">MAX(0,G12+G14-G13)</f>
        <v>7650.15333221466</v>
      </c>
      <c r="H15" s="9" t="n">
        <f aca="false">MAX(0,H12+H14-H13)</f>
        <v>10523.3078943544</v>
      </c>
      <c r="I15" s="9" t="n">
        <f aca="false">MAX(0,I12+I14-I13)</f>
        <v>12126.4572960851</v>
      </c>
      <c r="J15" s="28" t="s">
        <v>519</v>
      </c>
    </row>
    <row r="17" customFormat="false" ht="15.75" hidden="false" customHeight="true" outlineLevel="0" collapsed="false">
      <c r="A17" s="45" t="s">
        <v>520</v>
      </c>
      <c r="B17" s="45"/>
      <c r="C17" s="45"/>
      <c r="D17" s="45"/>
      <c r="E17" s="45"/>
      <c r="F17" s="45"/>
      <c r="G17" s="45"/>
      <c r="H17" s="45"/>
      <c r="I17" s="45"/>
      <c r="J17" s="45"/>
    </row>
    <row r="18" customFormat="false" ht="15" hidden="false" customHeight="false" outlineLevel="0" collapsed="false">
      <c r="A18" s="5" t="s">
        <v>521</v>
      </c>
      <c r="E18" s="9" t="n">
        <f aca="false">D24</f>
        <v>1499.7</v>
      </c>
      <c r="F18" s="9" t="n">
        <f aca="false">E24</f>
        <v>0</v>
      </c>
      <c r="G18" s="9" t="n">
        <f aca="false">F24</f>
        <v>0</v>
      </c>
      <c r="H18" s="9" t="n">
        <f aca="false">G24</f>
        <v>0</v>
      </c>
      <c r="I18" s="9" t="n">
        <f aca="false">H24</f>
        <v>0</v>
      </c>
      <c r="J18" s="28" t="s">
        <v>522</v>
      </c>
    </row>
    <row r="19" customFormat="false" ht="15" hidden="false" customHeight="false" outlineLevel="0" collapsed="false">
      <c r="A19" s="5" t="s">
        <v>523</v>
      </c>
      <c r="E19" s="9" t="n">
        <f aca="false">Assumptions!C$67</f>
        <v>0</v>
      </c>
      <c r="F19" s="9" t="n">
        <f aca="false">Assumptions!D$67</f>
        <v>0</v>
      </c>
      <c r="G19" s="9" t="n">
        <f aca="false">Assumptions!E$67</f>
        <v>0</v>
      </c>
      <c r="H19" s="9" t="n">
        <f aca="false">Assumptions!F$67</f>
        <v>0</v>
      </c>
      <c r="I19" s="9" t="n">
        <f aca="false">Assumptions!G$67</f>
        <v>0</v>
      </c>
      <c r="J19" s="28" t="s">
        <v>524</v>
      </c>
    </row>
    <row r="20" customFormat="false" ht="15" hidden="false" customHeight="false" outlineLevel="0" collapsed="false">
      <c r="A20" s="5" t="s">
        <v>525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9" t="n">
        <f aca="false">MIN(I19,I18)</f>
        <v>0</v>
      </c>
      <c r="J20" s="28" t="s">
        <v>526</v>
      </c>
    </row>
    <row r="21" customFormat="false" ht="15" hidden="false" customHeight="false" outlineLevel="0" collapsed="false">
      <c r="A21" s="5" t="s">
        <v>527</v>
      </c>
      <c r="E21" s="9" t="n">
        <f aca="false">E14</f>
        <v>0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9" t="n">
        <f aca="false">I14</f>
        <v>0</v>
      </c>
      <c r="J21" s="28" t="s">
        <v>528</v>
      </c>
    </row>
    <row r="22" customFormat="false" ht="15" hidden="false" customHeight="false" outlineLevel="0" collapsed="false">
      <c r="A22" s="4" t="s">
        <v>529</v>
      </c>
      <c r="E22" s="9" t="n">
        <f aca="false">E18-E20+E21</f>
        <v>1499.7</v>
      </c>
      <c r="F22" s="9" t="n">
        <f aca="false">F18-F20+F21</f>
        <v>0</v>
      </c>
      <c r="G22" s="9" t="n">
        <f aca="false">G18-G20+G21</f>
        <v>0</v>
      </c>
      <c r="H22" s="9" t="n">
        <f aca="false">H18-H20+H21</f>
        <v>0</v>
      </c>
      <c r="I22" s="9" t="n">
        <f aca="false">I18-I20+I21</f>
        <v>0</v>
      </c>
      <c r="J22" s="28" t="s">
        <v>530</v>
      </c>
    </row>
    <row r="23" customFormat="false" ht="15" hidden="false" customHeight="false" outlineLevel="0" collapsed="false">
      <c r="A23" s="5" t="s">
        <v>531</v>
      </c>
      <c r="E23" s="9" t="n">
        <f aca="false">MIN(E15,E22)</f>
        <v>1499.7</v>
      </c>
      <c r="F23" s="9" t="n">
        <f aca="false">MIN(F15,F22)</f>
        <v>0</v>
      </c>
      <c r="G23" s="9" t="n">
        <f aca="false">MIN(G15,G22)</f>
        <v>0</v>
      </c>
      <c r="H23" s="9" t="n">
        <f aca="false">MIN(H15,H22)</f>
        <v>0</v>
      </c>
      <c r="I23" s="9" t="n">
        <f aca="false">MIN(I15,I22)</f>
        <v>0</v>
      </c>
      <c r="J23" s="28" t="s">
        <v>532</v>
      </c>
    </row>
    <row r="24" customFormat="false" ht="15" hidden="false" customHeight="false" outlineLevel="0" collapsed="false">
      <c r="A24" s="3" t="s">
        <v>533</v>
      </c>
      <c r="D24" s="9" t="n">
        <f aca="false">BS!D22</f>
        <v>1499.7</v>
      </c>
      <c r="E24" s="9" t="n">
        <f aca="false">E22-E23</f>
        <v>0</v>
      </c>
      <c r="F24" s="9" t="n">
        <f aca="false">F22-F23</f>
        <v>0</v>
      </c>
      <c r="G24" s="9" t="n">
        <f aca="false">G22-G23</f>
        <v>0</v>
      </c>
      <c r="H24" s="9" t="n">
        <f aca="false">H22-H23</f>
        <v>0</v>
      </c>
      <c r="I24" s="9" t="n">
        <f aca="false">I22-I23</f>
        <v>0</v>
      </c>
      <c r="J24" s="28" t="s">
        <v>534</v>
      </c>
    </row>
    <row r="25" customFormat="false" ht="15" hidden="false" customHeight="false" outlineLevel="0" collapsed="false">
      <c r="A25" s="5" t="s">
        <v>535</v>
      </c>
      <c r="E25" s="9" t="n">
        <f aca="false">(E18+E24)/2</f>
        <v>749.85</v>
      </c>
      <c r="F25" s="9" t="n">
        <f aca="false">(F18+F24)/2</f>
        <v>0</v>
      </c>
      <c r="G25" s="9" t="n">
        <f aca="false">(G18+G24)/2</f>
        <v>0</v>
      </c>
      <c r="H25" s="9" t="n">
        <f aca="false">(H18+H24)/2</f>
        <v>0</v>
      </c>
      <c r="I25" s="9" t="n">
        <f aca="false">(I18+I24)/2</f>
        <v>0</v>
      </c>
      <c r="J25" s="28" t="s">
        <v>536</v>
      </c>
    </row>
    <row r="26" customFormat="false" ht="15" hidden="false" customHeight="false" outlineLevel="0" collapsed="false">
      <c r="A26" s="5" t="s">
        <v>537</v>
      </c>
      <c r="E26" s="9" t="n">
        <f aca="false">E25*Assumptions!$C$71</f>
        <v>22.4955</v>
      </c>
      <c r="F26" s="9" t="n">
        <f aca="false">F25*Assumptions!$C$71</f>
        <v>0</v>
      </c>
      <c r="G26" s="9" t="n">
        <f aca="false">G25*Assumptions!$C$71</f>
        <v>0</v>
      </c>
      <c r="H26" s="9" t="n">
        <f aca="false">H25*Assumptions!$C$71</f>
        <v>0</v>
      </c>
      <c r="I26" s="9" t="n">
        <f aca="false">I25*Assumptions!$C$71</f>
        <v>0</v>
      </c>
      <c r="J26" s="28" t="s">
        <v>538</v>
      </c>
    </row>
    <row r="28" customFormat="false" ht="15.75" hidden="false" customHeight="true" outlineLevel="0" collapsed="false">
      <c r="A28" s="45" t="s">
        <v>539</v>
      </c>
      <c r="B28" s="45"/>
      <c r="C28" s="45"/>
      <c r="D28" s="45"/>
      <c r="E28" s="45"/>
      <c r="F28" s="45"/>
      <c r="G28" s="45"/>
      <c r="H28" s="45"/>
      <c r="I28" s="45"/>
      <c r="J28" s="45"/>
    </row>
    <row r="29" customFormat="false" ht="15" hidden="false" customHeight="false" outlineLevel="0" collapsed="false">
      <c r="A29" s="5" t="s">
        <v>521</v>
      </c>
      <c r="E29" s="9" t="n">
        <f aca="false">D32</f>
        <v>996.2</v>
      </c>
      <c r="F29" s="9" t="n">
        <f aca="false">E32</f>
        <v>696.2</v>
      </c>
      <c r="G29" s="9" t="n">
        <f aca="false">F32</f>
        <v>396.2</v>
      </c>
      <c r="H29" s="9" t="n">
        <f aca="false">G32</f>
        <v>96.2000000000001</v>
      </c>
      <c r="I29" s="9" t="n">
        <f aca="false">H32</f>
        <v>0</v>
      </c>
      <c r="J29" s="28" t="s">
        <v>522</v>
      </c>
    </row>
    <row r="30" customFormat="false" ht="15" hidden="false" customHeight="false" outlineLevel="0" collapsed="false">
      <c r="A30" s="5" t="s">
        <v>523</v>
      </c>
      <c r="E30" s="9" t="n">
        <f aca="false">Assumptions!C$68</f>
        <v>300</v>
      </c>
      <c r="F30" s="9" t="n">
        <f aca="false">Assumptions!D$68</f>
        <v>300</v>
      </c>
      <c r="G30" s="9" t="n">
        <f aca="false">Assumptions!E$68</f>
        <v>300</v>
      </c>
      <c r="H30" s="9" t="n">
        <f aca="false">Assumptions!F$68</f>
        <v>300</v>
      </c>
      <c r="I30" s="9" t="n">
        <f aca="false">Assumptions!G$68</f>
        <v>300</v>
      </c>
      <c r="J30" s="28" t="s">
        <v>540</v>
      </c>
    </row>
    <row r="31" customFormat="false" ht="15" hidden="false" customHeight="false" outlineLevel="0" collapsed="false">
      <c r="A31" s="5" t="s">
        <v>525</v>
      </c>
      <c r="E31" s="9" t="n">
        <f aca="false">MIN(E30,E29)</f>
        <v>300</v>
      </c>
      <c r="F31" s="9" t="n">
        <f aca="false">MIN(F30,F29)</f>
        <v>300</v>
      </c>
      <c r="G31" s="9" t="n">
        <f aca="false">MIN(G30,G29)</f>
        <v>300</v>
      </c>
      <c r="H31" s="9" t="n">
        <f aca="false">MIN(H30,H29)</f>
        <v>96.2000000000001</v>
      </c>
      <c r="I31" s="9" t="n">
        <f aca="false">MIN(I30,I29)</f>
        <v>0</v>
      </c>
      <c r="J31" s="28" t="s">
        <v>526</v>
      </c>
    </row>
    <row r="32" customFormat="false" ht="15" hidden="false" customHeight="false" outlineLevel="0" collapsed="false">
      <c r="A32" s="3" t="s">
        <v>533</v>
      </c>
      <c r="D32" s="9" t="n">
        <f aca="false">BS!D28</f>
        <v>996.2</v>
      </c>
      <c r="E32" s="9" t="n">
        <f aca="false">E29-E31</f>
        <v>696.2</v>
      </c>
      <c r="F32" s="9" t="n">
        <f aca="false">F29-F31</f>
        <v>396.2</v>
      </c>
      <c r="G32" s="9" t="n">
        <f aca="false">G29-G31</f>
        <v>96.2000000000001</v>
      </c>
      <c r="H32" s="9" t="n">
        <f aca="false">H29-H31</f>
        <v>0</v>
      </c>
      <c r="I32" s="9" t="n">
        <f aca="false">I29-I31</f>
        <v>0</v>
      </c>
      <c r="J32" s="28" t="s">
        <v>541</v>
      </c>
    </row>
    <row r="33" customFormat="false" ht="15" hidden="false" customHeight="false" outlineLevel="0" collapsed="false">
      <c r="A33" s="5" t="s">
        <v>535</v>
      </c>
      <c r="E33" s="9" t="n">
        <f aca="false">(E29+E32)/2</f>
        <v>846.2</v>
      </c>
      <c r="F33" s="9" t="n">
        <f aca="false">(F29+F32)/2</f>
        <v>546.2</v>
      </c>
      <c r="G33" s="9" t="n">
        <f aca="false">(G29+G32)/2</f>
        <v>246.2</v>
      </c>
      <c r="H33" s="9" t="n">
        <f aca="false">(H29+H32)/2</f>
        <v>48.1</v>
      </c>
      <c r="I33" s="9" t="n">
        <f aca="false">(I29+I32)/2</f>
        <v>0</v>
      </c>
      <c r="J33" s="28" t="s">
        <v>536</v>
      </c>
    </row>
    <row r="34" customFormat="false" ht="15" hidden="false" customHeight="false" outlineLevel="0" collapsed="false">
      <c r="A34" s="5" t="s">
        <v>537</v>
      </c>
      <c r="E34" s="9" t="n">
        <f aca="false">E33*Assumptions!$C$72</f>
        <v>28.7708</v>
      </c>
      <c r="F34" s="9" t="n">
        <f aca="false">F33*Assumptions!$C$72</f>
        <v>18.5708</v>
      </c>
      <c r="G34" s="9" t="n">
        <f aca="false">G33*Assumptions!$C$72</f>
        <v>8.3708</v>
      </c>
      <c r="H34" s="9" t="n">
        <f aca="false">H33*Assumptions!$C$72</f>
        <v>1.6354</v>
      </c>
      <c r="I34" s="9" t="n">
        <f aca="false">I33*Assumptions!$C$72</f>
        <v>0</v>
      </c>
      <c r="J34" s="28" t="s">
        <v>538</v>
      </c>
    </row>
    <row r="36" customFormat="false" ht="15.75" hidden="false" customHeight="true" outlineLevel="0" collapsed="false">
      <c r="A36" s="45" t="s">
        <v>542</v>
      </c>
      <c r="B36" s="45"/>
      <c r="C36" s="45"/>
      <c r="D36" s="45"/>
      <c r="E36" s="45"/>
      <c r="F36" s="45"/>
      <c r="G36" s="45"/>
      <c r="H36" s="45"/>
      <c r="I36" s="45"/>
      <c r="J36" s="45"/>
    </row>
    <row r="37" customFormat="false" ht="15" hidden="false" customHeight="false" outlineLevel="0" collapsed="false">
      <c r="A37" s="5" t="s">
        <v>521</v>
      </c>
      <c r="E37" s="9" t="n">
        <f aca="false">D42</f>
        <v>3867.4</v>
      </c>
      <c r="F37" s="9" t="n">
        <f aca="false">E42</f>
        <v>3141.9468775575</v>
      </c>
      <c r="G37" s="9" t="n">
        <f aca="false">F42</f>
        <v>0</v>
      </c>
      <c r="H37" s="9" t="n">
        <f aca="false">G42</f>
        <v>0</v>
      </c>
      <c r="I37" s="9" t="n">
        <f aca="false">H42</f>
        <v>0</v>
      </c>
      <c r="J37" s="28" t="s">
        <v>522</v>
      </c>
    </row>
    <row r="38" customFormat="false" ht="15" hidden="false" customHeight="false" outlineLevel="0" collapsed="false">
      <c r="A38" s="5" t="s">
        <v>523</v>
      </c>
      <c r="E38" s="9" t="n">
        <f aca="false">Assumptions!C$69</f>
        <v>500</v>
      </c>
      <c r="F38" s="9" t="n">
        <f aca="false">Assumptions!D$69</f>
        <v>500</v>
      </c>
      <c r="G38" s="9" t="n">
        <f aca="false">Assumptions!E$69</f>
        <v>500</v>
      </c>
      <c r="H38" s="9" t="n">
        <f aca="false">Assumptions!F$69</f>
        <v>500</v>
      </c>
      <c r="I38" s="9" t="n">
        <f aca="false">Assumptions!G$69</f>
        <v>500</v>
      </c>
      <c r="J38" s="28" t="s">
        <v>543</v>
      </c>
    </row>
    <row r="39" customFormat="false" ht="15" hidden="false" customHeight="false" outlineLevel="0" collapsed="false">
      <c r="A39" s="5" t="s">
        <v>525</v>
      </c>
      <c r="E39" s="9" t="n">
        <f aca="false">MIN(E38,E37)</f>
        <v>500</v>
      </c>
      <c r="F39" s="9" t="n">
        <f aca="false">MIN(F38,F37)</f>
        <v>500</v>
      </c>
      <c r="G39" s="9" t="n">
        <f aca="false">MIN(G38,G37)</f>
        <v>0</v>
      </c>
      <c r="H39" s="9" t="n">
        <f aca="false">MIN(H38,H37)</f>
        <v>0</v>
      </c>
      <c r="I39" s="9" t="n">
        <f aca="false">MIN(I38,I37)</f>
        <v>0</v>
      </c>
      <c r="J39" s="28" t="s">
        <v>526</v>
      </c>
    </row>
    <row r="40" customFormat="false" ht="15" hidden="false" customHeight="false" outlineLevel="0" collapsed="false">
      <c r="A40" s="4" t="s">
        <v>529</v>
      </c>
      <c r="E40" s="9" t="n">
        <f aca="false">E37-E39</f>
        <v>3367.4</v>
      </c>
      <c r="F40" s="9" t="n">
        <f aca="false">F37-F39</f>
        <v>2641.9468775575</v>
      </c>
      <c r="G40" s="9" t="n">
        <f aca="false">G37-G39</f>
        <v>0</v>
      </c>
      <c r="H40" s="9" t="n">
        <f aca="false">H37-H39</f>
        <v>0</v>
      </c>
      <c r="I40" s="9" t="n">
        <f aca="false">I37-I39</f>
        <v>0</v>
      </c>
      <c r="J40" s="28" t="s">
        <v>530</v>
      </c>
    </row>
    <row r="41" customFormat="false" ht="15" hidden="false" customHeight="false" outlineLevel="0" collapsed="false">
      <c r="A41" s="5" t="s">
        <v>531</v>
      </c>
      <c r="E41" s="9" t="n">
        <f aca="false">MIN(E15-E23,E40)</f>
        <v>225.453122442499</v>
      </c>
      <c r="F41" s="9" t="n">
        <f aca="false">MIN(F15-F23,F40)</f>
        <v>2641.9468775575</v>
      </c>
      <c r="G41" s="9" t="n">
        <f aca="false">MIN(G15-G23,G40)</f>
        <v>0</v>
      </c>
      <c r="H41" s="9" t="n">
        <f aca="false">MIN(H15-H23,H40)</f>
        <v>0</v>
      </c>
      <c r="I41" s="9" t="n">
        <f aca="false">MIN(I15-I23,I40)</f>
        <v>0</v>
      </c>
      <c r="J41" s="28" t="s">
        <v>532</v>
      </c>
    </row>
    <row r="42" customFormat="false" ht="15" hidden="false" customHeight="false" outlineLevel="0" collapsed="false">
      <c r="A42" s="3" t="s">
        <v>533</v>
      </c>
      <c r="D42" s="9" t="n">
        <f aca="false">BS!D31</f>
        <v>3867.4</v>
      </c>
      <c r="E42" s="9" t="n">
        <f aca="false">E40-E41</f>
        <v>3141.9468775575</v>
      </c>
      <c r="F42" s="9" t="n">
        <f aca="false">F40-F41</f>
        <v>0</v>
      </c>
      <c r="G42" s="9" t="n">
        <f aca="false">G40-G41</f>
        <v>0</v>
      </c>
      <c r="H42" s="9" t="n">
        <f aca="false">H40-H41</f>
        <v>0</v>
      </c>
      <c r="I42" s="9" t="n">
        <f aca="false">I40-I41</f>
        <v>0</v>
      </c>
      <c r="J42" s="28" t="s">
        <v>534</v>
      </c>
    </row>
    <row r="43" customFormat="false" ht="15" hidden="false" customHeight="false" outlineLevel="0" collapsed="false">
      <c r="A43" s="5" t="s">
        <v>535</v>
      </c>
      <c r="E43" s="9" t="n">
        <f aca="false">(E37+E42)/2</f>
        <v>3504.67343877875</v>
      </c>
      <c r="F43" s="9" t="n">
        <f aca="false">(F37+F42)/2</f>
        <v>1570.97343877875</v>
      </c>
      <c r="G43" s="9" t="n">
        <f aca="false">(G37+G42)/2</f>
        <v>0</v>
      </c>
      <c r="H43" s="9" t="n">
        <f aca="false">(H37+H42)/2</f>
        <v>0</v>
      </c>
      <c r="I43" s="9" t="n">
        <f aca="false">(I37+I42)/2</f>
        <v>0</v>
      </c>
      <c r="J43" s="28" t="s">
        <v>536</v>
      </c>
    </row>
    <row r="44" customFormat="false" ht="15" hidden="false" customHeight="false" outlineLevel="0" collapsed="false">
      <c r="A44" s="5" t="s">
        <v>537</v>
      </c>
      <c r="E44" s="9" t="n">
        <f aca="false">E43*Assumptions!$C$73</f>
        <v>129.672917234814</v>
      </c>
      <c r="F44" s="9" t="n">
        <f aca="false">F43*Assumptions!$C$73</f>
        <v>58.1260172348138</v>
      </c>
      <c r="G44" s="9" t="n">
        <f aca="false">G43*Assumptions!$C$73</f>
        <v>0</v>
      </c>
      <c r="H44" s="9" t="n">
        <f aca="false">H43*Assumptions!$C$73</f>
        <v>0</v>
      </c>
      <c r="I44" s="9" t="n">
        <f aca="false">I43*Assumptions!$C$73</f>
        <v>0</v>
      </c>
      <c r="J44" s="28" t="s">
        <v>538</v>
      </c>
    </row>
    <row r="46" customFormat="false" ht="15.75" hidden="false" customHeight="true" outlineLevel="0" collapsed="false">
      <c r="A46" s="45" t="s">
        <v>544</v>
      </c>
      <c r="B46" s="45"/>
      <c r="C46" s="45"/>
      <c r="D46" s="45"/>
      <c r="E46" s="45"/>
      <c r="F46" s="45"/>
      <c r="G46" s="45"/>
      <c r="H46" s="45"/>
      <c r="I46" s="45"/>
      <c r="J46" s="45"/>
    </row>
    <row r="47" customFormat="false" ht="15" hidden="false" customHeight="false" outlineLevel="0" collapsed="false">
      <c r="A47" s="5" t="s">
        <v>521</v>
      </c>
      <c r="E47" s="9" t="n">
        <f aca="false">D50</f>
        <v>82.3</v>
      </c>
      <c r="F47" s="9" t="n">
        <f aca="false">E50</f>
        <v>62.3</v>
      </c>
      <c r="G47" s="9" t="n">
        <f aca="false">F50</f>
        <v>42.3</v>
      </c>
      <c r="H47" s="9" t="n">
        <f aca="false">G50</f>
        <v>22.3</v>
      </c>
      <c r="I47" s="9" t="n">
        <f aca="false">H50</f>
        <v>2.3</v>
      </c>
      <c r="J47" s="28" t="s">
        <v>522</v>
      </c>
    </row>
    <row r="48" customFormat="false" ht="15" hidden="false" customHeight="false" outlineLevel="0" collapsed="false">
      <c r="A48" s="5" t="s">
        <v>523</v>
      </c>
      <c r="E48" s="9" t="n">
        <f aca="false">Assumptions!C$70</f>
        <v>20</v>
      </c>
      <c r="F48" s="9" t="n">
        <f aca="false">Assumptions!D$70</f>
        <v>20</v>
      </c>
      <c r="G48" s="9" t="n">
        <f aca="false">Assumptions!E$70</f>
        <v>20</v>
      </c>
      <c r="H48" s="9" t="n">
        <f aca="false">Assumptions!F$70</f>
        <v>20</v>
      </c>
      <c r="I48" s="9" t="n">
        <f aca="false">Assumptions!G$70</f>
        <v>20</v>
      </c>
      <c r="J48" s="28" t="s">
        <v>545</v>
      </c>
    </row>
    <row r="49" customFormat="false" ht="15" hidden="false" customHeight="false" outlineLevel="0" collapsed="false">
      <c r="A49" s="5" t="s">
        <v>525</v>
      </c>
      <c r="E49" s="9" t="n">
        <f aca="false">MIN(E48,E47)</f>
        <v>20</v>
      </c>
      <c r="F49" s="9" t="n">
        <f aca="false">MIN(F48,F47)</f>
        <v>20</v>
      </c>
      <c r="G49" s="9" t="n">
        <f aca="false">MIN(G48,G47)</f>
        <v>20</v>
      </c>
      <c r="H49" s="9" t="n">
        <f aca="false">MIN(H48,H47)</f>
        <v>20</v>
      </c>
      <c r="I49" s="9" t="n">
        <f aca="false">MIN(I48,I47)</f>
        <v>2.3</v>
      </c>
      <c r="J49" s="28" t="s">
        <v>526</v>
      </c>
    </row>
    <row r="50" customFormat="false" ht="15" hidden="false" customHeight="false" outlineLevel="0" collapsed="false">
      <c r="A50" s="3" t="s">
        <v>533</v>
      </c>
      <c r="D50" s="9" t="n">
        <f aca="false">BS!D32</f>
        <v>82.3</v>
      </c>
      <c r="E50" s="9" t="n">
        <f aca="false">E47-E49</f>
        <v>62.3</v>
      </c>
      <c r="F50" s="9" t="n">
        <f aca="false">F47-F49</f>
        <v>42.3</v>
      </c>
      <c r="G50" s="9" t="n">
        <f aca="false">G47-G49</f>
        <v>22.3</v>
      </c>
      <c r="H50" s="9" t="n">
        <f aca="false">H47-H49</f>
        <v>2.3</v>
      </c>
      <c r="I50" s="9" t="n">
        <f aca="false">I47-I49</f>
        <v>0</v>
      </c>
      <c r="J50" s="28" t="s">
        <v>541</v>
      </c>
    </row>
    <row r="51" customFormat="false" ht="15" hidden="false" customHeight="false" outlineLevel="0" collapsed="false">
      <c r="A51" s="5" t="s">
        <v>535</v>
      </c>
      <c r="E51" s="9" t="n">
        <f aca="false">(E47+E50)/2</f>
        <v>72.3</v>
      </c>
      <c r="F51" s="9" t="n">
        <f aca="false">(F47+F50)/2</f>
        <v>52.3</v>
      </c>
      <c r="G51" s="9" t="n">
        <f aca="false">(G47+G50)/2</f>
        <v>32.3</v>
      </c>
      <c r="H51" s="9" t="n">
        <f aca="false">(H47+H50)/2</f>
        <v>12.3</v>
      </c>
      <c r="I51" s="9" t="n">
        <f aca="false">(I47+I50)/2</f>
        <v>1.15</v>
      </c>
      <c r="J51" s="28" t="s">
        <v>536</v>
      </c>
    </row>
    <row r="52" customFormat="false" ht="15" hidden="false" customHeight="false" outlineLevel="0" collapsed="false">
      <c r="A52" s="5" t="s">
        <v>537</v>
      </c>
      <c r="E52" s="9" t="n">
        <f aca="false">E51*Assumptions!$C$74</f>
        <v>3.2535</v>
      </c>
      <c r="F52" s="9" t="n">
        <f aca="false">F51*Assumptions!$C$74</f>
        <v>2.3535</v>
      </c>
      <c r="G52" s="9" t="n">
        <f aca="false">G51*Assumptions!$C$74</f>
        <v>1.4535</v>
      </c>
      <c r="H52" s="9" t="n">
        <f aca="false">H51*Assumptions!$C$74</f>
        <v>0.5535</v>
      </c>
      <c r="I52" s="9" t="n">
        <f aca="false">I51*Assumptions!$C$74</f>
        <v>0.0517499999999999</v>
      </c>
      <c r="J52" s="28" t="s">
        <v>538</v>
      </c>
    </row>
    <row r="54" customFormat="false" ht="15.75" hidden="false" customHeight="true" outlineLevel="0" collapsed="false">
      <c r="A54" s="25" t="s">
        <v>546</v>
      </c>
      <c r="B54" s="25"/>
      <c r="C54" s="25"/>
      <c r="D54" s="25"/>
      <c r="E54" s="25"/>
      <c r="F54" s="25"/>
      <c r="G54" s="25"/>
      <c r="H54" s="25"/>
      <c r="I54" s="25"/>
      <c r="J54" s="25"/>
    </row>
    <row r="55" customFormat="false" ht="15" hidden="false" customHeight="false" outlineLevel="0" collapsed="false">
      <c r="A55" s="5" t="s">
        <v>547</v>
      </c>
      <c r="D55" s="9" t="n">
        <f aca="false">D56</f>
        <v>6445.6</v>
      </c>
      <c r="E55" s="9" t="n">
        <f aca="false">E18+E29+E37+E47</f>
        <v>6445.6</v>
      </c>
      <c r="F55" s="9" t="n">
        <f aca="false">F18+F29+F37+F47</f>
        <v>3900.4468775575</v>
      </c>
      <c r="G55" s="9" t="n">
        <f aca="false">G18+G29+G37+G47</f>
        <v>438.5</v>
      </c>
      <c r="H55" s="9" t="n">
        <f aca="false">H18+H29+H37+H47</f>
        <v>118.5</v>
      </c>
      <c r="I55" s="9" t="n">
        <f aca="false">I18+I29+I37+I47</f>
        <v>2.3</v>
      </c>
      <c r="J55" s="28" t="s">
        <v>548</v>
      </c>
    </row>
    <row r="56" customFormat="false" ht="15" hidden="false" customHeight="false" outlineLevel="0" collapsed="false">
      <c r="A56" s="3" t="s">
        <v>549</v>
      </c>
      <c r="D56" s="9" t="n">
        <f aca="false">D24+D32+D42+D50</f>
        <v>6445.6</v>
      </c>
      <c r="E56" s="9" t="n">
        <f aca="false">E24+E32+E42+E50</f>
        <v>3900.4468775575</v>
      </c>
      <c r="F56" s="9" t="n">
        <f aca="false">F24+F32+F42+F50</f>
        <v>438.5</v>
      </c>
      <c r="G56" s="9" t="n">
        <f aca="false">G24+G32+G42+G50</f>
        <v>118.5</v>
      </c>
      <c r="H56" s="9" t="n">
        <f aca="false">H24+H32+H42+H50</f>
        <v>2.3</v>
      </c>
      <c r="I56" s="9" t="n">
        <f aca="false">I24+I32+I42+I50</f>
        <v>0</v>
      </c>
      <c r="J56" s="28" t="s">
        <v>550</v>
      </c>
    </row>
    <row r="57" customFormat="false" ht="15" hidden="false" customHeight="false" outlineLevel="0" collapsed="false">
      <c r="A57" s="5" t="s">
        <v>551</v>
      </c>
      <c r="E57" s="9" t="n">
        <f aca="false">E56-E55</f>
        <v>-2545.1531224425</v>
      </c>
      <c r="F57" s="9" t="n">
        <f aca="false">F56-F55</f>
        <v>-3461.9468775575</v>
      </c>
      <c r="G57" s="9" t="n">
        <f aca="false">G56-G55</f>
        <v>-320</v>
      </c>
      <c r="H57" s="9" t="n">
        <f aca="false">H56-H55</f>
        <v>-116.2</v>
      </c>
      <c r="I57" s="9" t="n">
        <f aca="false">I56-I55</f>
        <v>-2.3</v>
      </c>
      <c r="J57" s="28" t="s">
        <v>552</v>
      </c>
    </row>
    <row r="58" customFormat="false" ht="15" hidden="false" customHeight="false" outlineLevel="0" collapsed="false">
      <c r="A58" s="5" t="s">
        <v>553</v>
      </c>
      <c r="E58" s="9" t="n">
        <f aca="false">E23+E41</f>
        <v>1725.1531224425</v>
      </c>
      <c r="F58" s="9" t="n">
        <f aca="false">F23+F41</f>
        <v>2641.9468775575</v>
      </c>
      <c r="G58" s="9" t="n">
        <f aca="false">G23+G41</f>
        <v>0</v>
      </c>
      <c r="H58" s="9" t="n">
        <f aca="false">H23+H41</f>
        <v>0</v>
      </c>
      <c r="I58" s="9" t="n">
        <f aca="false">I23+I41</f>
        <v>0</v>
      </c>
      <c r="J58" s="28" t="s">
        <v>554</v>
      </c>
    </row>
    <row r="59" customFormat="false" ht="15" hidden="false" customHeight="false" outlineLevel="0" collapsed="false">
      <c r="A59" s="5" t="s">
        <v>555</v>
      </c>
      <c r="E59" s="9" t="n">
        <f aca="false">E15-E58</f>
        <v>0</v>
      </c>
      <c r="F59" s="9" t="n">
        <f aca="false">F15-F58</f>
        <v>198.052915193967</v>
      </c>
      <c r="G59" s="9" t="n">
        <f aca="false">G15-G58</f>
        <v>7650.15333221466</v>
      </c>
      <c r="H59" s="9" t="n">
        <f aca="false">H15-H58</f>
        <v>10523.3078943544</v>
      </c>
      <c r="I59" s="9" t="n">
        <f aca="false">I15-I58</f>
        <v>12126.4572960851</v>
      </c>
      <c r="J59" s="28" t="s">
        <v>556</v>
      </c>
    </row>
    <row r="60" customFormat="false" ht="15" hidden="false" customHeight="false" outlineLevel="0" collapsed="false">
      <c r="A60" s="5" t="s">
        <v>557</v>
      </c>
      <c r="E60" s="9" t="n">
        <f aca="false">D61</f>
        <v>137</v>
      </c>
      <c r="F60" s="9" t="n">
        <f aca="false">E61</f>
        <v>137</v>
      </c>
      <c r="G60" s="9" t="n">
        <f aca="false">F61</f>
        <v>335.052915193967</v>
      </c>
      <c r="H60" s="9" t="n">
        <f aca="false">G61</f>
        <v>7985.20624740863</v>
      </c>
      <c r="I60" s="9" t="n">
        <f aca="false">H61</f>
        <v>18508.514141763</v>
      </c>
      <c r="J60" s="26" t="s">
        <v>558</v>
      </c>
    </row>
    <row r="61" customFormat="false" ht="15" hidden="false" customHeight="false" outlineLevel="0" collapsed="false">
      <c r="A61" s="5" t="s">
        <v>559</v>
      </c>
      <c r="D61" s="9" t="n">
        <f aca="false">BS!D5</f>
        <v>137</v>
      </c>
      <c r="E61" s="9" t="n">
        <f aca="false">E60+E59</f>
        <v>137</v>
      </c>
      <c r="F61" s="9" t="n">
        <f aca="false">F60+F59</f>
        <v>335.052915193967</v>
      </c>
      <c r="G61" s="9" t="n">
        <f aca="false">G60+G59</f>
        <v>7985.20624740863</v>
      </c>
      <c r="H61" s="9" t="n">
        <f aca="false">H60+H59</f>
        <v>18508.514141763</v>
      </c>
      <c r="I61" s="9" t="n">
        <f aca="false">I60+I59</f>
        <v>30634.9714378481</v>
      </c>
      <c r="J61" s="28" t="s">
        <v>560</v>
      </c>
    </row>
    <row r="62" customFormat="false" ht="15" hidden="false" customHeight="false" outlineLevel="0" collapsed="false">
      <c r="A62" s="5" t="s">
        <v>561</v>
      </c>
      <c r="E62" s="9" t="n">
        <f aca="false">E61-E60</f>
        <v>0</v>
      </c>
      <c r="F62" s="9" t="n">
        <f aca="false">F61-F60</f>
        <v>198.052915193967</v>
      </c>
      <c r="G62" s="9" t="n">
        <f aca="false">G61-G60</f>
        <v>7650.15333221466</v>
      </c>
      <c r="H62" s="9" t="n">
        <f aca="false">H61-H60</f>
        <v>10523.3078943544</v>
      </c>
      <c r="I62" s="9" t="n">
        <f aca="false">I61-I60</f>
        <v>12126.4572960851</v>
      </c>
      <c r="J62" s="28" t="s">
        <v>562</v>
      </c>
    </row>
    <row r="63" customFormat="false" ht="15" hidden="false" customHeight="false" outlineLevel="0" collapsed="false">
      <c r="A63" s="3" t="s">
        <v>563</v>
      </c>
      <c r="D63" s="9" t="n">
        <f aca="false">BS!D4</f>
        <v>3279.6</v>
      </c>
      <c r="E63" s="9" t="n">
        <f aca="false">E12+E14-E58-E59</f>
        <v>662.7806386256</v>
      </c>
      <c r="F63" s="9" t="n">
        <f aca="false">F12+F14-F58-F59</f>
        <v>1015.93149442773</v>
      </c>
      <c r="G63" s="9" t="n">
        <f aca="false">G12+G14-G58-G59</f>
        <v>1355.9566735159</v>
      </c>
      <c r="H63" s="9" t="n">
        <f aca="false">H12+H14-H58-H59</f>
        <v>1627.5040887566</v>
      </c>
      <c r="I63" s="9" t="n">
        <f aca="false">I12+I14-I58-I59</f>
        <v>1820.5042873184</v>
      </c>
      <c r="J63" s="28" t="s">
        <v>564</v>
      </c>
    </row>
    <row r="64" customFormat="false" ht="15" hidden="false" customHeight="false" outlineLevel="0" collapsed="false">
      <c r="A64" s="5" t="s">
        <v>565</v>
      </c>
      <c r="E64" s="9" t="n">
        <f aca="false">E130</f>
        <v>184.192718822136</v>
      </c>
      <c r="F64" s="9" t="n">
        <f aca="false">F130</f>
        <v>79.0503172348138</v>
      </c>
      <c r="G64" s="9" t="n">
        <f aca="false">G130</f>
        <v>9.8243</v>
      </c>
      <c r="H64" s="9" t="n">
        <f aca="false">H130</f>
        <v>2.1889</v>
      </c>
      <c r="I64" s="9" t="n">
        <f aca="false">I130</f>
        <v>0.0517499999999999</v>
      </c>
      <c r="J64" s="28" t="s">
        <v>566</v>
      </c>
    </row>
    <row r="65" customFormat="false" ht="15" hidden="false" customHeight="false" outlineLevel="0" collapsed="false">
      <c r="A65" s="5" t="s">
        <v>567</v>
      </c>
      <c r="E65" s="9" t="n">
        <f aca="false">E132</f>
        <v>23.6542838317536</v>
      </c>
      <c r="F65" s="9" t="n">
        <f aca="false">F132</f>
        <v>10.07227279832</v>
      </c>
      <c r="G65" s="9" t="n">
        <f aca="false">G132</f>
        <v>14.2313290076618</v>
      </c>
      <c r="H65" s="9" t="n">
        <f aca="false">H132</f>
        <v>17.900764573635</v>
      </c>
      <c r="I65" s="9" t="n">
        <f aca="false">I132</f>
        <v>20.68805025645</v>
      </c>
      <c r="J65" s="28" t="s">
        <v>568</v>
      </c>
    </row>
    <row r="66" customFormat="false" ht="15" hidden="false" customHeight="false" outlineLevel="0" collapsed="false">
      <c r="A66" s="5" t="s">
        <v>569</v>
      </c>
      <c r="E66" s="9" t="n">
        <f aca="false">Assumptions!$C$76</f>
        <v>30</v>
      </c>
      <c r="F66" s="9" t="n">
        <f aca="false">Assumptions!$C$76</f>
        <v>30</v>
      </c>
      <c r="G66" s="9" t="n">
        <f aca="false">Assumptions!$C$76</f>
        <v>30</v>
      </c>
      <c r="H66" s="9" t="n">
        <f aca="false">Assumptions!$C$76</f>
        <v>30</v>
      </c>
      <c r="I66" s="9" t="n">
        <f aca="false">Assumptions!$C$76</f>
        <v>30</v>
      </c>
      <c r="J66" s="28" t="s">
        <v>570</v>
      </c>
    </row>
    <row r="67" customFormat="false" ht="15" hidden="false" customHeight="false" outlineLevel="0" collapsed="false">
      <c r="A67" s="3" t="s">
        <v>571</v>
      </c>
      <c r="E67" s="9" t="n">
        <f aca="false">E133</f>
        <v>190.538434990382</v>
      </c>
      <c r="F67" s="9" t="n">
        <f aca="false">F133</f>
        <v>98.9780444364938</v>
      </c>
      <c r="G67" s="9" t="n">
        <f aca="false">G133</f>
        <v>25.5929709923382</v>
      </c>
      <c r="H67" s="9" t="n">
        <f aca="false">H133</f>
        <v>14.288135426365</v>
      </c>
      <c r="I67" s="9" t="n">
        <f aca="false">I133</f>
        <v>9.36369974355002</v>
      </c>
      <c r="J67" s="28" t="s">
        <v>572</v>
      </c>
    </row>
    <row r="69" customFormat="false" ht="15.75" hidden="false" customHeight="true" outlineLevel="0" collapsed="false">
      <c r="A69" s="25" t="s">
        <v>573</v>
      </c>
      <c r="B69" s="25"/>
      <c r="C69" s="25"/>
      <c r="D69" s="25"/>
      <c r="E69" s="25"/>
      <c r="F69" s="25"/>
      <c r="G69" s="25"/>
      <c r="H69" s="25"/>
      <c r="I69" s="25"/>
      <c r="J69" s="25"/>
    </row>
    <row r="70" customFormat="false" ht="30" hidden="false" customHeight="true" outlineLevel="0" collapsed="false">
      <c r="A70" s="13" t="s">
        <v>574</v>
      </c>
      <c r="B70" s="13"/>
      <c r="C70" s="13"/>
      <c r="D70" s="13"/>
      <c r="E70" s="13"/>
      <c r="F70" s="13"/>
      <c r="G70" s="13"/>
      <c r="H70" s="13"/>
      <c r="I70" s="13"/>
      <c r="J70" s="13"/>
    </row>
    <row r="71" customFormat="false" ht="15.75" hidden="false" customHeight="true" outlineLevel="0" collapsed="false">
      <c r="A71" s="45" t="s">
        <v>575</v>
      </c>
      <c r="B71" s="45"/>
      <c r="C71" s="45"/>
      <c r="D71" s="45"/>
      <c r="E71" s="45"/>
      <c r="F71" s="45"/>
      <c r="G71" s="45"/>
      <c r="H71" s="45"/>
      <c r="I71" s="45"/>
      <c r="J71" s="45"/>
    </row>
    <row r="72" customFormat="false" ht="15" hidden="false" customHeight="false" outlineLevel="0" collapsed="false">
      <c r="A72" s="4" t="s">
        <v>576</v>
      </c>
      <c r="E72" s="9" t="n">
        <f aca="false">E18*Assumptions!$C$71+E29*Assumptions!$C$72+E37*Assumptions!$C$73+E47*Assumptions!$C$74</f>
        <v>225.6591</v>
      </c>
      <c r="F72" s="9" t="n">
        <f aca="false">F18*Assumptions!$C$71+F29*Assumptions!$C$72+F37*Assumptions!$C$73+F47*Assumptions!$C$74</f>
        <v>142.726334469628</v>
      </c>
      <c r="G72" s="9" t="n">
        <f aca="false">G18*Assumptions!$C$71+G29*Assumptions!$C$72+G37*Assumptions!$C$73+G47*Assumptions!$C$74</f>
        <v>15.3743</v>
      </c>
      <c r="H72" s="9" t="n">
        <f aca="false">H18*Assumptions!$C$71+H29*Assumptions!$C$72+H37*Assumptions!$C$73+H47*Assumptions!$C$74</f>
        <v>4.2743</v>
      </c>
      <c r="I72" s="9" t="n">
        <f aca="false">I18*Assumptions!$C$71+I29*Assumptions!$C$72+I37*Assumptions!$C$73+I47*Assumptions!$C$74</f>
        <v>0.1035</v>
      </c>
    </row>
    <row r="73" customFormat="false" ht="15" hidden="false" customHeight="false" outlineLevel="0" collapsed="false">
      <c r="A73" s="4" t="s">
        <v>577</v>
      </c>
      <c r="E73" s="9" t="n">
        <f aca="false">E6*Assumptions!$C$75</f>
        <v>39.3552</v>
      </c>
      <c r="F73" s="9" t="n">
        <f aca="false">F6*Assumptions!$C$75</f>
        <v>7.9533676635072</v>
      </c>
      <c r="G73" s="9" t="n">
        <f aca="false">G6*Assumptions!$C$75</f>
        <v>12.1911779331328</v>
      </c>
      <c r="H73" s="9" t="n">
        <f aca="false">H6*Assumptions!$C$75</f>
        <v>16.2714800821908</v>
      </c>
      <c r="I73" s="9" t="n">
        <f aca="false">I6*Assumptions!$C$75</f>
        <v>19.5300490650791</v>
      </c>
    </row>
    <row r="74" customFormat="false" ht="15" hidden="false" customHeight="false" outlineLevel="0" collapsed="false">
      <c r="A74" s="4" t="s">
        <v>578</v>
      </c>
      <c r="E74" s="9" t="n">
        <f aca="false">E72-E73+E66</f>
        <v>216.3039</v>
      </c>
      <c r="F74" s="9" t="n">
        <f aca="false">F72-F73+F66</f>
        <v>164.77296680612</v>
      </c>
      <c r="G74" s="9" t="n">
        <f aca="false">G72-G73+G66</f>
        <v>33.1831220668672</v>
      </c>
      <c r="H74" s="9" t="n">
        <f aca="false">H72-H73+H66</f>
        <v>18.0028199178092</v>
      </c>
      <c r="I74" s="9" t="n">
        <f aca="false">I72-I73+I66</f>
        <v>10.5734509349209</v>
      </c>
    </row>
    <row r="75" customFormat="false" ht="15" hidden="false" customHeight="false" outlineLevel="0" collapsed="false">
      <c r="A75" s="4" t="s">
        <v>579</v>
      </c>
      <c r="E75" s="9" t="n">
        <f aca="false">(IS!E7-IS!E9-IS!E10-IS!E11-IS!E12+IS!E14+IS!E16-E74)*(1-Assumptions!C$41)*(1-Assumptions!C$42)</f>
        <v>8304.43811930844</v>
      </c>
      <c r="F75" s="9" t="n">
        <f aca="false">(IS!F7-IS!F9-IS!F10-IS!F11-IS!F12+IS!F14+IS!F16-F74)*(1-Assumptions!D$41)*(1-Assumptions!D$42)</f>
        <v>13127.0565578838</v>
      </c>
      <c r="G75" s="9" t="n">
        <f aca="false">(IS!G7-IS!G9-IS!G10-IS!G11-IS!G12+IS!G14+IS!G16-G74)*(1-Assumptions!E$41)*(1-Assumptions!E$42)</f>
        <v>17295.4266873354</v>
      </c>
      <c r="H75" s="9" t="n">
        <f aca="false">(IS!H7-IS!H9-IS!H10-IS!H11-IS!H12+IS!H14+IS!H16-H74)*(1-Assumptions!F$41)*(1-Assumptions!F$42)</f>
        <v>20040.3142555904</v>
      </c>
      <c r="I75" s="9" t="n">
        <f aca="false">(IS!I7-IS!I9-IS!I10-IS!I11-IS!I12+IS!I14+IS!I16-I74)*(1-Assumptions!G$41)*(1-Assumptions!G$42)</f>
        <v>21763.6312244114</v>
      </c>
    </row>
    <row r="76" customFormat="false" ht="15" hidden="false" customHeight="false" outlineLevel="0" collapsed="false">
      <c r="A76" s="4" t="s">
        <v>580</v>
      </c>
      <c r="E76" s="9" t="n">
        <f aca="false">E75+PPE!E19+E72-Schedules!E18</f>
        <v>10612.8923292433</v>
      </c>
      <c r="F76" s="9" t="n">
        <f aca="false">F75+PPE!F19+F72-Schedules!F18</f>
        <v>16584.3542978685</v>
      </c>
      <c r="G76" s="9" t="n">
        <f aca="false">G75+PPE!G19+G72-Schedules!G18</f>
        <v>21519.3032059213</v>
      </c>
      <c r="H76" s="9" t="n">
        <f aca="false">H75+PPE!H19+H72-Schedules!H18</f>
        <v>24747.1603941731</v>
      </c>
      <c r="I76" s="9" t="n">
        <f aca="false">I75+PPE!I19+I72-Schedules!I18</f>
        <v>26171.6353879624</v>
      </c>
    </row>
    <row r="77" customFormat="false" ht="15" hidden="false" customHeight="false" outlineLevel="0" collapsed="false">
      <c r="A77" s="4" t="s">
        <v>581</v>
      </c>
      <c r="E77" s="9" t="n">
        <f aca="false">E6+E76+E8+E9-E72+E11</f>
        <v>2365.90428848487</v>
      </c>
      <c r="F77" s="9" t="n">
        <f aca="false">F6+F76+F8+F9-F72+F11</f>
        <v>3799.67662855317</v>
      </c>
      <c r="G77" s="9" t="n">
        <f aca="false">G6+G76+G8+G9-G72+G11</f>
        <v>8999.62042656183</v>
      </c>
      <c r="H77" s="9" t="n">
        <f aca="false">H6+H76+H8+H9-H72+H11</f>
        <v>12147.6359278708</v>
      </c>
      <c r="I77" s="9" t="n">
        <f aca="false">I6+I76+I8+I9-I72+I11</f>
        <v>13945.9272461349</v>
      </c>
    </row>
    <row r="78" customFormat="false" ht="15" hidden="false" customHeight="false" outlineLevel="0" collapsed="false">
      <c r="A78" s="4" t="s">
        <v>582</v>
      </c>
      <c r="E78" s="9" t="n">
        <f aca="false">MAX(0,E13-E77)</f>
        <v>0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  <c r="I78" s="9" t="n">
        <f aca="false">MAX(0,I13-I77)</f>
        <v>0</v>
      </c>
    </row>
    <row r="79" customFormat="false" ht="15" hidden="false" customHeight="false" outlineLevel="0" collapsed="false">
      <c r="A79" s="4" t="s">
        <v>583</v>
      </c>
      <c r="E79" s="9" t="n">
        <f aca="false">MAX(0,E77+E78-E13)</f>
        <v>1703.12364985927</v>
      </c>
      <c r="F79" s="9" t="n">
        <f aca="false">MAX(0,F77+F78-F13)</f>
        <v>2783.74513412543</v>
      </c>
      <c r="G79" s="9" t="n">
        <f aca="false">MAX(0,G77+G78-G13)</f>
        <v>7643.66375304593</v>
      </c>
      <c r="H79" s="9" t="n">
        <f aca="false">MAX(0,H77+H78-H13)</f>
        <v>10520.1318391142</v>
      </c>
      <c r="I79" s="9" t="n">
        <f aca="false">MAX(0,I77+I78-I13)</f>
        <v>12125.4229588165</v>
      </c>
    </row>
    <row r="80" customFormat="false" ht="15" hidden="false" customHeight="false" outlineLevel="0" collapsed="false">
      <c r="A80" s="4" t="s">
        <v>584</v>
      </c>
      <c r="E80" s="9" t="n">
        <f aca="false">(E18-E20+E78)-MIN(E79,E18-E20+E78)</f>
        <v>0</v>
      </c>
      <c r="F80" s="9" t="n">
        <f aca="false">(F18-F20+F78)-MIN(F79,F18-F20+F78)</f>
        <v>0</v>
      </c>
      <c r="G80" s="9" t="n">
        <f aca="false">(G18-G20+G78)-MIN(G79,G18-G20+G78)</f>
        <v>0</v>
      </c>
      <c r="H80" s="9" t="n">
        <f aca="false">(H18-H20+H78)-MIN(H79,H18-H20+H78)</f>
        <v>0</v>
      </c>
      <c r="I80" s="9" t="n">
        <f aca="false">(I18-I20+I78)-MIN(I79,I18-I20+I78)</f>
        <v>0</v>
      </c>
    </row>
    <row r="81" customFormat="false" ht="15" hidden="false" customHeight="false" outlineLevel="0" collapsed="false">
      <c r="A81" s="4" t="s">
        <v>585</v>
      </c>
      <c r="E81" s="9" t="n">
        <f aca="false">(E37-E39)-MIN(E79-(E18-E20+E78-E80),E37-E39)</f>
        <v>3163.97635014073</v>
      </c>
      <c r="F81" s="9" t="n">
        <f aca="false">(F37-F39)-MIN(F79-(F18-F20+F78-F80),F37-F39)</f>
        <v>0</v>
      </c>
      <c r="G81" s="9" t="n">
        <f aca="false">(G37-G39)-MIN(G79-(G18-G20+G78-G80),G37-G39)</f>
        <v>0</v>
      </c>
      <c r="H81" s="9" t="n">
        <f aca="false">(H37-H39)-MIN(H79-(H18-H20+H78-H80),H37-H39)</f>
        <v>0</v>
      </c>
      <c r="I81" s="9" t="n">
        <f aca="false">(I37-I39)-MIN(I79-(I18-I20+I78-I80),I37-I39)</f>
        <v>0</v>
      </c>
    </row>
    <row r="82" customFormat="false" ht="15" hidden="false" customHeight="false" outlineLevel="0" collapsed="false">
      <c r="A82" s="4" t="s">
        <v>586</v>
      </c>
      <c r="E82" s="9" t="n">
        <f aca="false">(E18+E80)/2*Assumptions!$C$71+(E29+E32)/2*Assumptions!$C$72+(E37+E81)/2*Assumptions!$C$73+(E47+E50)/2*Assumptions!$C$74</f>
        <v>184.600262477603</v>
      </c>
      <c r="F82" s="9" t="n">
        <f aca="false">(F18+F80)/2*Assumptions!$C$71+(F29+F32)/2*Assumptions!$C$72+(F37+F81)/2*Assumptions!$C$73+(F47+F50)/2*Assumptions!$C$74</f>
        <v>79.0503172348138</v>
      </c>
      <c r="G82" s="9" t="n">
        <f aca="false">(G18+G80)/2*Assumptions!$C$71+(G29+G32)/2*Assumptions!$C$72+(G37+G81)/2*Assumptions!$C$73+(G47+G50)/2*Assumptions!$C$74</f>
        <v>9.8243</v>
      </c>
      <c r="H82" s="9" t="n">
        <f aca="false">(H18+H80)/2*Assumptions!$C$71+(H29+H32)/2*Assumptions!$C$72+(H37+H81)/2*Assumptions!$C$73+(H47+H50)/2*Assumptions!$C$74</f>
        <v>2.1889</v>
      </c>
      <c r="I82" s="9" t="n">
        <f aca="false">(I18+I80)/2*Assumptions!$C$71+(I29+I32)/2*Assumptions!$C$72+(I37+I81)/2*Assumptions!$C$73+(I47+I50)/2*Assumptions!$C$74</f>
        <v>0.0517499999999999</v>
      </c>
    </row>
    <row r="83" customFormat="false" ht="15" hidden="false" customHeight="false" outlineLevel="0" collapsed="false">
      <c r="A83" s="4" t="s">
        <v>587</v>
      </c>
      <c r="E83" s="9" t="n">
        <f aca="false">E77+E78-E79</f>
        <v>662.7806386256</v>
      </c>
      <c r="F83" s="9" t="n">
        <f aca="false">F77+F78-F79</f>
        <v>1015.93149442773</v>
      </c>
      <c r="G83" s="9" t="n">
        <f aca="false">G77+G78-G79</f>
        <v>1355.9566735159</v>
      </c>
      <c r="H83" s="9" t="n">
        <f aca="false">H77+H78-H79</f>
        <v>1627.5040887566</v>
      </c>
      <c r="I83" s="9" t="n">
        <f aca="false">I77+I78-I79</f>
        <v>1820.5042873184</v>
      </c>
    </row>
    <row r="84" customFormat="false" ht="15" hidden="false" customHeight="false" outlineLevel="0" collapsed="false">
      <c r="A84" s="4" t="s">
        <v>588</v>
      </c>
      <c r="E84" s="9" t="n">
        <f aca="false">(E6+E83)/2*Assumptions!$C$75</f>
        <v>23.6542838317536</v>
      </c>
      <c r="F84" s="9" t="n">
        <f aca="false">(F6+F83)/2*Assumptions!$C$75</f>
        <v>10.07227279832</v>
      </c>
      <c r="G84" s="9" t="n">
        <f aca="false">(G6+G83)/2*Assumptions!$C$75</f>
        <v>14.2313290076618</v>
      </c>
      <c r="H84" s="9" t="n">
        <f aca="false">(H6+H83)/2*Assumptions!$C$75</f>
        <v>17.900764573635</v>
      </c>
      <c r="I84" s="9" t="n">
        <f aca="false">(I6+I83)/2*Assumptions!$C$75</f>
        <v>20.68805025645</v>
      </c>
    </row>
    <row r="85" customFormat="false" ht="15" hidden="false" customHeight="false" outlineLevel="0" collapsed="false">
      <c r="A85" s="4" t="s">
        <v>589</v>
      </c>
      <c r="E85" s="9" t="n">
        <f aca="false">E82-E84+E66</f>
        <v>190.94597864585</v>
      </c>
      <c r="F85" s="9" t="n">
        <f aca="false">F82-F84+F66</f>
        <v>98.9780444364938</v>
      </c>
      <c r="G85" s="9" t="n">
        <f aca="false">G82-G84+G66</f>
        <v>25.5929709923382</v>
      </c>
      <c r="H85" s="9" t="n">
        <f aca="false">H82-H84+H66</f>
        <v>14.288135426365</v>
      </c>
      <c r="I85" s="9" t="n">
        <f aca="false">I82-I84+I66</f>
        <v>9.36369974355002</v>
      </c>
    </row>
    <row r="86" customFormat="false" ht="15" hidden="false" customHeight="false" outlineLevel="0" collapsed="false">
      <c r="A86" s="10" t="s">
        <v>590</v>
      </c>
      <c r="E86" s="52" t="n">
        <f aca="false">ABS(E82-E72)+ABS(E84-E73)</f>
        <v>56.759753690643</v>
      </c>
      <c r="F86" s="52" t="n">
        <f aca="false">ABS(F82-F72)+ABS(F84-F73)</f>
        <v>65.7949223696266</v>
      </c>
      <c r="G86" s="52" t="n">
        <f aca="false">ABS(G82-G72)+ABS(G84-G73)</f>
        <v>7.59015107452902</v>
      </c>
      <c r="H86" s="52" t="n">
        <f aca="false">ABS(H82-H72)+ABS(H84-H73)</f>
        <v>3.71468449144417</v>
      </c>
      <c r="I86" s="52" t="n">
        <f aca="false">ABS(I82-I72)+ABS(I84-I73)</f>
        <v>1.20975119137083</v>
      </c>
    </row>
    <row r="87" customFormat="false" ht="15.75" hidden="false" customHeight="true" outlineLevel="0" collapsed="false">
      <c r="A87" s="45" t="s">
        <v>591</v>
      </c>
      <c r="B87" s="45"/>
      <c r="C87" s="45"/>
      <c r="D87" s="45"/>
      <c r="E87" s="45"/>
      <c r="F87" s="45"/>
      <c r="G87" s="45"/>
      <c r="H87" s="45"/>
      <c r="I87" s="45"/>
      <c r="J87" s="45"/>
    </row>
    <row r="88" customFormat="false" ht="15" hidden="false" customHeight="false" outlineLevel="0" collapsed="false">
      <c r="A88" s="4" t="s">
        <v>592</v>
      </c>
      <c r="E88" s="9" t="n">
        <f aca="false">E82</f>
        <v>184.600262477603</v>
      </c>
      <c r="F88" s="9" t="n">
        <f aca="false">F82</f>
        <v>79.0503172348138</v>
      </c>
      <c r="G88" s="9" t="n">
        <f aca="false">G82</f>
        <v>9.8243</v>
      </c>
      <c r="H88" s="9" t="n">
        <f aca="false">H82</f>
        <v>2.1889</v>
      </c>
      <c r="I88" s="9" t="n">
        <f aca="false">I82</f>
        <v>0.0517499999999999</v>
      </c>
    </row>
    <row r="89" customFormat="false" ht="15" hidden="false" customHeight="false" outlineLevel="0" collapsed="false">
      <c r="A89" s="4" t="s">
        <v>593</v>
      </c>
      <c r="E89" s="9" t="n">
        <f aca="false">E84</f>
        <v>23.6542838317536</v>
      </c>
      <c r="F89" s="9" t="n">
        <f aca="false">F84</f>
        <v>10.07227279832</v>
      </c>
      <c r="G89" s="9" t="n">
        <f aca="false">G84</f>
        <v>14.2313290076618</v>
      </c>
      <c r="H89" s="9" t="n">
        <f aca="false">H84</f>
        <v>17.900764573635</v>
      </c>
      <c r="I89" s="9" t="n">
        <f aca="false">I84</f>
        <v>20.68805025645</v>
      </c>
    </row>
    <row r="90" customFormat="false" ht="15" hidden="false" customHeight="false" outlineLevel="0" collapsed="false">
      <c r="A90" s="4" t="s">
        <v>594</v>
      </c>
      <c r="E90" s="9" t="n">
        <f aca="false">E88-E89+E66</f>
        <v>190.94597864585</v>
      </c>
      <c r="F90" s="9" t="n">
        <f aca="false">F88-F89+F66</f>
        <v>98.9780444364938</v>
      </c>
      <c r="G90" s="9" t="n">
        <f aca="false">G88-G89+G66</f>
        <v>25.5929709923382</v>
      </c>
      <c r="H90" s="9" t="n">
        <f aca="false">H88-H89+H66</f>
        <v>14.288135426365</v>
      </c>
      <c r="I90" s="9" t="n">
        <f aca="false">I88-I89+I66</f>
        <v>9.36369974355002</v>
      </c>
    </row>
    <row r="91" customFormat="false" ht="15" hidden="false" customHeight="false" outlineLevel="0" collapsed="false">
      <c r="A91" s="4" t="s">
        <v>595</v>
      </c>
      <c r="E91" s="9" t="n">
        <f aca="false">(IS!E7-IS!E9-IS!E10-IS!E11-IS!E12+IS!E14+IS!E16-E90)*(1-Assumptions!C$41)*(1-Assumptions!C$42)</f>
        <v>8326.11914206624</v>
      </c>
      <c r="F91" s="9" t="n">
        <f aca="false">(IS!F7-IS!F9-IS!F10-IS!F11-IS!F12+IS!F14+IS!F16-F90)*(1-Assumptions!D$41)*(1-Assumptions!D$42)</f>
        <v>13183.3112165099</v>
      </c>
      <c r="G91" s="9" t="n">
        <f aca="false">(IS!G7-IS!G9-IS!G10-IS!G11-IS!G12+IS!G14+IS!G16-G90)*(1-Assumptions!E$41)*(1-Assumptions!E$42)</f>
        <v>17301.9162665042</v>
      </c>
      <c r="H91" s="9" t="n">
        <f aca="false">(IS!H7-IS!H9-IS!H10-IS!H11-IS!H12+IS!H14+IS!H16-H90)*(1-Assumptions!F$41)*(1-Assumptions!F$42)</f>
        <v>20043.4903108306</v>
      </c>
      <c r="I91" s="9" t="n">
        <f aca="false">(IS!I7-IS!I9-IS!I10-IS!I11-IS!I12+IS!I14+IS!I16-I90)*(1-Assumptions!G$41)*(1-Assumptions!G$42)</f>
        <v>21764.6655616801</v>
      </c>
    </row>
    <row r="92" customFormat="false" ht="15" hidden="false" customHeight="false" outlineLevel="0" collapsed="false">
      <c r="A92" s="4" t="s">
        <v>596</v>
      </c>
      <c r="E92" s="9" t="n">
        <f aca="false">E91+PPE!E19+E88-Schedules!E18</f>
        <v>10593.5145144787</v>
      </c>
      <c r="F92" s="9" t="n">
        <f aca="false">F91+PPE!F19+F88-Schedules!F18</f>
        <v>16576.9329392598</v>
      </c>
      <c r="G92" s="9" t="n">
        <f aca="false">G91+PPE!G19+G88-Schedules!G18</f>
        <v>21520.24278509</v>
      </c>
      <c r="H92" s="9" t="n">
        <f aca="false">H91+PPE!H19+H88-Schedules!H18</f>
        <v>24748.2510494133</v>
      </c>
      <c r="I92" s="9" t="n">
        <f aca="false">I91+PPE!I19+I88-Schedules!I18</f>
        <v>26172.617975231</v>
      </c>
    </row>
    <row r="93" customFormat="false" ht="15" hidden="false" customHeight="false" outlineLevel="0" collapsed="false">
      <c r="A93" s="4" t="s">
        <v>597</v>
      </c>
      <c r="E93" s="9" t="n">
        <f aca="false">E6+E92+E8+E9-E88+E11</f>
        <v>2387.58531124267</v>
      </c>
      <c r="F93" s="9" t="n">
        <f aca="false">F6+F92+F8+F9-F88+F11</f>
        <v>3855.9312871792</v>
      </c>
      <c r="G93" s="9" t="n">
        <f aca="false">G6+G92+G8+G9-G88+G11</f>
        <v>9006.11000573056</v>
      </c>
      <c r="H93" s="9" t="n">
        <f aca="false">H6+H92+H8+H9-H88+H11</f>
        <v>12150.811983111</v>
      </c>
      <c r="I93" s="9" t="n">
        <f aca="false">I6+I92+I8+I9-I88+I11</f>
        <v>13946.9615834035</v>
      </c>
    </row>
    <row r="94" customFormat="false" ht="15" hidden="false" customHeight="false" outlineLevel="0" collapsed="false">
      <c r="A94" s="4" t="s">
        <v>598</v>
      </c>
      <c r="E94" s="9" t="n">
        <f aca="false">MAX(0,E13-E93)</f>
        <v>0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  <c r="I94" s="9" t="n">
        <f aca="false">MAX(0,I13-I93)</f>
        <v>0</v>
      </c>
    </row>
    <row r="95" customFormat="false" ht="15" hidden="false" customHeight="false" outlineLevel="0" collapsed="false">
      <c r="A95" s="4" t="s">
        <v>599</v>
      </c>
      <c r="E95" s="9" t="n">
        <f aca="false">MAX(0,E93+E94-E13)</f>
        <v>1724.80467261707</v>
      </c>
      <c r="F95" s="9" t="n">
        <f aca="false">MAX(0,F93+F94-F13)</f>
        <v>2839.99979275147</v>
      </c>
      <c r="G95" s="9" t="n">
        <f aca="false">MAX(0,G93+G94-G13)</f>
        <v>7650.15333221466</v>
      </c>
      <c r="H95" s="9" t="n">
        <f aca="false">MAX(0,H93+H94-H13)</f>
        <v>10523.3078943544</v>
      </c>
      <c r="I95" s="9" t="n">
        <f aca="false">MAX(0,I93+I94-I13)</f>
        <v>12126.4572960851</v>
      </c>
    </row>
    <row r="96" customFormat="false" ht="15" hidden="false" customHeight="false" outlineLevel="0" collapsed="false">
      <c r="A96" s="4" t="s">
        <v>600</v>
      </c>
      <c r="E96" s="9" t="n">
        <f aca="false">(E18-E20+E94)-MIN(E95,E18-E20+E94)</f>
        <v>0</v>
      </c>
      <c r="F96" s="9" t="n">
        <f aca="false">(F18-F20+F94)-MIN(F95,F18-F20+F94)</f>
        <v>0</v>
      </c>
      <c r="G96" s="9" t="n">
        <f aca="false">(G18-G20+G94)-MIN(G95,G18-G20+G94)</f>
        <v>0</v>
      </c>
      <c r="H96" s="9" t="n">
        <f aca="false">(H18-H20+H94)-MIN(H95,H18-H20+H94)</f>
        <v>0</v>
      </c>
      <c r="I96" s="9" t="n">
        <f aca="false">(I18-I20+I94)-MIN(I95,I18-I20+I94)</f>
        <v>0</v>
      </c>
    </row>
    <row r="97" customFormat="false" ht="15" hidden="false" customHeight="false" outlineLevel="0" collapsed="false">
      <c r="A97" s="4" t="s">
        <v>601</v>
      </c>
      <c r="E97" s="9" t="n">
        <f aca="false">(E37-E39)-MIN(E95-(E18-E20+E94-E96),E37-E39)</f>
        <v>3142.29532738293</v>
      </c>
      <c r="F97" s="9" t="n">
        <f aca="false">(F37-F39)-MIN(F95-(F18-F20+F94-F96),F37-F39)</f>
        <v>0</v>
      </c>
      <c r="G97" s="9" t="n">
        <f aca="false">(G37-G39)-MIN(G95-(G18-G20+G94-G96),G37-G39)</f>
        <v>0</v>
      </c>
      <c r="H97" s="9" t="n">
        <f aca="false">(H37-H39)-MIN(H95-(H18-H20+H94-H96),H37-H39)</f>
        <v>0</v>
      </c>
      <c r="I97" s="9" t="n">
        <f aca="false">(I37-I39)-MIN(I95-(I18-I20+I94-I96),I37-I39)</f>
        <v>0</v>
      </c>
    </row>
    <row r="98" customFormat="false" ht="15" hidden="false" customHeight="false" outlineLevel="0" collapsed="false">
      <c r="A98" s="4" t="s">
        <v>602</v>
      </c>
      <c r="E98" s="9" t="n">
        <f aca="false">(E18+E96)/2*Assumptions!$C$71+(E29+E32)/2*Assumptions!$C$72+(E37+E97)/2*Assumptions!$C$73+(E47+E50)/2*Assumptions!$C$74</f>
        <v>184.199163556584</v>
      </c>
      <c r="F98" s="9" t="n">
        <f aca="false">(F18+F96)/2*Assumptions!$C$71+(F29+F32)/2*Assumptions!$C$72+(F37+F97)/2*Assumptions!$C$73+(F47+F50)/2*Assumptions!$C$74</f>
        <v>79.0503172348138</v>
      </c>
      <c r="G98" s="9" t="n">
        <f aca="false">(G18+G96)/2*Assumptions!$C$71+(G29+G32)/2*Assumptions!$C$72+(G37+G97)/2*Assumptions!$C$73+(G47+G50)/2*Assumptions!$C$74</f>
        <v>9.8243</v>
      </c>
      <c r="H98" s="9" t="n">
        <f aca="false">(H18+H96)/2*Assumptions!$C$71+(H29+H32)/2*Assumptions!$C$72+(H37+H97)/2*Assumptions!$C$73+(H47+H50)/2*Assumptions!$C$74</f>
        <v>2.1889</v>
      </c>
      <c r="I98" s="9" t="n">
        <f aca="false">(I18+I96)/2*Assumptions!$C$71+(I29+I32)/2*Assumptions!$C$72+(I37+I97)/2*Assumptions!$C$73+(I47+I50)/2*Assumptions!$C$74</f>
        <v>0.0517499999999999</v>
      </c>
    </row>
    <row r="99" customFormat="false" ht="15" hidden="false" customHeight="false" outlineLevel="0" collapsed="false">
      <c r="A99" s="4" t="s">
        <v>603</v>
      </c>
      <c r="E99" s="9" t="n">
        <f aca="false">E93+E94-E95</f>
        <v>662.7806386256</v>
      </c>
      <c r="F99" s="9" t="n">
        <f aca="false">F93+F94-F95</f>
        <v>1015.93149442773</v>
      </c>
      <c r="G99" s="9" t="n">
        <f aca="false">G93+G94-G95</f>
        <v>1355.9566735159</v>
      </c>
      <c r="H99" s="9" t="n">
        <f aca="false">H93+H94-H95</f>
        <v>1627.5040887566</v>
      </c>
      <c r="I99" s="9" t="n">
        <f aca="false">I93+I94-I95</f>
        <v>1820.5042873184</v>
      </c>
    </row>
    <row r="100" customFormat="false" ht="15" hidden="false" customHeight="false" outlineLevel="0" collapsed="false">
      <c r="A100" s="4" t="s">
        <v>604</v>
      </c>
      <c r="E100" s="9" t="n">
        <f aca="false">(E6+E99)/2*Assumptions!$C$75</f>
        <v>23.6542838317536</v>
      </c>
      <c r="F100" s="9" t="n">
        <f aca="false">(F6+F99)/2*Assumptions!$C$75</f>
        <v>10.07227279832</v>
      </c>
      <c r="G100" s="9" t="n">
        <f aca="false">(G6+G99)/2*Assumptions!$C$75</f>
        <v>14.2313290076618</v>
      </c>
      <c r="H100" s="9" t="n">
        <f aca="false">(H6+H99)/2*Assumptions!$C$75</f>
        <v>17.900764573635</v>
      </c>
      <c r="I100" s="9" t="n">
        <f aca="false">(I6+I99)/2*Assumptions!$C$75</f>
        <v>20.68805025645</v>
      </c>
    </row>
    <row r="101" customFormat="false" ht="15" hidden="false" customHeight="false" outlineLevel="0" collapsed="false">
      <c r="A101" s="4" t="s">
        <v>605</v>
      </c>
      <c r="E101" s="9" t="n">
        <f aca="false">E98-E100+E66</f>
        <v>190.544879724831</v>
      </c>
      <c r="F101" s="9" t="n">
        <f aca="false">F98-F100+F66</f>
        <v>98.9780444364938</v>
      </c>
      <c r="G101" s="9" t="n">
        <f aca="false">G98-G100+G66</f>
        <v>25.5929709923382</v>
      </c>
      <c r="H101" s="9" t="n">
        <f aca="false">H98-H100+H66</f>
        <v>14.288135426365</v>
      </c>
      <c r="I101" s="9" t="n">
        <f aca="false">I98-I100+I66</f>
        <v>9.36369974355002</v>
      </c>
    </row>
    <row r="102" customFormat="false" ht="15" hidden="false" customHeight="false" outlineLevel="0" collapsed="false">
      <c r="A102" s="10" t="s">
        <v>606</v>
      </c>
      <c r="E102" s="52" t="n">
        <f aca="false">ABS(E98-E88)+ABS(E100-E89)</f>
        <v>0.401098921019269</v>
      </c>
      <c r="F102" s="52" t="n">
        <f aca="false">ABS(F98-F88)+ABS(F100-F89)</f>
        <v>0</v>
      </c>
      <c r="G102" s="52" t="n">
        <f aca="false">ABS(G98-G88)+ABS(G100-G89)</f>
        <v>0</v>
      </c>
      <c r="H102" s="52" t="n">
        <f aca="false">ABS(H98-H88)+ABS(H100-H89)</f>
        <v>0</v>
      </c>
      <c r="I102" s="52" t="n">
        <f aca="false">ABS(I98-I88)+ABS(I100-I89)</f>
        <v>0</v>
      </c>
    </row>
    <row r="103" customFormat="false" ht="15.75" hidden="false" customHeight="true" outlineLevel="0" collapsed="false">
      <c r="A103" s="45" t="s">
        <v>607</v>
      </c>
      <c r="B103" s="45"/>
      <c r="C103" s="45"/>
      <c r="D103" s="45"/>
      <c r="E103" s="45"/>
      <c r="F103" s="45"/>
      <c r="G103" s="45"/>
      <c r="H103" s="45"/>
      <c r="I103" s="45"/>
      <c r="J103" s="45"/>
    </row>
    <row r="104" customFormat="false" ht="15" hidden="false" customHeight="false" outlineLevel="0" collapsed="false">
      <c r="A104" s="4" t="s">
        <v>608</v>
      </c>
      <c r="E104" s="9" t="n">
        <f aca="false">E98</f>
        <v>184.199163556584</v>
      </c>
      <c r="F104" s="9" t="n">
        <f aca="false">F98</f>
        <v>79.0503172348138</v>
      </c>
      <c r="G104" s="9" t="n">
        <f aca="false">G98</f>
        <v>9.8243</v>
      </c>
      <c r="H104" s="9" t="n">
        <f aca="false">H98</f>
        <v>2.1889</v>
      </c>
      <c r="I104" s="9" t="n">
        <f aca="false">I98</f>
        <v>0.0517499999999999</v>
      </c>
    </row>
    <row r="105" customFormat="false" ht="15" hidden="false" customHeight="false" outlineLevel="0" collapsed="false">
      <c r="A105" s="4" t="s">
        <v>609</v>
      </c>
      <c r="E105" s="9" t="n">
        <f aca="false">E100</f>
        <v>23.6542838317536</v>
      </c>
      <c r="F105" s="9" t="n">
        <f aca="false">F100</f>
        <v>10.07227279832</v>
      </c>
      <c r="G105" s="9" t="n">
        <f aca="false">G100</f>
        <v>14.2313290076618</v>
      </c>
      <c r="H105" s="9" t="n">
        <f aca="false">H100</f>
        <v>17.900764573635</v>
      </c>
      <c r="I105" s="9" t="n">
        <f aca="false">I100</f>
        <v>20.68805025645</v>
      </c>
    </row>
    <row r="106" customFormat="false" ht="15" hidden="false" customHeight="false" outlineLevel="0" collapsed="false">
      <c r="A106" s="4" t="s">
        <v>610</v>
      </c>
      <c r="E106" s="9" t="n">
        <f aca="false">E104-E105+E66</f>
        <v>190.544879724831</v>
      </c>
      <c r="F106" s="9" t="n">
        <f aca="false">F104-F105+F66</f>
        <v>98.9780444364938</v>
      </c>
      <c r="G106" s="9" t="n">
        <f aca="false">G104-G105+G66</f>
        <v>25.5929709923382</v>
      </c>
      <c r="H106" s="9" t="n">
        <f aca="false">H104-H105+H66</f>
        <v>14.288135426365</v>
      </c>
      <c r="I106" s="9" t="n">
        <f aca="false">I104-I105+I66</f>
        <v>9.36369974355002</v>
      </c>
    </row>
    <row r="107" customFormat="false" ht="15" hidden="false" customHeight="false" outlineLevel="0" collapsed="false">
      <c r="A107" s="4" t="s">
        <v>611</v>
      </c>
      <c r="E107" s="9" t="n">
        <f aca="false">(IS!E7-IS!E9-IS!E10-IS!E11-IS!E12+IS!E14+IS!E16-E106)*(1-Assumptions!C$41)*(1-Assumptions!C$42)</f>
        <v>8326.46208164371</v>
      </c>
      <c r="F107" s="9" t="n">
        <f aca="false">(IS!F7-IS!F9-IS!F10-IS!F11-IS!F12+IS!F14+IS!F16-F106)*(1-Assumptions!D$41)*(1-Assumptions!D$42)</f>
        <v>13183.3112165099</v>
      </c>
      <c r="G107" s="9" t="n">
        <f aca="false">(IS!G7-IS!G9-IS!G10-IS!G11-IS!G12+IS!G14+IS!G16-G106)*(1-Assumptions!E$41)*(1-Assumptions!E$42)</f>
        <v>17301.9162665042</v>
      </c>
      <c r="H107" s="9" t="n">
        <f aca="false">(IS!H7-IS!H9-IS!H10-IS!H11-IS!H12+IS!H14+IS!H16-H106)*(1-Assumptions!F$41)*(1-Assumptions!F$42)</f>
        <v>20043.4903108306</v>
      </c>
      <c r="I107" s="9" t="n">
        <f aca="false">(IS!I7-IS!I9-IS!I10-IS!I11-IS!I12+IS!I14+IS!I16-I106)*(1-Assumptions!G$41)*(1-Assumptions!G$42)</f>
        <v>21764.6655616801</v>
      </c>
    </row>
    <row r="108" customFormat="false" ht="15" hidden="false" customHeight="false" outlineLevel="0" collapsed="false">
      <c r="A108" s="4" t="s">
        <v>612</v>
      </c>
      <c r="E108" s="9" t="n">
        <f aca="false">E107+PPE!E19+E104-Schedules!E18</f>
        <v>10593.4563551351</v>
      </c>
      <c r="F108" s="9" t="n">
        <f aca="false">F107+PPE!F19+F104-Schedules!F18</f>
        <v>16576.9329392598</v>
      </c>
      <c r="G108" s="9" t="n">
        <f aca="false">G107+PPE!G19+G104-Schedules!G18</f>
        <v>21520.24278509</v>
      </c>
      <c r="H108" s="9" t="n">
        <f aca="false">H107+PPE!H19+H104-Schedules!H18</f>
        <v>24748.2510494133</v>
      </c>
      <c r="I108" s="9" t="n">
        <f aca="false">I107+PPE!I19+I104-Schedules!I18</f>
        <v>26172.617975231</v>
      </c>
    </row>
    <row r="109" customFormat="false" ht="15" hidden="false" customHeight="false" outlineLevel="0" collapsed="false">
      <c r="A109" s="4" t="s">
        <v>613</v>
      </c>
      <c r="E109" s="9" t="n">
        <f aca="false">E6+E108+E8+E9-E104+E11</f>
        <v>2387.92825082015</v>
      </c>
      <c r="F109" s="9" t="n">
        <f aca="false">F6+F108+F8+F9-F104+F11</f>
        <v>3855.9312871792</v>
      </c>
      <c r="G109" s="9" t="n">
        <f aca="false">G6+G108+G8+G9-G104+G11</f>
        <v>9006.11000573056</v>
      </c>
      <c r="H109" s="9" t="n">
        <f aca="false">H6+H108+H8+H9-H104+H11</f>
        <v>12150.811983111</v>
      </c>
      <c r="I109" s="9" t="n">
        <f aca="false">I6+I108+I8+I9-I104+I11</f>
        <v>13946.9615834035</v>
      </c>
    </row>
    <row r="110" customFormat="false" ht="15" hidden="false" customHeight="false" outlineLevel="0" collapsed="false">
      <c r="A110" s="4" t="s">
        <v>614</v>
      </c>
      <c r="E110" s="9" t="n">
        <f aca="false">MAX(0,E13-E109)</f>
        <v>0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  <c r="I110" s="9" t="n">
        <f aca="false">MAX(0,I13-I109)</f>
        <v>0</v>
      </c>
    </row>
    <row r="111" customFormat="false" ht="15" hidden="false" customHeight="false" outlineLevel="0" collapsed="false">
      <c r="A111" s="4" t="s">
        <v>615</v>
      </c>
      <c r="E111" s="9" t="n">
        <f aca="false">MAX(0,E109+E110-E13)</f>
        <v>1725.14761219455</v>
      </c>
      <c r="F111" s="9" t="n">
        <f aca="false">MAX(0,F109+F110-F13)</f>
        <v>2839.99979275147</v>
      </c>
      <c r="G111" s="9" t="n">
        <f aca="false">MAX(0,G109+G110-G13)</f>
        <v>7650.15333221466</v>
      </c>
      <c r="H111" s="9" t="n">
        <f aca="false">MAX(0,H109+H110-H13)</f>
        <v>10523.3078943544</v>
      </c>
      <c r="I111" s="9" t="n">
        <f aca="false">MAX(0,I109+I110-I13)</f>
        <v>12126.4572960851</v>
      </c>
    </row>
    <row r="112" customFormat="false" ht="15" hidden="false" customHeight="false" outlineLevel="0" collapsed="false">
      <c r="A112" s="4" t="s">
        <v>616</v>
      </c>
      <c r="E112" s="9" t="n">
        <f aca="false">(E18-E20+E110)-MIN(E111,E18-E20+E110)</f>
        <v>0</v>
      </c>
      <c r="F112" s="9" t="n">
        <f aca="false">(F18-F20+F110)-MIN(F111,F18-F20+F110)</f>
        <v>0</v>
      </c>
      <c r="G112" s="9" t="n">
        <f aca="false">(G18-G20+G110)-MIN(G111,G18-G20+G110)</f>
        <v>0</v>
      </c>
      <c r="H112" s="9" t="n">
        <f aca="false">(H18-H20+H110)-MIN(H111,H18-H20+H110)</f>
        <v>0</v>
      </c>
      <c r="I112" s="9" t="n">
        <f aca="false">(I18-I20+I110)-MIN(I111,I18-I20+I110)</f>
        <v>0</v>
      </c>
    </row>
    <row r="113" customFormat="false" ht="15" hidden="false" customHeight="false" outlineLevel="0" collapsed="false">
      <c r="A113" s="4" t="s">
        <v>617</v>
      </c>
      <c r="E113" s="9" t="n">
        <f aca="false">(E37-E39)-MIN(E111-(E18-E20+E110-E112),E37-E39)</f>
        <v>3141.95238780545</v>
      </c>
      <c r="F113" s="9" t="n">
        <f aca="false">(F37-F39)-MIN(F111-(F18-F20+F110-F112),F37-F39)</f>
        <v>0</v>
      </c>
      <c r="G113" s="9" t="n">
        <f aca="false">(G37-G39)-MIN(G111-(G18-G20+G110-G112),G37-G39)</f>
        <v>0</v>
      </c>
      <c r="H113" s="9" t="n">
        <f aca="false">(H37-H39)-MIN(H111-(H18-H20+H110-H112),H37-H39)</f>
        <v>0</v>
      </c>
      <c r="I113" s="9" t="n">
        <f aca="false">(I37-I39)-MIN(I111-(I18-I20+I110-I112),I37-I39)</f>
        <v>0</v>
      </c>
    </row>
    <row r="114" customFormat="false" ht="15" hidden="false" customHeight="false" outlineLevel="0" collapsed="false">
      <c r="A114" s="4" t="s">
        <v>618</v>
      </c>
      <c r="E114" s="9" t="n">
        <f aca="false">(E18+E112)/2*Assumptions!$C$71+(E29+E32)/2*Assumptions!$C$72+(E37+E113)/2*Assumptions!$C$73+(E47+E50)/2*Assumptions!$C$74</f>
        <v>184.192819174401</v>
      </c>
      <c r="F114" s="9" t="n">
        <f aca="false">(F18+F112)/2*Assumptions!$C$71+(F29+F32)/2*Assumptions!$C$72+(F37+F113)/2*Assumptions!$C$73+(F47+F50)/2*Assumptions!$C$74</f>
        <v>79.0503172348138</v>
      </c>
      <c r="G114" s="9" t="n">
        <f aca="false">(G18+G112)/2*Assumptions!$C$71+(G29+G32)/2*Assumptions!$C$72+(G37+G113)/2*Assumptions!$C$73+(G47+G50)/2*Assumptions!$C$74</f>
        <v>9.8243</v>
      </c>
      <c r="H114" s="9" t="n">
        <f aca="false">(H18+H112)/2*Assumptions!$C$71+(H29+H32)/2*Assumptions!$C$72+(H37+H113)/2*Assumptions!$C$73+(H47+H50)/2*Assumptions!$C$74</f>
        <v>2.1889</v>
      </c>
      <c r="I114" s="9" t="n">
        <f aca="false">(I18+I112)/2*Assumptions!$C$71+(I29+I32)/2*Assumptions!$C$72+(I37+I113)/2*Assumptions!$C$73+(I47+I50)/2*Assumptions!$C$74</f>
        <v>0.0517499999999999</v>
      </c>
    </row>
    <row r="115" customFormat="false" ht="15" hidden="false" customHeight="false" outlineLevel="0" collapsed="false">
      <c r="A115" s="4" t="s">
        <v>619</v>
      </c>
      <c r="E115" s="9" t="n">
        <f aca="false">E109+E110-E111</f>
        <v>662.7806386256</v>
      </c>
      <c r="F115" s="9" t="n">
        <f aca="false">F109+F110-F111</f>
        <v>1015.93149442773</v>
      </c>
      <c r="G115" s="9" t="n">
        <f aca="false">G109+G110-G111</f>
        <v>1355.9566735159</v>
      </c>
      <c r="H115" s="9" t="n">
        <f aca="false">H109+H110-H111</f>
        <v>1627.5040887566</v>
      </c>
      <c r="I115" s="9" t="n">
        <f aca="false">I109+I110-I111</f>
        <v>1820.5042873184</v>
      </c>
    </row>
    <row r="116" customFormat="false" ht="15" hidden="false" customHeight="false" outlineLevel="0" collapsed="false">
      <c r="A116" s="4" t="s">
        <v>620</v>
      </c>
      <c r="E116" s="9" t="n">
        <f aca="false">(E6+E115)/2*Assumptions!$C$75</f>
        <v>23.6542838317536</v>
      </c>
      <c r="F116" s="9" t="n">
        <f aca="false">(F6+F115)/2*Assumptions!$C$75</f>
        <v>10.07227279832</v>
      </c>
      <c r="G116" s="9" t="n">
        <f aca="false">(G6+G115)/2*Assumptions!$C$75</f>
        <v>14.2313290076618</v>
      </c>
      <c r="H116" s="9" t="n">
        <f aca="false">(H6+H115)/2*Assumptions!$C$75</f>
        <v>17.900764573635</v>
      </c>
      <c r="I116" s="9" t="n">
        <f aca="false">(I6+I115)/2*Assumptions!$C$75</f>
        <v>20.68805025645</v>
      </c>
    </row>
    <row r="117" customFormat="false" ht="15" hidden="false" customHeight="false" outlineLevel="0" collapsed="false">
      <c r="A117" s="4" t="s">
        <v>621</v>
      </c>
      <c r="E117" s="9" t="n">
        <f aca="false">E114-E116+E66</f>
        <v>190.538535342647</v>
      </c>
      <c r="F117" s="9" t="n">
        <f aca="false">F114-F116+F66</f>
        <v>98.9780444364938</v>
      </c>
      <c r="G117" s="9" t="n">
        <f aca="false">G114-G116+G66</f>
        <v>25.5929709923382</v>
      </c>
      <c r="H117" s="9" t="n">
        <f aca="false">H114-H116+H66</f>
        <v>14.288135426365</v>
      </c>
      <c r="I117" s="9" t="n">
        <f aca="false">I114-I116+I66</f>
        <v>9.36369974355002</v>
      </c>
    </row>
    <row r="118" customFormat="false" ht="15" hidden="false" customHeight="false" outlineLevel="0" collapsed="false">
      <c r="A118" s="10" t="s">
        <v>622</v>
      </c>
      <c r="E118" s="52" t="n">
        <f aca="false">ABS(E114-E104)+ABS(E116-E105)</f>
        <v>0.00634438218324362</v>
      </c>
      <c r="F118" s="52" t="n">
        <f aca="false">ABS(F114-F104)+ABS(F116-F105)</f>
        <v>0</v>
      </c>
      <c r="G118" s="52" t="n">
        <f aca="false">ABS(G114-G104)+ABS(G116-G105)</f>
        <v>0</v>
      </c>
      <c r="H118" s="52" t="n">
        <f aca="false">ABS(H114-H104)+ABS(H116-H105)</f>
        <v>0</v>
      </c>
      <c r="I118" s="52" t="n">
        <f aca="false">ABS(I114-I104)+ABS(I116-I105)</f>
        <v>0</v>
      </c>
    </row>
    <row r="119" customFormat="false" ht="15.75" hidden="false" customHeight="true" outlineLevel="0" collapsed="false">
      <c r="A119" s="45" t="s">
        <v>623</v>
      </c>
      <c r="B119" s="45"/>
      <c r="C119" s="45"/>
      <c r="D119" s="45"/>
      <c r="E119" s="45"/>
      <c r="F119" s="45"/>
      <c r="G119" s="45"/>
      <c r="H119" s="45"/>
      <c r="I119" s="45"/>
      <c r="J119" s="45"/>
    </row>
    <row r="120" customFormat="false" ht="15" hidden="false" customHeight="false" outlineLevel="0" collapsed="false">
      <c r="A120" s="4" t="s">
        <v>624</v>
      </c>
      <c r="E120" s="9" t="n">
        <f aca="false">E114</f>
        <v>184.192819174401</v>
      </c>
      <c r="F120" s="9" t="n">
        <f aca="false">F114</f>
        <v>79.0503172348138</v>
      </c>
      <c r="G120" s="9" t="n">
        <f aca="false">G114</f>
        <v>9.8243</v>
      </c>
      <c r="H120" s="9" t="n">
        <f aca="false">H114</f>
        <v>2.1889</v>
      </c>
      <c r="I120" s="9" t="n">
        <f aca="false">I114</f>
        <v>0.0517499999999999</v>
      </c>
    </row>
    <row r="121" customFormat="false" ht="15" hidden="false" customHeight="false" outlineLevel="0" collapsed="false">
      <c r="A121" s="4" t="s">
        <v>625</v>
      </c>
      <c r="E121" s="9" t="n">
        <f aca="false">E116</f>
        <v>23.6542838317536</v>
      </c>
      <c r="F121" s="9" t="n">
        <f aca="false">F116</f>
        <v>10.07227279832</v>
      </c>
      <c r="G121" s="9" t="n">
        <f aca="false">G116</f>
        <v>14.2313290076618</v>
      </c>
      <c r="H121" s="9" t="n">
        <f aca="false">H116</f>
        <v>17.900764573635</v>
      </c>
      <c r="I121" s="9" t="n">
        <f aca="false">I116</f>
        <v>20.68805025645</v>
      </c>
    </row>
    <row r="122" customFormat="false" ht="15" hidden="false" customHeight="false" outlineLevel="0" collapsed="false">
      <c r="A122" s="4" t="s">
        <v>626</v>
      </c>
      <c r="E122" s="9" t="n">
        <f aca="false">E120-E121+E66</f>
        <v>190.538535342647</v>
      </c>
      <c r="F122" s="9" t="n">
        <f aca="false">F120-F121+F66</f>
        <v>98.9780444364938</v>
      </c>
      <c r="G122" s="9" t="n">
        <f aca="false">G120-G121+G66</f>
        <v>25.5929709923382</v>
      </c>
      <c r="H122" s="9" t="n">
        <f aca="false">H120-H121+H66</f>
        <v>14.288135426365</v>
      </c>
      <c r="I122" s="9" t="n">
        <f aca="false">I120-I121+I66</f>
        <v>9.36369974355002</v>
      </c>
    </row>
    <row r="123" customFormat="false" ht="15" hidden="false" customHeight="false" outlineLevel="0" collapsed="false">
      <c r="A123" s="4" t="s">
        <v>627</v>
      </c>
      <c r="E123" s="9" t="n">
        <f aca="false">(IS!E7-IS!E9-IS!E10-IS!E11-IS!E12+IS!E14+IS!E16-E122)*(1-Assumptions!C$41)*(1-Assumptions!C$42)</f>
        <v>8326.46750609048</v>
      </c>
      <c r="F123" s="9" t="n">
        <f aca="false">(IS!F7-IS!F9-IS!F10-IS!F11-IS!F12+IS!F14+IS!F16-F122)*(1-Assumptions!D$41)*(1-Assumptions!D$42)</f>
        <v>13183.3112165099</v>
      </c>
      <c r="G123" s="9" t="n">
        <f aca="false">(IS!G7-IS!G9-IS!G10-IS!G11-IS!G12+IS!G14+IS!G16-G122)*(1-Assumptions!E$41)*(1-Assumptions!E$42)</f>
        <v>17301.9162665042</v>
      </c>
      <c r="H123" s="9" t="n">
        <f aca="false">(IS!H7-IS!H9-IS!H10-IS!H11-IS!H12+IS!H14+IS!H16-H122)*(1-Assumptions!F$41)*(1-Assumptions!F$42)</f>
        <v>20043.4903108306</v>
      </c>
      <c r="I123" s="9" t="n">
        <f aca="false">(IS!I7-IS!I9-IS!I10-IS!I11-IS!I12+IS!I14+IS!I16-I122)*(1-Assumptions!G$41)*(1-Assumptions!G$42)</f>
        <v>21764.6655616801</v>
      </c>
    </row>
    <row r="124" customFormat="false" ht="15" hidden="false" customHeight="false" outlineLevel="0" collapsed="false">
      <c r="A124" s="4" t="s">
        <v>628</v>
      </c>
      <c r="E124" s="9" t="n">
        <f aca="false">E123+PPE!E19+E120-Schedules!E18</f>
        <v>10593.4554351997</v>
      </c>
      <c r="F124" s="9" t="n">
        <f aca="false">F123+PPE!F19+F120-Schedules!F18</f>
        <v>16576.9329392598</v>
      </c>
      <c r="G124" s="9" t="n">
        <f aca="false">G123+PPE!G19+G120-Schedules!G18</f>
        <v>21520.24278509</v>
      </c>
      <c r="H124" s="9" t="n">
        <f aca="false">H123+PPE!H19+H120-Schedules!H18</f>
        <v>24748.2510494133</v>
      </c>
      <c r="I124" s="9" t="n">
        <f aca="false">I123+PPE!I19+I120-Schedules!I18</f>
        <v>26172.617975231</v>
      </c>
    </row>
    <row r="125" customFormat="false" ht="15" hidden="false" customHeight="false" outlineLevel="0" collapsed="false">
      <c r="A125" s="4" t="s">
        <v>629</v>
      </c>
      <c r="E125" s="9" t="n">
        <f aca="false">E6+E124+E8+E9-E120+E11</f>
        <v>2387.93367526691</v>
      </c>
      <c r="F125" s="9" t="n">
        <f aca="false">F6+F124+F8+F9-F120+F11</f>
        <v>3855.9312871792</v>
      </c>
      <c r="G125" s="9" t="n">
        <f aca="false">G6+G124+G8+G9-G120+G11</f>
        <v>9006.11000573056</v>
      </c>
      <c r="H125" s="9" t="n">
        <f aca="false">H6+H124+H8+H9-H120+H11</f>
        <v>12150.811983111</v>
      </c>
      <c r="I125" s="9" t="n">
        <f aca="false">I6+I124+I8+I9-I120+I11</f>
        <v>13946.9615834035</v>
      </c>
    </row>
    <row r="126" customFormat="false" ht="15" hidden="false" customHeight="false" outlineLevel="0" collapsed="false">
      <c r="A126" s="4" t="s">
        <v>630</v>
      </c>
      <c r="E126" s="9" t="n">
        <f aca="false">MAX(0,E13-E125)</f>
        <v>0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  <c r="I126" s="9" t="n">
        <f aca="false">MAX(0,I13-I125)</f>
        <v>0</v>
      </c>
    </row>
    <row r="127" customFormat="false" ht="15" hidden="false" customHeight="false" outlineLevel="0" collapsed="false">
      <c r="A127" s="4" t="s">
        <v>631</v>
      </c>
      <c r="E127" s="9" t="n">
        <f aca="false">MAX(0,E125+E126-E13)</f>
        <v>1725.15303664131</v>
      </c>
      <c r="F127" s="9" t="n">
        <f aca="false">MAX(0,F125+F126-F13)</f>
        <v>2839.99979275147</v>
      </c>
      <c r="G127" s="9" t="n">
        <f aca="false">MAX(0,G125+G126-G13)</f>
        <v>7650.15333221466</v>
      </c>
      <c r="H127" s="9" t="n">
        <f aca="false">MAX(0,H125+H126-H13)</f>
        <v>10523.3078943544</v>
      </c>
      <c r="I127" s="9" t="n">
        <f aca="false">MAX(0,I125+I126-I13)</f>
        <v>12126.4572960851</v>
      </c>
    </row>
    <row r="128" customFormat="false" ht="15" hidden="false" customHeight="false" outlineLevel="0" collapsed="false">
      <c r="A128" s="4" t="s">
        <v>632</v>
      </c>
      <c r="E128" s="9" t="n">
        <f aca="false">(E18-E20+E126)-MIN(E127,E18-E20+E126)</f>
        <v>0</v>
      </c>
      <c r="F128" s="9" t="n">
        <f aca="false">(F18-F20+F126)-MIN(F127,F18-F20+F126)</f>
        <v>0</v>
      </c>
      <c r="G128" s="9" t="n">
        <f aca="false">(G18-G20+G126)-MIN(G127,G18-G20+G126)</f>
        <v>0</v>
      </c>
      <c r="H128" s="9" t="n">
        <f aca="false">(H18-H20+H126)-MIN(H127,H18-H20+H126)</f>
        <v>0</v>
      </c>
      <c r="I128" s="9" t="n">
        <f aca="false">(I18-I20+I126)-MIN(I127,I18-I20+I126)</f>
        <v>0</v>
      </c>
    </row>
    <row r="129" customFormat="false" ht="15" hidden="false" customHeight="false" outlineLevel="0" collapsed="false">
      <c r="A129" s="4" t="s">
        <v>633</v>
      </c>
      <c r="E129" s="9" t="n">
        <f aca="false">(E37-E39)-MIN(E127-(E18-E20+E126-E128),E37-E39)</f>
        <v>3141.94696335869</v>
      </c>
      <c r="F129" s="9" t="n">
        <f aca="false">(F37-F39)-MIN(F127-(F18-F20+F126-F128),F37-F39)</f>
        <v>0</v>
      </c>
      <c r="G129" s="9" t="n">
        <f aca="false">(G37-G39)-MIN(G127-(G18-G20+G126-G128),G37-G39)</f>
        <v>0</v>
      </c>
      <c r="H129" s="9" t="n">
        <f aca="false">(H37-H39)-MIN(H127-(H18-H20+H126-H128),H37-H39)</f>
        <v>0</v>
      </c>
      <c r="I129" s="9" t="n">
        <f aca="false">(I37-I39)-MIN(I127-(I18-I20+I126-I128),I37-I39)</f>
        <v>0</v>
      </c>
    </row>
    <row r="130" customFormat="false" ht="15" hidden="false" customHeight="false" outlineLevel="0" collapsed="false">
      <c r="A130" s="4" t="s">
        <v>634</v>
      </c>
      <c r="E130" s="9" t="n">
        <f aca="false">(E18+E128)/2*Assumptions!$C$71+(E29+E32)/2*Assumptions!$C$72+(E37+E129)/2*Assumptions!$C$73+(E47+E50)/2*Assumptions!$C$74</f>
        <v>184.192718822136</v>
      </c>
      <c r="F130" s="9" t="n">
        <f aca="false">(F18+F128)/2*Assumptions!$C$71+(F29+F32)/2*Assumptions!$C$72+(F37+F129)/2*Assumptions!$C$73+(F47+F50)/2*Assumptions!$C$74</f>
        <v>79.0503172348138</v>
      </c>
      <c r="G130" s="9" t="n">
        <f aca="false">(G18+G128)/2*Assumptions!$C$71+(G29+G32)/2*Assumptions!$C$72+(G37+G129)/2*Assumptions!$C$73+(G47+G50)/2*Assumptions!$C$74</f>
        <v>9.8243</v>
      </c>
      <c r="H130" s="9" t="n">
        <f aca="false">(H18+H128)/2*Assumptions!$C$71+(H29+H32)/2*Assumptions!$C$72+(H37+H129)/2*Assumptions!$C$73+(H47+H50)/2*Assumptions!$C$74</f>
        <v>2.1889</v>
      </c>
      <c r="I130" s="9" t="n">
        <f aca="false">(I18+I128)/2*Assumptions!$C$71+(I29+I32)/2*Assumptions!$C$72+(I37+I129)/2*Assumptions!$C$73+(I47+I50)/2*Assumptions!$C$74</f>
        <v>0.0517499999999999</v>
      </c>
    </row>
    <row r="131" customFormat="false" ht="15" hidden="false" customHeight="false" outlineLevel="0" collapsed="false">
      <c r="A131" s="4" t="s">
        <v>635</v>
      </c>
      <c r="E131" s="9" t="n">
        <f aca="false">E125+E126-E127</f>
        <v>662.7806386256</v>
      </c>
      <c r="F131" s="9" t="n">
        <f aca="false">F125+F126-F127</f>
        <v>1015.93149442773</v>
      </c>
      <c r="G131" s="9" t="n">
        <f aca="false">G125+G126-G127</f>
        <v>1355.9566735159</v>
      </c>
      <c r="H131" s="9" t="n">
        <f aca="false">H125+H126-H127</f>
        <v>1627.5040887566</v>
      </c>
      <c r="I131" s="9" t="n">
        <f aca="false">I125+I126-I127</f>
        <v>1820.5042873184</v>
      </c>
    </row>
    <row r="132" customFormat="false" ht="15" hidden="false" customHeight="false" outlineLevel="0" collapsed="false">
      <c r="A132" s="4" t="s">
        <v>636</v>
      </c>
      <c r="E132" s="9" t="n">
        <f aca="false">(E6+E131)/2*Assumptions!$C$75</f>
        <v>23.6542838317536</v>
      </c>
      <c r="F132" s="9" t="n">
        <f aca="false">(F6+F131)/2*Assumptions!$C$75</f>
        <v>10.07227279832</v>
      </c>
      <c r="G132" s="9" t="n">
        <f aca="false">(G6+G131)/2*Assumptions!$C$75</f>
        <v>14.2313290076618</v>
      </c>
      <c r="H132" s="9" t="n">
        <f aca="false">(H6+H131)/2*Assumptions!$C$75</f>
        <v>17.900764573635</v>
      </c>
      <c r="I132" s="9" t="n">
        <f aca="false">(I6+I131)/2*Assumptions!$C$75</f>
        <v>20.68805025645</v>
      </c>
    </row>
    <row r="133" customFormat="false" ht="15" hidden="false" customHeight="false" outlineLevel="0" collapsed="false">
      <c r="A133" s="4" t="s">
        <v>637</v>
      </c>
      <c r="E133" s="9" t="n">
        <f aca="false">E130-E132+E66</f>
        <v>190.538434990382</v>
      </c>
      <c r="F133" s="9" t="n">
        <f aca="false">F130-F132+F66</f>
        <v>98.9780444364938</v>
      </c>
      <c r="G133" s="9" t="n">
        <f aca="false">G130-G132+G66</f>
        <v>25.5929709923382</v>
      </c>
      <c r="H133" s="9" t="n">
        <f aca="false">H130-H132+H66</f>
        <v>14.288135426365</v>
      </c>
      <c r="I133" s="9" t="n">
        <f aca="false">I130-I132+I66</f>
        <v>9.36369974355002</v>
      </c>
    </row>
    <row r="134" customFormat="false" ht="15" hidden="false" customHeight="false" outlineLevel="0" collapsed="false">
      <c r="A134" s="10" t="s">
        <v>638</v>
      </c>
      <c r="E134" s="52" t="n">
        <f aca="false">ABS(E130-E120)+ABS(E132-E121)</f>
        <v>0.00010035226515015</v>
      </c>
      <c r="F134" s="52" t="n">
        <f aca="false">ABS(F130-F120)+ABS(F132-F121)</f>
        <v>0</v>
      </c>
      <c r="G134" s="52" t="n">
        <f aca="false">ABS(G130-G120)+ABS(G132-G121)</f>
        <v>0</v>
      </c>
      <c r="H134" s="52" t="n">
        <f aca="false">ABS(H130-H120)+ABS(H132-H121)</f>
        <v>0</v>
      </c>
      <c r="I134" s="52" t="n">
        <f aca="false">ABS(I130-I120)+ABS(I132-I121)</f>
        <v>0</v>
      </c>
    </row>
    <row r="136" customFormat="false" ht="15.75" hidden="false" customHeight="true" outlineLevel="0" collapsed="false">
      <c r="A136" s="25" t="s">
        <v>639</v>
      </c>
      <c r="B136" s="25"/>
      <c r="C136" s="25"/>
      <c r="D136" s="25"/>
      <c r="E136" s="25"/>
      <c r="F136" s="25"/>
      <c r="G136" s="25"/>
      <c r="H136" s="25"/>
      <c r="I136" s="25"/>
      <c r="J136" s="25"/>
    </row>
    <row r="137" customFormat="false" ht="15" hidden="false" customHeight="false" outlineLevel="0" collapsed="false">
      <c r="A137" s="5" t="s">
        <v>640</v>
      </c>
      <c r="E137" s="52" t="n">
        <f aca="false">ABS(E64-(E26+E34+E44+E52))</f>
        <v>1.58732197519385E-006</v>
      </c>
      <c r="F137" s="52" t="n">
        <f aca="false">ABS(F64-(F26+F34+F44+F52))</f>
        <v>0</v>
      </c>
      <c r="G137" s="52" t="n">
        <f aca="false">ABS(G64-(G26+G34+G44+G52))</f>
        <v>0</v>
      </c>
      <c r="H137" s="52" t="n">
        <f aca="false">ABS(H64-(H26+H34+H44+H52))</f>
        <v>0</v>
      </c>
      <c r="I137" s="52" t="n">
        <f aca="false">ABS(I64-(I26+I34+I44+I52))</f>
        <v>0</v>
      </c>
      <c r="J137" s="28" t="s">
        <v>641</v>
      </c>
    </row>
    <row r="138" customFormat="false" ht="15" hidden="false" customHeight="false" outlineLevel="0" collapsed="false">
      <c r="A138" s="5" t="s">
        <v>642</v>
      </c>
      <c r="E138" s="52" t="n">
        <f aca="false">ABS(E65-(E6+E63)/2*Assumptions!$C$75)</f>
        <v>0</v>
      </c>
      <c r="F138" s="52" t="n">
        <f aca="false">ABS(F65-(F6+F63)/2*Assumptions!$C$75)</f>
        <v>0</v>
      </c>
      <c r="G138" s="52" t="n">
        <f aca="false">ABS(G65-(G6+G63)/2*Assumptions!$C$75)</f>
        <v>0</v>
      </c>
      <c r="H138" s="52" t="n">
        <f aca="false">ABS(H65-(H6+H63)/2*Assumptions!$C$75)</f>
        <v>0</v>
      </c>
      <c r="I138" s="52" t="n">
        <f aca="false">ABS(I65-(I6+I63)/2*Assumptions!$C$75)</f>
        <v>0</v>
      </c>
      <c r="J138" s="28" t="s">
        <v>643</v>
      </c>
    </row>
    <row r="139" customFormat="false" ht="15" hidden="false" customHeight="false" outlineLevel="0" collapsed="false">
      <c r="A139" s="3" t="s">
        <v>644</v>
      </c>
      <c r="E139" s="53" t="n">
        <f aca="false">MAX(E137,E138)</f>
        <v>1.58732197519385E-006</v>
      </c>
      <c r="F139" s="53" t="n">
        <f aca="false">MAX(F137,F138)</f>
        <v>0</v>
      </c>
      <c r="G139" s="53" t="n">
        <f aca="false">MAX(G137,G138)</f>
        <v>0</v>
      </c>
      <c r="H139" s="53" t="n">
        <f aca="false">MAX(H137,H138)</f>
        <v>0</v>
      </c>
      <c r="I139" s="53" t="n">
        <f aca="false">MAX(I137,I138)</f>
        <v>0</v>
      </c>
      <c r="J139" s="28" t="s">
        <v>645</v>
      </c>
    </row>
    <row r="140" customFormat="false" ht="15" hidden="false" customHeight="false" outlineLevel="0" collapsed="false">
      <c r="A140" s="3" t="s">
        <v>646</v>
      </c>
      <c r="E140" s="54" t="b">
        <f aca="false">E139&lt;0.01</f>
        <v>1</v>
      </c>
      <c r="F140" s="54" t="b">
        <f aca="false">F139&lt;0.01</f>
        <v>1</v>
      </c>
      <c r="G140" s="54" t="b">
        <f aca="false">G139&lt;0.01</f>
        <v>1</v>
      </c>
      <c r="H140" s="54" t="b">
        <f aca="false">H139&lt;0.01</f>
        <v>1</v>
      </c>
      <c r="I140" s="54" t="b">
        <f aca="false">I139&lt;0.01</f>
        <v>1</v>
      </c>
      <c r="J140" s="28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J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647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648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5" customFormat="false" ht="15" hidden="false" customHeight="false" outlineLevel="0" collapsed="false">
      <c r="A5" s="5" t="s">
        <v>393</v>
      </c>
      <c r="B5" s="36" t="n">
        <v>862.7</v>
      </c>
      <c r="C5" s="36" t="n">
        <v>862.7</v>
      </c>
      <c r="D5" s="36" t="n">
        <v>870.3</v>
      </c>
      <c r="E5" s="9" t="n">
        <f aca="false">D5</f>
        <v>870.3</v>
      </c>
      <c r="F5" s="9" t="n">
        <f aca="false">E5</f>
        <v>870.3</v>
      </c>
      <c r="G5" s="9" t="n">
        <f aca="false">F5</f>
        <v>870.3</v>
      </c>
      <c r="H5" s="9" t="n">
        <f aca="false">G5</f>
        <v>870.3</v>
      </c>
      <c r="I5" s="9" t="n">
        <f aca="false">H5</f>
        <v>870.3</v>
      </c>
      <c r="J5" s="28" t="s">
        <v>649</v>
      </c>
    </row>
    <row r="6" customFormat="false" ht="15" hidden="false" customHeight="false" outlineLevel="0" collapsed="false">
      <c r="A6" s="5" t="s">
        <v>395</v>
      </c>
      <c r="B6" s="36" t="n">
        <v>3256.2</v>
      </c>
      <c r="C6" s="36" t="n">
        <v>3266.9</v>
      </c>
      <c r="D6" s="36" t="n">
        <v>5387.3</v>
      </c>
      <c r="E6" s="9" t="n">
        <f aca="false">D6</f>
        <v>5387.3</v>
      </c>
      <c r="F6" s="9" t="n">
        <f aca="false">E6</f>
        <v>5387.3</v>
      </c>
      <c r="G6" s="9" t="n">
        <f aca="false">F6</f>
        <v>5387.3</v>
      </c>
      <c r="H6" s="9" t="n">
        <f aca="false">G6</f>
        <v>5387.3</v>
      </c>
      <c r="I6" s="9" t="n">
        <f aca="false">H6</f>
        <v>5387.3</v>
      </c>
      <c r="J6" s="28" t="s">
        <v>350</v>
      </c>
    </row>
    <row r="7" customFormat="false" ht="15" hidden="false" customHeight="false" outlineLevel="0" collapsed="false">
      <c r="A7" s="5" t="s">
        <v>650</v>
      </c>
      <c r="B7" s="36" t="n">
        <v>56.1</v>
      </c>
      <c r="C7" s="36" t="n">
        <v>84.4</v>
      </c>
      <c r="D7" s="36" t="n">
        <v>5.4</v>
      </c>
      <c r="E7" s="9" t="n">
        <f aca="false">D7</f>
        <v>5.4</v>
      </c>
      <c r="F7" s="9" t="n">
        <f aca="false">E7</f>
        <v>5.4</v>
      </c>
      <c r="G7" s="9" t="n">
        <f aca="false">F7</f>
        <v>5.4</v>
      </c>
      <c r="H7" s="9" t="n">
        <f aca="false">G7</f>
        <v>5.4</v>
      </c>
      <c r="I7" s="9" t="n">
        <f aca="false">H7</f>
        <v>5.4</v>
      </c>
      <c r="J7" s="28" t="s">
        <v>350</v>
      </c>
    </row>
    <row r="8" customFormat="false" ht="15" hidden="false" customHeight="false" outlineLevel="0" collapsed="false">
      <c r="A8" s="5" t="s">
        <v>397</v>
      </c>
      <c r="B8" s="36" t="n">
        <v>240.5</v>
      </c>
      <c r="C8" s="36" t="n">
        <v>567.4</v>
      </c>
      <c r="D8" s="36" t="n">
        <v>1994.3</v>
      </c>
      <c r="E8" s="9" t="n">
        <f aca="false">D8</f>
        <v>1994.3</v>
      </c>
      <c r="F8" s="9" t="n">
        <f aca="false">E8</f>
        <v>1994.3</v>
      </c>
      <c r="G8" s="9" t="n">
        <f aca="false">F8</f>
        <v>1994.3</v>
      </c>
      <c r="H8" s="9" t="n">
        <f aca="false">G8</f>
        <v>1994.3</v>
      </c>
      <c r="I8" s="9" t="n">
        <f aca="false">H8</f>
        <v>1994.3</v>
      </c>
      <c r="J8" s="28" t="s">
        <v>651</v>
      </c>
    </row>
    <row r="9" customFormat="false" ht="15" hidden="false" customHeight="false" outlineLevel="0" collapsed="false">
      <c r="A9" s="5" t="s">
        <v>652</v>
      </c>
      <c r="E9" s="9" t="n">
        <f aca="false">IS!E20*Assumptions!$C$63</f>
        <v>832.646759189167</v>
      </c>
      <c r="F9" s="9" t="n">
        <f aca="false">IS!F20*Assumptions!$C$63</f>
        <v>1318.33112165099</v>
      </c>
      <c r="G9" s="9" t="n">
        <f aca="false">IS!G20*Assumptions!$C$63</f>
        <v>1730.19162665042</v>
      </c>
      <c r="H9" s="9" t="n">
        <f aca="false">IS!H20*Assumptions!$C$63</f>
        <v>2004.34903108306</v>
      </c>
      <c r="I9" s="9" t="n">
        <f aca="false">IS!I20*Assumptions!$C$63</f>
        <v>2176.46655616801</v>
      </c>
      <c r="J9" s="28" t="s">
        <v>653</v>
      </c>
    </row>
    <row r="10" customFormat="false" ht="15" hidden="false" customHeight="false" outlineLevel="0" collapsed="false">
      <c r="A10" s="5" t="s">
        <v>654</v>
      </c>
      <c r="B10" s="36" t="n">
        <v>383.7</v>
      </c>
      <c r="C10" s="36" t="n">
        <v>476.7</v>
      </c>
      <c r="D10" s="36" t="n">
        <v>476.7</v>
      </c>
      <c r="E10" s="9" t="n">
        <f aca="false">D10+E9</f>
        <v>1309.34675918917</v>
      </c>
      <c r="F10" s="9" t="n">
        <f aca="false">E10+F9</f>
        <v>2627.67788084015</v>
      </c>
      <c r="G10" s="9" t="n">
        <f aca="false">F10+G9</f>
        <v>4357.86950749057</v>
      </c>
      <c r="H10" s="9" t="n">
        <f aca="false">G10+H9</f>
        <v>6362.21853857363</v>
      </c>
      <c r="I10" s="9" t="n">
        <f aca="false">H10+I9</f>
        <v>8538.68509474164</v>
      </c>
      <c r="J10" s="28" t="s">
        <v>655</v>
      </c>
    </row>
    <row r="11" customFormat="false" ht="15" hidden="false" customHeight="false" outlineLevel="0" collapsed="false">
      <c r="A11" s="5" t="s">
        <v>656</v>
      </c>
      <c r="E11" s="9" t="n">
        <f aca="false">Schedules!E26</f>
        <v>1293.6</v>
      </c>
      <c r="F11" s="9" t="n">
        <f aca="false">Schedules!F26</f>
        <v>2497.9402775675</v>
      </c>
      <c r="G11" s="9" t="n">
        <f aca="false">Schedules!G26</f>
        <v>3954.99336495296</v>
      </c>
      <c r="H11" s="9" t="n">
        <f aca="false">Schedules!H26</f>
        <v>5190.57487995125</v>
      </c>
      <c r="I11" s="9" t="n">
        <f aca="false">Schedules!I26</f>
        <v>6013.04709324918</v>
      </c>
      <c r="J11" s="28" t="s">
        <v>657</v>
      </c>
    </row>
    <row r="12" customFormat="false" ht="15" hidden="false" customHeight="false" outlineLevel="0" collapsed="false">
      <c r="A12" s="5" t="s">
        <v>658</v>
      </c>
      <c r="B12" s="36" t="n">
        <v>2932.9</v>
      </c>
      <c r="C12" s="36" t="n">
        <v>3831</v>
      </c>
      <c r="D12" s="36" t="n">
        <v>7885.4</v>
      </c>
      <c r="E12" s="9" t="n">
        <f aca="false">D12+IS!E20-E11-E9</f>
        <v>14085.6208327025</v>
      </c>
      <c r="F12" s="9" t="n">
        <f aca="false">E12+IS!F20-F11-F9</f>
        <v>23452.6606499939</v>
      </c>
      <c r="G12" s="9" t="n">
        <f aca="false">F12+IS!G20-G11-G9</f>
        <v>35069.3919248947</v>
      </c>
      <c r="H12" s="9" t="n">
        <f aca="false">G12+IS!H20-H11-H9</f>
        <v>47917.958324691</v>
      </c>
      <c r="I12" s="9" t="n">
        <f aca="false">H12+IS!I20-I11-I9</f>
        <v>61493.1102369538</v>
      </c>
      <c r="J12" s="28" t="s">
        <v>659</v>
      </c>
    </row>
    <row r="13" customFormat="false" ht="15" hidden="false" customHeight="false" outlineLevel="0" collapsed="false">
      <c r="A13" s="5" t="s">
        <v>660</v>
      </c>
      <c r="B13" s="36" t="n">
        <v>5.8</v>
      </c>
      <c r="C13" s="36" t="n">
        <v>7.7</v>
      </c>
      <c r="D13" s="36" t="n">
        <v>9.1</v>
      </c>
      <c r="E13" s="9" t="n">
        <f aca="false">D13</f>
        <v>9.1</v>
      </c>
      <c r="F13" s="9" t="n">
        <f aca="false">E13</f>
        <v>9.1</v>
      </c>
      <c r="G13" s="9" t="n">
        <f aca="false">F13</f>
        <v>9.1</v>
      </c>
      <c r="H13" s="9" t="n">
        <f aca="false">G13</f>
        <v>9.1</v>
      </c>
      <c r="I13" s="9" t="n">
        <f aca="false">H13</f>
        <v>9.1</v>
      </c>
      <c r="J13" s="28" t="s">
        <v>661</v>
      </c>
    </row>
    <row r="14" customFormat="false" ht="15" hidden="false" customHeight="false" outlineLevel="0" collapsed="false">
      <c r="A14" s="3" t="s">
        <v>404</v>
      </c>
      <c r="B14" s="47" t="n">
        <f aca="false">B5+B6-B7+B8+B10+B12+B13</f>
        <v>7625.7</v>
      </c>
      <c r="C14" s="47" t="n">
        <f aca="false">C5+C6-C7+C8+C10+C12+C13</f>
        <v>8928</v>
      </c>
      <c r="D14" s="47" t="n">
        <f aca="false">D5+D6-D7+D8+D10+D12+D13</f>
        <v>16617.7</v>
      </c>
      <c r="E14" s="47" t="n">
        <f aca="false">E5+E6-E7+E8+E10+E12+E13</f>
        <v>23650.5675918917</v>
      </c>
      <c r="F14" s="47" t="n">
        <f aca="false">F5+F6-F7+F8+F10+F12+F13</f>
        <v>34335.938530834</v>
      </c>
      <c r="G14" s="47" t="n">
        <f aca="false">G5+G6-G7+G8+G10+G12+G13</f>
        <v>47682.8614323852</v>
      </c>
      <c r="H14" s="47" t="n">
        <f aca="false">H5+H6-H7+H8+H10+H12+H13</f>
        <v>62535.7768632646</v>
      </c>
      <c r="I14" s="47" t="n">
        <f aca="false">I5+I6-I7+I8+I10+I12+I13</f>
        <v>78287.3953316955</v>
      </c>
      <c r="J14" s="28"/>
    </row>
    <row r="15" customFormat="false" ht="15" hidden="false" customHeight="false" outlineLevel="0" collapsed="false">
      <c r="A15" s="5" t="s">
        <v>405</v>
      </c>
      <c r="B15" s="36" t="n">
        <v>0</v>
      </c>
      <c r="C15" s="36" t="n">
        <v>0</v>
      </c>
      <c r="D15" s="36" t="n"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9" t="n">
        <f aca="false">H15</f>
        <v>0</v>
      </c>
      <c r="J15" s="28"/>
    </row>
    <row r="16" customFormat="false" ht="15" hidden="false" customHeight="false" outlineLevel="0" collapsed="false">
      <c r="A16" s="3" t="s">
        <v>407</v>
      </c>
      <c r="B16" s="48" t="n">
        <f aca="false">B14+B15</f>
        <v>7625.7</v>
      </c>
      <c r="C16" s="48" t="n">
        <f aca="false">C14+C15</f>
        <v>8928</v>
      </c>
      <c r="D16" s="48" t="n">
        <f aca="false">D14+D15</f>
        <v>16617.7</v>
      </c>
      <c r="E16" s="48" t="n">
        <f aca="false">E14+E15</f>
        <v>23650.5675918917</v>
      </c>
      <c r="F16" s="48" t="n">
        <f aca="false">F14+F15</f>
        <v>34335.938530834</v>
      </c>
      <c r="G16" s="48" t="n">
        <f aca="false">G14+G15</f>
        <v>47682.8614323852</v>
      </c>
      <c r="H16" s="48" t="n">
        <f aca="false">H14+H15</f>
        <v>62535.7768632646</v>
      </c>
      <c r="I16" s="48" t="n">
        <f aca="false">I14+I15</f>
        <v>78287.3953316955</v>
      </c>
      <c r="J16" s="28"/>
    </row>
    <row r="18" customFormat="false" ht="15.75" hidden="false" customHeight="true" outlineLevel="0" collapsed="false">
      <c r="A18" s="25" t="s">
        <v>662</v>
      </c>
      <c r="B18" s="25"/>
      <c r="C18" s="25"/>
      <c r="D18" s="25"/>
      <c r="E18" s="25"/>
      <c r="F18" s="25"/>
      <c r="G18" s="25"/>
      <c r="H18" s="25"/>
      <c r="I18" s="25"/>
      <c r="J18" s="25"/>
    </row>
    <row r="19" customFormat="false" ht="15" hidden="false" customHeight="false" outlineLevel="0" collapsed="false">
      <c r="A19" s="5" t="s">
        <v>663</v>
      </c>
      <c r="C19" s="9" t="n">
        <f aca="false">Assumptions!$C$8</f>
        <v>983</v>
      </c>
      <c r="J19" s="28" t="s">
        <v>664</v>
      </c>
    </row>
    <row r="20" customFormat="false" ht="15" hidden="false" customHeight="false" outlineLevel="0" collapsed="false">
      <c r="A20" s="5" t="s">
        <v>665</v>
      </c>
      <c r="C20" s="39" t="n">
        <v>0</v>
      </c>
      <c r="J20" s="28" t="s">
        <v>666</v>
      </c>
    </row>
    <row r="21" customFormat="false" ht="15" hidden="false" customHeight="false" outlineLevel="0" collapsed="false">
      <c r="A21" s="3" t="s">
        <v>667</v>
      </c>
      <c r="C21" s="50" t="n">
        <f aca="false">C19+C20</f>
        <v>983</v>
      </c>
      <c r="J21" s="26" t="s">
        <v>668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669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670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4" customFormat="false" ht="15" hidden="false" customHeight="false" outlineLevel="0" collapsed="false">
      <c r="A4" s="4" t="s">
        <v>671</v>
      </c>
      <c r="E4" s="9" t="n">
        <f aca="false">IS!E24</f>
        <v>9929.09702199818</v>
      </c>
      <c r="F4" s="9" t="n">
        <f aca="false">IS!F24</f>
        <v>15518.0554906469</v>
      </c>
      <c r="G4" s="9" t="n">
        <f aca="false">IS!G24</f>
        <v>20261.7523470206</v>
      </c>
      <c r="H4" s="9" t="n">
        <f aca="false">IS!H24</f>
        <v>23456.966861544</v>
      </c>
      <c r="I4" s="9" t="n">
        <f aca="false">IS!I24</f>
        <v>25465.112894691</v>
      </c>
      <c r="J4" s="28" t="s">
        <v>672</v>
      </c>
    </row>
    <row r="5" customFormat="false" ht="15" hidden="false" customHeight="false" outlineLevel="0" collapsed="false">
      <c r="A5" s="5" t="s">
        <v>673</v>
      </c>
      <c r="E5" s="19" t="n">
        <f aca="false">Assumptions!C$41</f>
        <v>0.145</v>
      </c>
      <c r="F5" s="19" t="n">
        <f aca="false">Assumptions!D$41</f>
        <v>0.145</v>
      </c>
      <c r="G5" s="19" t="n">
        <f aca="false">Assumptions!E$41</f>
        <v>0.145</v>
      </c>
      <c r="H5" s="19" t="n">
        <f aca="false">Assumptions!F$41</f>
        <v>0.145</v>
      </c>
      <c r="I5" s="19" t="n">
        <f aca="false">Assumptions!G$41</f>
        <v>0.145</v>
      </c>
      <c r="J5" s="28"/>
    </row>
    <row r="6" customFormat="false" ht="15" hidden="false" customHeight="false" outlineLevel="0" collapsed="false">
      <c r="A6" s="10" t="s">
        <v>674</v>
      </c>
      <c r="E6" s="48" t="n">
        <f aca="false">E4*(1-E5)</f>
        <v>8489.37795380844</v>
      </c>
      <c r="F6" s="48" t="n">
        <f aca="false">F4*(1-F5)</f>
        <v>13267.9374445031</v>
      </c>
      <c r="G6" s="48" t="n">
        <f aca="false">G4*(1-G5)</f>
        <v>17323.7982567026</v>
      </c>
      <c r="H6" s="48" t="n">
        <f aca="false">H4*(1-H5)</f>
        <v>20055.7066666201</v>
      </c>
      <c r="I6" s="48" t="n">
        <f aca="false">I4*(1-I5)</f>
        <v>21772.6715249608</v>
      </c>
      <c r="J6" s="28"/>
    </row>
    <row r="7" customFormat="false" ht="15" hidden="false" customHeight="false" outlineLevel="0" collapsed="false">
      <c r="A7" s="5" t="s">
        <v>675</v>
      </c>
      <c r="E7" s="9" t="n">
        <f aca="false">PPE!E19</f>
        <v>1562.75686822275</v>
      </c>
      <c r="F7" s="9" t="n">
        <f aca="false">PPE!F19</f>
        <v>2542.37684586553</v>
      </c>
      <c r="G7" s="9" t="n">
        <f aca="false">PPE!G19</f>
        <v>3407.49150110921</v>
      </c>
      <c r="H7" s="9" t="n">
        <f aca="false">PPE!H19</f>
        <v>4106.67674700246</v>
      </c>
      <c r="I7" s="9" t="n">
        <f aca="false">PPE!I19</f>
        <v>4646.05484871961</v>
      </c>
      <c r="J7" s="28"/>
    </row>
    <row r="8" customFormat="false" ht="15" hidden="false" customHeight="false" outlineLevel="0" collapsed="false">
      <c r="A8" s="5" t="s">
        <v>676</v>
      </c>
      <c r="E8" s="9" t="n">
        <f aca="false">Schedules!E18</f>
        <v>-520.038241712082</v>
      </c>
      <c r="F8" s="9" t="n">
        <f aca="false">Schedules!F18</f>
        <v>-772.194559649541</v>
      </c>
      <c r="G8" s="9" t="n">
        <f aca="false">Schedules!G18</f>
        <v>-801.010717476653</v>
      </c>
      <c r="H8" s="9" t="n">
        <f aca="false">Schedules!H18</f>
        <v>-595.895091580227</v>
      </c>
      <c r="I8" s="9" t="n">
        <f aca="false">Schedules!I18</f>
        <v>238.154185168642</v>
      </c>
      <c r="J8" s="26" t="s">
        <v>677</v>
      </c>
    </row>
    <row r="9" customFormat="false" ht="15" hidden="false" customHeight="false" outlineLevel="0" collapsed="false">
      <c r="A9" s="5" t="s">
        <v>678</v>
      </c>
      <c r="E9" s="9" t="n">
        <f aca="false">PPE!E14</f>
        <v>9278.9289407584</v>
      </c>
      <c r="F9" s="9" t="n">
        <f aca="false">PPE!F14</f>
        <v>10159.3149442773</v>
      </c>
      <c r="G9" s="9" t="n">
        <f aca="false">PPE!G14</f>
        <v>9491.69671461131</v>
      </c>
      <c r="H9" s="9" t="n">
        <f aca="false">PPE!H14</f>
        <v>8951.27248816128</v>
      </c>
      <c r="I9" s="9" t="n">
        <f aca="false">PPE!I14</f>
        <v>8192.26929293281</v>
      </c>
      <c r="J9" s="28"/>
    </row>
    <row r="10" customFormat="false" ht="15" hidden="false" customHeight="false" outlineLevel="0" collapsed="false">
      <c r="A10" s="10" t="s">
        <v>679</v>
      </c>
      <c r="E10" s="48" t="n">
        <f aca="false">E6+E7-E8-E9</f>
        <v>1293.24412298487</v>
      </c>
      <c r="F10" s="48" t="n">
        <f aca="false">F6+F7-F8-F9</f>
        <v>6423.19390574084</v>
      </c>
      <c r="G10" s="48" t="n">
        <f aca="false">G6+G7-G8-G9</f>
        <v>12040.6037606772</v>
      </c>
      <c r="H10" s="48" t="n">
        <f aca="false">H6+H7-H8-H9</f>
        <v>15807.0060170416</v>
      </c>
      <c r="I10" s="48" t="n">
        <f aca="false">I6+I7-I8-I9</f>
        <v>17988.302895579</v>
      </c>
      <c r="J10" s="28"/>
    </row>
    <row r="11" customFormat="false" ht="15" hidden="false" customHeight="false" outlineLevel="0" collapsed="false">
      <c r="A11" s="5" t="s">
        <v>680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8" t="s">
        <v>681</v>
      </c>
    </row>
    <row r="12" customFormat="false" ht="15" hidden="false" customHeight="false" outlineLevel="0" collapsed="false">
      <c r="A12" s="5" t="s">
        <v>682</v>
      </c>
      <c r="E12" s="41" t="n">
        <f aca="false">1/(1+Assumptions!$C$91)^E11</f>
        <v>0.964207840429401</v>
      </c>
      <c r="F12" s="41" t="n">
        <f aca="false">1/(1+Assumptions!$C$91)^F11</f>
        <v>0.896420904775605</v>
      </c>
      <c r="G12" s="41" t="n">
        <f aca="false">1/(1+Assumptions!$C$91)^G11</f>
        <v>0.833399610358751</v>
      </c>
      <c r="H12" s="41" t="n">
        <f aca="false">1/(1+Assumptions!$C$91)^H11</f>
        <v>0.774808917157037</v>
      </c>
      <c r="I12" s="41" t="n">
        <f aca="false">1/(1+Assumptions!$C$91)^I11</f>
        <v>0.720337339547877</v>
      </c>
      <c r="J12" s="28"/>
    </row>
    <row r="13" customFormat="false" ht="15" hidden="false" customHeight="false" outlineLevel="0" collapsed="false">
      <c r="A13" s="4" t="s">
        <v>683</v>
      </c>
      <c r="E13" s="9" t="n">
        <f aca="false">E10*E12</f>
        <v>1246.95612297126</v>
      </c>
      <c r="F13" s="9" t="n">
        <f aca="false">F10*F12</f>
        <v>5757.88529253336</v>
      </c>
      <c r="G13" s="9" t="n">
        <f aca="false">G10*G12</f>
        <v>10034.6344826325</v>
      </c>
      <c r="H13" s="9" t="n">
        <f aca="false">H10*H12</f>
        <v>12247.4092155587</v>
      </c>
      <c r="I13" s="9" t="n">
        <f aca="false">I10*I12</f>
        <v>12957.6462507827</v>
      </c>
      <c r="J13" s="28"/>
    </row>
    <row r="15" customFormat="false" ht="15" hidden="false" customHeight="false" outlineLevel="0" collapsed="false">
      <c r="A15" s="3" t="s">
        <v>684</v>
      </c>
      <c r="D15" s="48" t="n">
        <f aca="false">SUM(E13:I13)</f>
        <v>42244.5313644785</v>
      </c>
      <c r="J15" s="28"/>
    </row>
    <row r="16" customFormat="false" ht="15" hidden="false" customHeight="false" outlineLevel="0" collapsed="false">
      <c r="A16" s="5" t="s">
        <v>685</v>
      </c>
      <c r="D16" s="9" t="n">
        <f aca="false">I10*(1+Assumptions!$C$92)/(Assumptions!$C$91-Assumptions!$C$92)</f>
        <v>406140.709665457</v>
      </c>
      <c r="J16" s="28" t="s">
        <v>686</v>
      </c>
    </row>
    <row r="17" customFormat="false" ht="15" hidden="false" customHeight="false" outlineLevel="0" collapsed="false">
      <c r="A17" s="4" t="s">
        <v>687</v>
      </c>
      <c r="D17" s="9" t="n">
        <f aca="false">D16*I12</f>
        <v>292558.318282502</v>
      </c>
      <c r="J17" s="28" t="s">
        <v>688</v>
      </c>
    </row>
    <row r="18" customFormat="false" ht="15" hidden="false" customHeight="false" outlineLevel="0" collapsed="false">
      <c r="A18" s="3" t="s">
        <v>689</v>
      </c>
      <c r="D18" s="48" t="n">
        <f aca="false">D15+D17</f>
        <v>334802.84964698</v>
      </c>
      <c r="J18" s="28"/>
    </row>
    <row r="19" customFormat="false" ht="15" hidden="false" customHeight="false" outlineLevel="0" collapsed="false">
      <c r="A19" s="5" t="s">
        <v>690</v>
      </c>
      <c r="D19" s="9" t="n">
        <f aca="false">BS!D4</f>
        <v>3279.6</v>
      </c>
      <c r="J19" s="28"/>
    </row>
    <row r="20" customFormat="false" ht="15" hidden="false" customHeight="false" outlineLevel="0" collapsed="false">
      <c r="A20" s="5" t="s">
        <v>691</v>
      </c>
      <c r="D20" s="9" t="n">
        <f aca="false">BS!D5</f>
        <v>137</v>
      </c>
      <c r="J20" s="28"/>
    </row>
    <row r="21" customFormat="false" ht="15" hidden="false" customHeight="false" outlineLevel="0" collapsed="false">
      <c r="A21" s="5" t="s">
        <v>692</v>
      </c>
      <c r="D21" s="9" t="n">
        <f aca="false">BS!D18</f>
        <v>2854.3</v>
      </c>
      <c r="J21" s="26" t="s">
        <v>693</v>
      </c>
    </row>
    <row r="22" customFormat="false" ht="15" hidden="false" customHeight="false" outlineLevel="0" collapsed="false">
      <c r="A22" s="5" t="s">
        <v>694</v>
      </c>
      <c r="D22" s="9" t="n">
        <f aca="false">-(BS!D22+BS!D28+BS!D31+BS!D32)</f>
        <v>-6445.6</v>
      </c>
      <c r="J22" s="28"/>
    </row>
    <row r="23" customFormat="false" ht="15" hidden="false" customHeight="false" outlineLevel="0" collapsed="false">
      <c r="A23" s="5" t="s">
        <v>695</v>
      </c>
      <c r="D23" s="9" t="n">
        <f aca="false">-BS!D44</f>
        <v>-0</v>
      </c>
      <c r="J23" s="26" t="s">
        <v>696</v>
      </c>
    </row>
    <row r="24" customFormat="false" ht="15" hidden="false" customHeight="false" outlineLevel="0" collapsed="false">
      <c r="A24" s="5" t="s">
        <v>697</v>
      </c>
      <c r="D24" s="9" t="n">
        <f aca="false">D19+D20+D21+D22+D23</f>
        <v>-174.700000000001</v>
      </c>
      <c r="J24" s="28" t="s">
        <v>698</v>
      </c>
    </row>
    <row r="25" customFormat="false" ht="15" hidden="false" customHeight="false" outlineLevel="0" collapsed="false">
      <c r="A25" s="3" t="s">
        <v>699</v>
      </c>
      <c r="D25" s="48" t="n">
        <f aca="false">D18+D24</f>
        <v>334628.14964698</v>
      </c>
      <c r="J25" s="28"/>
    </row>
    <row r="26" customFormat="false" ht="15" hidden="false" customHeight="false" outlineLevel="0" collapsed="false">
      <c r="A26" s="3" t="s">
        <v>700</v>
      </c>
      <c r="D26" s="18" t="n">
        <f aca="false">D25/Equity_Roll!$C$21</f>
        <v>340.415208186145</v>
      </c>
      <c r="J26" s="28" t="s">
        <v>701</v>
      </c>
    </row>
    <row r="27" customFormat="false" ht="15" hidden="false" customHeight="false" outlineLevel="0" collapsed="false">
      <c r="A27" s="5" t="s">
        <v>702</v>
      </c>
      <c r="D27" s="8" t="n">
        <f aca="false">Assumptions!$C$7</f>
        <v>269.33</v>
      </c>
      <c r="J27" s="28"/>
    </row>
    <row r="28" customFormat="false" ht="15" hidden="false" customHeight="false" outlineLevel="0" collapsed="false">
      <c r="A28" s="3" t="s">
        <v>703</v>
      </c>
      <c r="D28" s="56" t="n">
        <f aca="false">D26/D27-1</f>
        <v>0.263933494917553</v>
      </c>
      <c r="J28" s="28"/>
    </row>
    <row r="29" customFormat="false" ht="15" hidden="false" customHeight="false" outlineLevel="0" collapsed="false">
      <c r="A29" s="5" t="s">
        <v>704</v>
      </c>
      <c r="D29" s="57" t="n">
        <f aca="false">D25/IS!E20</f>
        <v>40.1884888104101</v>
      </c>
      <c r="J29" s="28" t="s">
        <v>705</v>
      </c>
    </row>
    <row r="30" customFormat="false" ht="15" hidden="false" customHeight="false" outlineLevel="0" collapsed="false">
      <c r="A30" s="5" t="s">
        <v>706</v>
      </c>
      <c r="D30" s="57" t="n">
        <f aca="false">D18/(IS!E24+PPE!E19)</f>
        <v>29.1339285066862</v>
      </c>
      <c r="J30" s="28"/>
    </row>
    <row r="31" customFormat="false" ht="13.4" hidden="false" customHeight="false" outlineLevel="0" collapsed="false">
      <c r="A31" s="15" t="s">
        <v>707</v>
      </c>
      <c r="B31" s="15"/>
      <c r="C31" s="15"/>
      <c r="D31" s="15"/>
      <c r="E31" s="15"/>
      <c r="F31" s="15"/>
      <c r="G31" s="15"/>
      <c r="H31" s="15"/>
      <c r="I31" s="15"/>
      <c r="J31" s="15"/>
    </row>
  </sheetData>
  <mergeCells count="3">
    <mergeCell ref="A1:J1"/>
    <mergeCell ref="A2:J2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9" min="2" style="0" width="10.01"/>
    <col collapsed="false" customWidth="true" hidden="false" outlineLevel="0" max="10" min="10" style="0" width="54.59"/>
  </cols>
  <sheetData>
    <row r="1" customFormat="false" ht="24" hidden="false" customHeight="true" outlineLevel="0" collapsed="false">
      <c r="A1" s="14" t="s">
        <v>708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709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260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50</v>
      </c>
    </row>
    <row r="4" customFormat="false" ht="15" hidden="false" customHeight="false" outlineLevel="0" collapsed="false">
      <c r="A4" s="5" t="s">
        <v>329</v>
      </c>
      <c r="E4" s="9" t="n">
        <f aca="false">IS!E20</f>
        <v>8326.46759189166</v>
      </c>
      <c r="F4" s="9" t="n">
        <f aca="false">IS!F20</f>
        <v>13183.3112165099</v>
      </c>
      <c r="G4" s="9" t="n">
        <f aca="false">IS!G20</f>
        <v>17301.9162665042</v>
      </c>
      <c r="H4" s="9" t="n">
        <f aca="false">IS!H20</f>
        <v>20043.4903108306</v>
      </c>
      <c r="I4" s="9" t="n">
        <f aca="false">IS!I20</f>
        <v>21764.6655616801</v>
      </c>
      <c r="J4" s="28" t="s">
        <v>710</v>
      </c>
    </row>
    <row r="5" customFormat="false" ht="15" hidden="false" customHeight="false" outlineLevel="0" collapsed="false">
      <c r="A5" s="5" t="s">
        <v>675</v>
      </c>
      <c r="E5" s="9" t="n">
        <f aca="false">PPE!E19</f>
        <v>1562.75686822275</v>
      </c>
      <c r="F5" s="9" t="n">
        <f aca="false">PPE!F19</f>
        <v>2542.37684586553</v>
      </c>
      <c r="G5" s="9" t="n">
        <f aca="false">PPE!G19</f>
        <v>3407.49150110921</v>
      </c>
      <c r="H5" s="9" t="n">
        <f aca="false">PPE!H19</f>
        <v>4106.67674700246</v>
      </c>
      <c r="I5" s="9" t="n">
        <f aca="false">PPE!I19</f>
        <v>4646.05484871961</v>
      </c>
      <c r="J5" s="28" t="s">
        <v>711</v>
      </c>
    </row>
    <row r="6" customFormat="false" ht="15" hidden="false" customHeight="false" outlineLevel="0" collapsed="false">
      <c r="A6" s="5" t="s">
        <v>676</v>
      </c>
      <c r="E6" s="9" t="n">
        <f aca="false">Schedules!E18</f>
        <v>-520.038241712082</v>
      </c>
      <c r="F6" s="9" t="n">
        <f aca="false">Schedules!F18</f>
        <v>-772.194559649541</v>
      </c>
      <c r="G6" s="9" t="n">
        <f aca="false">Schedules!G18</f>
        <v>-801.010717476653</v>
      </c>
      <c r="H6" s="9" t="n">
        <f aca="false">Schedules!H18</f>
        <v>-595.895091580227</v>
      </c>
      <c r="I6" s="9" t="n">
        <f aca="false">Schedules!I18</f>
        <v>238.154185168642</v>
      </c>
      <c r="J6" s="28" t="s">
        <v>712</v>
      </c>
    </row>
    <row r="7" customFormat="false" ht="15" hidden="false" customHeight="false" outlineLevel="0" collapsed="false">
      <c r="A7" s="5" t="s">
        <v>678</v>
      </c>
      <c r="E7" s="9" t="n">
        <f aca="false">PPE!E14</f>
        <v>9278.9289407584</v>
      </c>
      <c r="F7" s="9" t="n">
        <f aca="false">PPE!F14</f>
        <v>10159.3149442773</v>
      </c>
      <c r="G7" s="9" t="n">
        <f aca="false">PPE!G14</f>
        <v>9491.69671461131</v>
      </c>
      <c r="H7" s="9" t="n">
        <f aca="false">PPE!H14</f>
        <v>8951.27248816128</v>
      </c>
      <c r="I7" s="9" t="n">
        <f aca="false">PPE!I14</f>
        <v>8192.26929293281</v>
      </c>
      <c r="J7" s="28" t="s">
        <v>713</v>
      </c>
    </row>
    <row r="8" customFormat="false" ht="15" hidden="false" customHeight="false" outlineLevel="0" collapsed="false">
      <c r="A8" s="5" t="s">
        <v>714</v>
      </c>
      <c r="E8" s="9" t="n">
        <f aca="false">FIN!E57</f>
        <v>-2545.1531224425</v>
      </c>
      <c r="F8" s="9" t="n">
        <f aca="false">FIN!F57</f>
        <v>-3461.9468775575</v>
      </c>
      <c r="G8" s="9" t="n">
        <f aca="false">FIN!G57</f>
        <v>-320</v>
      </c>
      <c r="H8" s="9" t="n">
        <f aca="false">FIN!H57</f>
        <v>-116.2</v>
      </c>
      <c r="I8" s="9" t="n">
        <f aca="false">FIN!I57</f>
        <v>-2.3</v>
      </c>
      <c r="J8" s="28" t="s">
        <v>715</v>
      </c>
    </row>
    <row r="9" customFormat="false" ht="15" hidden="false" customHeight="false" outlineLevel="0" collapsed="false">
      <c r="A9" s="5" t="s">
        <v>716</v>
      </c>
      <c r="E9" s="9" t="n">
        <f aca="false">-FIN!E62</f>
        <v>-0</v>
      </c>
      <c r="F9" s="9" t="n">
        <f aca="false">-FIN!F62</f>
        <v>-198.052915193967</v>
      </c>
      <c r="G9" s="9" t="n">
        <f aca="false">-FIN!G62</f>
        <v>-7650.15333221466</v>
      </c>
      <c r="H9" s="9" t="n">
        <f aca="false">-FIN!H62</f>
        <v>-10523.3078943544</v>
      </c>
      <c r="I9" s="9" t="n">
        <f aca="false">-FIN!I62</f>
        <v>-12126.4572960851</v>
      </c>
      <c r="J9" s="28" t="s">
        <v>717</v>
      </c>
    </row>
    <row r="10" customFormat="false" ht="15" hidden="false" customHeight="false" outlineLevel="0" collapsed="false">
      <c r="A10" s="10" t="s">
        <v>718</v>
      </c>
      <c r="E10" s="48" t="n">
        <f aca="false">E4+E5-E6-E7+E8</f>
        <v>-1414.8193613744</v>
      </c>
      <c r="F10" s="48" t="n">
        <f aca="false">F4+F5-F6-F7+F8</f>
        <v>2876.62080019013</v>
      </c>
      <c r="G10" s="48" t="n">
        <f aca="false">G4+G5-G6-G7+G8</f>
        <v>11698.7217704787</v>
      </c>
      <c r="H10" s="48" t="n">
        <f aca="false">H4+H5-H6-H7+H8</f>
        <v>15678.589661252</v>
      </c>
      <c r="I10" s="48" t="n">
        <f aca="false">I4+I5-I6-I7+I8</f>
        <v>17977.9969322982</v>
      </c>
      <c r="J10" s="28" t="s">
        <v>719</v>
      </c>
    </row>
    <row r="11" customFormat="false" ht="15" hidden="false" customHeight="false" outlineLevel="0" collapsed="false">
      <c r="A11" s="5" t="s">
        <v>680</v>
      </c>
      <c r="E11" s="55" t="n">
        <v>0.5</v>
      </c>
      <c r="F11" s="55" t="n">
        <v>1.5</v>
      </c>
      <c r="G11" s="55" t="n">
        <v>2.5</v>
      </c>
      <c r="H11" s="55" t="n">
        <v>3.5</v>
      </c>
      <c r="I11" s="55" t="n">
        <v>4.5</v>
      </c>
      <c r="J11" s="28" t="s">
        <v>720</v>
      </c>
    </row>
    <row r="12" customFormat="false" ht="15" hidden="false" customHeight="false" outlineLevel="0" collapsed="false">
      <c r="A12" s="5" t="s">
        <v>721</v>
      </c>
      <c r="E12" s="41" t="n">
        <f aca="false">1/(1+KE)^E11</f>
        <v>0.963700289709097</v>
      </c>
      <c r="F12" s="41" t="n">
        <f aca="false">1/(1+KE)^F11</f>
        <v>0.895006045027133</v>
      </c>
      <c r="G12" s="41" t="n">
        <f aca="false">1/(1+KE)^G11</f>
        <v>0.831208446431942</v>
      </c>
      <c r="H12" s="41" t="n">
        <f aca="false">1/(1+KE)^H11</f>
        <v>0.771958452413421</v>
      </c>
      <c r="I12" s="41" t="n">
        <f aca="false">1/(1+KE)^I11</f>
        <v>0.716931901751695</v>
      </c>
      <c r="J12" s="28" t="s">
        <v>722</v>
      </c>
    </row>
    <row r="13" customFormat="false" ht="15" hidden="false" customHeight="false" outlineLevel="0" collapsed="false">
      <c r="A13" s="4" t="s">
        <v>723</v>
      </c>
      <c r="E13" s="9" t="n">
        <f aca="false">E10*E12</f>
        <v>-1363.46182844255</v>
      </c>
      <c r="F13" s="9" t="n">
        <f aca="false">F10*F12</f>
        <v>2574.59300542096</v>
      </c>
      <c r="G13" s="9" t="n">
        <f aca="false">G10*G12</f>
        <v>9724.07634807915</v>
      </c>
      <c r="H13" s="9" t="n">
        <f aca="false">H10*H12</f>
        <v>12103.2198109252</v>
      </c>
      <c r="I13" s="9" t="n">
        <f aca="false">I10*I12</f>
        <v>12888.9995303587</v>
      </c>
      <c r="J13" s="28"/>
    </row>
    <row r="15" customFormat="false" ht="15" hidden="false" customHeight="false" outlineLevel="0" collapsed="false">
      <c r="A15" s="3" t="s">
        <v>684</v>
      </c>
      <c r="D15" s="48" t="n">
        <f aca="false">SUM(E13:I13)</f>
        <v>35927.4268663414</v>
      </c>
      <c r="J15" s="28"/>
    </row>
    <row r="16" customFormat="false" ht="15" hidden="false" customHeight="false" outlineLevel="0" collapsed="false">
      <c r="A16" s="5" t="s">
        <v>724</v>
      </c>
      <c r="D16" s="9" t="n">
        <f aca="false">I10-I8+FIN!I56*TERM_G</f>
        <v>17980.2969322982</v>
      </c>
      <c r="J16" s="28" t="s">
        <v>725</v>
      </c>
    </row>
    <row r="17" customFormat="false" ht="15" hidden="false" customHeight="false" outlineLevel="0" collapsed="false">
      <c r="A17" s="5" t="s">
        <v>726</v>
      </c>
      <c r="D17" s="9" t="n">
        <f aca="false">D16*(1+TERM_G)/(KE-TERM_G)</f>
        <v>396119.481704931</v>
      </c>
      <c r="J17" s="28" t="s">
        <v>727</v>
      </c>
    </row>
    <row r="18" customFormat="false" ht="15" hidden="false" customHeight="false" outlineLevel="0" collapsed="false">
      <c r="A18" s="4" t="s">
        <v>687</v>
      </c>
      <c r="D18" s="9" t="n">
        <f aca="false">D17*I12</f>
        <v>283990.693339612</v>
      </c>
      <c r="J18" s="28" t="s">
        <v>728</v>
      </c>
    </row>
    <row r="19" customFormat="false" ht="15" hidden="false" customHeight="false" outlineLevel="0" collapsed="false">
      <c r="A19" s="3" t="s">
        <v>729</v>
      </c>
      <c r="D19" s="48" t="n">
        <f aca="false">D15+D18</f>
        <v>319918.120205954</v>
      </c>
      <c r="J19" s="26" t="s">
        <v>730</v>
      </c>
    </row>
    <row r="20" customFormat="false" ht="15" hidden="false" customHeight="false" outlineLevel="0" collapsed="false">
      <c r="A20" s="3" t="s">
        <v>700</v>
      </c>
      <c r="D20" s="18" t="n">
        <f aca="false">D19/SHARES_DIL</f>
        <v>325.450783525894</v>
      </c>
      <c r="J20" s="28" t="s">
        <v>731</v>
      </c>
    </row>
    <row r="21" customFormat="false" ht="15" hidden="false" customHeight="false" outlineLevel="0" collapsed="false">
      <c r="A21" s="5" t="s">
        <v>732</v>
      </c>
      <c r="D21" s="8" t="n">
        <f aca="false">DCF!D26</f>
        <v>340.415208186145</v>
      </c>
      <c r="J21" s="28" t="s">
        <v>733</v>
      </c>
    </row>
    <row r="22" customFormat="false" ht="15" hidden="false" customHeight="false" outlineLevel="0" collapsed="false">
      <c r="A22" s="3" t="s">
        <v>734</v>
      </c>
      <c r="D22" s="56" t="n">
        <f aca="false">D20/D21-1</f>
        <v>-0.0439593305480879</v>
      </c>
      <c r="J22" s="26" t="s">
        <v>735</v>
      </c>
    </row>
    <row r="23" customFormat="false" ht="15" hidden="false" customHeight="false" outlineLevel="0" collapsed="false">
      <c r="A23" s="10" t="s">
        <v>84</v>
      </c>
      <c r="D23" s="3" t="str">
        <f aca="false">IF(""&lt;&gt;"","WAIVED: ",IF(ABS(D22)&gt;=0.3,"警告: 差异≥30%, 复核债务调度/资本结构/终值","通过: 差异&lt;30%"))</f>
        <v>通过: 差异&lt;30%</v>
      </c>
      <c r="J23" s="28" t="s">
        <v>736</v>
      </c>
    </row>
    <row r="24" customFormat="false" ht="51.75" hidden="false" customHeight="true" outlineLevel="0" collapsed="false">
      <c r="A24" s="3" t="s">
        <v>737</v>
      </c>
      <c r="B24" s="13" t="s">
        <v>738</v>
      </c>
      <c r="C24" s="13"/>
      <c r="D24" s="13"/>
      <c r="E24" s="13"/>
      <c r="F24" s="13"/>
      <c r="G24" s="13"/>
      <c r="H24" s="13"/>
      <c r="I24" s="13"/>
      <c r="J24" s="13"/>
    </row>
  </sheetData>
  <mergeCells count="3">
    <mergeCell ref="A1:J1"/>
    <mergeCell ref="A2:J2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4" t="s">
        <v>739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13.5" hidden="false" customHeight="true" outlineLevel="0" collapsed="false">
      <c r="A2" s="15" t="s">
        <v>740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4" customFormat="false" ht="15" hidden="false" customHeight="false" outlineLevel="0" collapsed="false">
      <c r="A4" s="16" t="s">
        <v>741</v>
      </c>
      <c r="B4" s="16" t="s">
        <v>742</v>
      </c>
      <c r="C4" s="16" t="s">
        <v>743</v>
      </c>
      <c r="D4" s="44" t="s">
        <v>744</v>
      </c>
      <c r="E4" s="44" t="s">
        <v>745</v>
      </c>
      <c r="F4" s="44" t="s">
        <v>746</v>
      </c>
      <c r="G4" s="44" t="s">
        <v>747</v>
      </c>
      <c r="H4" s="44" t="s">
        <v>748</v>
      </c>
      <c r="I4" s="44" t="s">
        <v>749</v>
      </c>
      <c r="J4" s="44" t="s">
        <v>750</v>
      </c>
      <c r="K4" s="16" t="s">
        <v>751</v>
      </c>
      <c r="L4" s="44" t="s">
        <v>752</v>
      </c>
      <c r="M4" s="44" t="s">
        <v>753</v>
      </c>
      <c r="N4" s="16" t="s">
        <v>754</v>
      </c>
      <c r="O4" s="44" t="s">
        <v>755</v>
      </c>
    </row>
    <row r="5" customFormat="false" ht="25.35" hidden="false" customHeight="false" outlineLevel="0" collapsed="false">
      <c r="A5" s="5" t="s">
        <v>756</v>
      </c>
      <c r="B5" s="31" t="s">
        <v>757</v>
      </c>
      <c r="C5" s="36" t="n">
        <v>2333.68</v>
      </c>
      <c r="D5" s="58" t="n">
        <v>54.25</v>
      </c>
      <c r="E5" s="36" t="n">
        <v>53.35</v>
      </c>
      <c r="F5" s="57" t="n">
        <f aca="false">C5/E5</f>
        <v>43.7428303655108</v>
      </c>
      <c r="G5" s="36" t="n">
        <v>67.72</v>
      </c>
      <c r="H5" s="57" t="n">
        <f aca="false">C5/G5</f>
        <v>34.4607206142942</v>
      </c>
      <c r="I5" s="19" t="n">
        <f aca="false">G5/E5-1</f>
        <v>0.269353327085286</v>
      </c>
      <c r="J5" s="8" t="n">
        <f aca="false">F5/(I5*100)</f>
        <v>1.62399443284621</v>
      </c>
      <c r="K5" s="20" t="s">
        <v>758</v>
      </c>
      <c r="L5" s="59" t="n">
        <v>1.3</v>
      </c>
      <c r="M5" s="38" t="n">
        <v>0.15</v>
      </c>
      <c r="N5" s="38" t="n">
        <v>0.15</v>
      </c>
      <c r="O5" s="41" t="n">
        <f aca="false">L5/(1+(1-N5)*M5)</f>
        <v>1.1529933481153</v>
      </c>
    </row>
    <row r="6" customFormat="false" ht="15" hidden="false" customHeight="false" outlineLevel="0" collapsed="false">
      <c r="A6" s="5" t="s">
        <v>759</v>
      </c>
      <c r="B6" s="31" t="s">
        <v>760</v>
      </c>
      <c r="C6" s="36" t="n">
        <v>2574.81</v>
      </c>
      <c r="D6" s="58" t="n">
        <v>70.84</v>
      </c>
      <c r="E6" s="36" t="n">
        <v>47.01</v>
      </c>
      <c r="F6" s="57" t="n">
        <f aca="false">C6/E6</f>
        <v>54.7715379706445</v>
      </c>
      <c r="G6" s="36" t="n">
        <v>61.89</v>
      </c>
      <c r="H6" s="57" t="n">
        <f aca="false">C6/G6</f>
        <v>41.6030053320407</v>
      </c>
      <c r="I6" s="19" t="n">
        <f aca="false">G6/E6-1</f>
        <v>0.316528398213146</v>
      </c>
      <c r="J6" s="8" t="n">
        <f aca="false">F6/(I6*100)</f>
        <v>1.73038306451613</v>
      </c>
      <c r="K6" s="20" t="s">
        <v>761</v>
      </c>
      <c r="L6" s="59" t="n">
        <v>1.25</v>
      </c>
      <c r="M6" s="38" t="n">
        <v>0.3</v>
      </c>
      <c r="N6" s="38" t="n">
        <v>0.15</v>
      </c>
      <c r="O6" s="41" t="n">
        <f aca="false">L6/(1+(1-N6)*M6)</f>
        <v>0.99601593625498</v>
      </c>
    </row>
    <row r="7" customFormat="false" ht="25.35" hidden="false" customHeight="false" outlineLevel="0" collapsed="false">
      <c r="A7" s="5" t="s">
        <v>762</v>
      </c>
      <c r="B7" s="31" t="s">
        <v>763</v>
      </c>
      <c r="C7" s="36" t="n">
        <v>971.52</v>
      </c>
      <c r="D7" s="58" t="n">
        <v>47.31</v>
      </c>
      <c r="E7" s="36" t="n">
        <v>18</v>
      </c>
      <c r="F7" s="57" t="n">
        <f aca="false">C7/E7</f>
        <v>53.9733333333333</v>
      </c>
      <c r="G7" s="36" t="n">
        <v>23</v>
      </c>
      <c r="H7" s="57" t="n">
        <f aca="false">C7/G7</f>
        <v>42.24</v>
      </c>
      <c r="I7" s="19" t="n">
        <f aca="false">G7/E7-1</f>
        <v>0.277777777777778</v>
      </c>
      <c r="J7" s="8" t="n">
        <f aca="false">F7/(I7*100)</f>
        <v>1.94304</v>
      </c>
      <c r="K7" s="22" t="s">
        <v>764</v>
      </c>
      <c r="L7" s="59" t="n">
        <v>1.35</v>
      </c>
      <c r="M7" s="38" t="n">
        <v>0.45</v>
      </c>
      <c r="N7" s="38" t="n">
        <v>0.15</v>
      </c>
      <c r="O7" s="41" t="n">
        <f aca="false">L7/(1+(1-N7)*M7)</f>
        <v>0.976491862567812</v>
      </c>
    </row>
    <row r="8" customFormat="false" ht="25.35" hidden="false" customHeight="false" outlineLevel="0" collapsed="false">
      <c r="A8" s="5" t="s">
        <v>765</v>
      </c>
      <c r="B8" s="31" t="s">
        <v>766</v>
      </c>
      <c r="C8" s="36" t="n">
        <v>801.05</v>
      </c>
      <c r="D8" s="58" t="n">
        <v>54.13</v>
      </c>
      <c r="E8" s="36" t="n">
        <v>13</v>
      </c>
      <c r="F8" s="57" t="n">
        <f aca="false">C8/E8</f>
        <v>61.6192307692308</v>
      </c>
      <c r="G8" s="36" t="n">
        <v>17</v>
      </c>
      <c r="H8" s="57" t="n">
        <f aca="false">C8/G8</f>
        <v>47.1205882352941</v>
      </c>
      <c r="I8" s="19" t="n">
        <f aca="false">G8/E8-1</f>
        <v>0.307692307692308</v>
      </c>
      <c r="J8" s="8" t="n">
        <f aca="false">F8/(I8*100)</f>
        <v>2.002625</v>
      </c>
      <c r="K8" s="22" t="s">
        <v>767</v>
      </c>
      <c r="L8" s="59" t="n">
        <v>1.2</v>
      </c>
      <c r="M8" s="38" t="n">
        <v>0.2</v>
      </c>
      <c r="N8" s="38" t="n">
        <v>0.15</v>
      </c>
      <c r="O8" s="41" t="n">
        <f aca="false">L8/(1+(1-N8)*M8)</f>
        <v>1.02564102564103</v>
      </c>
    </row>
    <row r="9" customFormat="false" ht="25.35" hidden="false" customHeight="false" outlineLevel="0" collapsed="false">
      <c r="A9" s="4" t="s">
        <v>768</v>
      </c>
      <c r="B9" s="31" t="s">
        <v>769</v>
      </c>
      <c r="C9" s="36" t="n">
        <v>320</v>
      </c>
      <c r="D9" s="58" t="n">
        <v>22</v>
      </c>
      <c r="E9" s="36" t="n">
        <v>18</v>
      </c>
      <c r="F9" s="57" t="n">
        <f aca="false">C9/E9</f>
        <v>17.7777777777778</v>
      </c>
      <c r="G9" s="36" t="n">
        <v>21</v>
      </c>
      <c r="H9" s="57" t="n">
        <f aca="false">C9/G9</f>
        <v>15.2380952380952</v>
      </c>
      <c r="I9" s="19" t="n">
        <f aca="false">G9/E9-1</f>
        <v>0.166666666666667</v>
      </c>
      <c r="J9" s="8" t="n">
        <f aca="false">F9/(I9*100)</f>
        <v>1.06666666666667</v>
      </c>
      <c r="K9" s="20" t="s">
        <v>770</v>
      </c>
      <c r="L9" s="34" t="s">
        <v>272</v>
      </c>
      <c r="M9" s="34" t="s">
        <v>272</v>
      </c>
      <c r="N9" s="34" t="s">
        <v>272</v>
      </c>
      <c r="O9" s="34" t="s">
        <v>272</v>
      </c>
    </row>
    <row r="10" customFormat="false" ht="25.35" hidden="false" customHeight="false" outlineLevel="0" collapsed="false">
      <c r="A10" s="3" t="s">
        <v>771</v>
      </c>
      <c r="H10" s="60" t="s">
        <v>272</v>
      </c>
      <c r="J10" s="60" t="s">
        <v>272</v>
      </c>
      <c r="K10" s="22" t="s">
        <v>772</v>
      </c>
      <c r="O10" s="61" t="n">
        <f aca="false">MEDIAN(O5:O8)</f>
        <v>1.010828480948</v>
      </c>
    </row>
    <row r="11" customFormat="false" ht="15" hidden="false" customHeight="false" outlineLevel="0" collapsed="false">
      <c r="A11" s="3" t="s">
        <v>773</v>
      </c>
      <c r="B11" s="31" t="s">
        <v>774</v>
      </c>
      <c r="C11" s="9" t="n">
        <f aca="false">Assumptions!$C$9/100</f>
        <v>2647.5139</v>
      </c>
      <c r="D11" s="58" t="n">
        <v>56.56</v>
      </c>
      <c r="E11" s="9" t="n">
        <f aca="false">Assumptions!$C$13/100</f>
        <v>91.2</v>
      </c>
      <c r="F11" s="62" t="n">
        <f aca="false">C11/E11</f>
        <v>29.0297576754386</v>
      </c>
      <c r="G11" s="9" t="n">
        <f aca="false">Assumptions!$C$15/100</f>
        <v>154.1</v>
      </c>
      <c r="H11" s="57" t="n">
        <f aca="false">C11/G11</f>
        <v>17.1804925373134</v>
      </c>
      <c r="K11" s="22" t="s">
        <v>775</v>
      </c>
    </row>
    <row r="13" customFormat="false" ht="15.75" hidden="false" customHeight="true" outlineLevel="0" collapsed="false">
      <c r="A13" s="25" t="s">
        <v>776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customFormat="false" ht="15" hidden="false" customHeight="false" outlineLevel="0" collapsed="false">
      <c r="A14" s="5" t="s">
        <v>777</v>
      </c>
      <c r="C14" s="63" t="n">
        <v>35</v>
      </c>
      <c r="K14" s="28" t="s">
        <v>778</v>
      </c>
    </row>
    <row r="15" customFormat="false" ht="15" hidden="false" customHeight="false" outlineLevel="0" collapsed="false">
      <c r="A15" s="5" t="s">
        <v>779</v>
      </c>
      <c r="C15" s="57" t="n">
        <f aca="false">C14</f>
        <v>35</v>
      </c>
      <c r="K15" s="28" t="s">
        <v>780</v>
      </c>
    </row>
    <row r="16" customFormat="false" ht="15" hidden="false" customHeight="false" outlineLevel="0" collapsed="false">
      <c r="A16" s="5" t="s">
        <v>781</v>
      </c>
      <c r="C16" s="9" t="n">
        <f aca="false">IS!E20</f>
        <v>8326.46759189166</v>
      </c>
    </row>
    <row r="17" customFormat="false" ht="15" hidden="false" customHeight="false" outlineLevel="0" collapsed="false">
      <c r="A17" s="3" t="s">
        <v>782</v>
      </c>
      <c r="C17" s="18" t="n">
        <f aca="false">C14*C16/Equity_Roll!$C$21</f>
        <v>296.466292691972</v>
      </c>
    </row>
    <row r="18" customFormat="false" ht="15" hidden="false" customHeight="false" outlineLevel="0" collapsed="false">
      <c r="A18" s="3" t="s">
        <v>783</v>
      </c>
      <c r="C18" s="18" t="n">
        <f aca="false">C15*C16/Equity_Roll!$C$21</f>
        <v>296.466292691972</v>
      </c>
    </row>
    <row r="19" customFormat="false" ht="15" hidden="false" customHeight="false" outlineLevel="0" collapsed="false">
      <c r="A19" s="5" t="s">
        <v>784</v>
      </c>
      <c r="C19" s="8" t="n">
        <f aca="false">C14*Assumptions!$C$13/Equity_Roll!$C$21</f>
        <v>324.72024415056</v>
      </c>
      <c r="D19" s="8" t="n">
        <f aca="false">C15*Assumptions!$C$13/Equity_Roll!$C$21</f>
        <v>324.72024415056</v>
      </c>
      <c r="K19" s="28" t="s">
        <v>785</v>
      </c>
    </row>
    <row r="20" customFormat="false" ht="15" hidden="false" customHeight="false" outlineLevel="0" collapsed="false">
      <c r="A20" s="5" t="s">
        <v>786</v>
      </c>
      <c r="C20" s="19" t="n">
        <f aca="false">C17/Assumptions!$C$7-1</f>
        <v>0.1007548089406</v>
      </c>
      <c r="D20" s="19" t="n">
        <f aca="false">C18/Assumptions!$C$7-1</f>
        <v>0.1007548089406</v>
      </c>
    </row>
  </sheetData>
  <mergeCells count="3">
    <mergeCell ref="A1:O1"/>
    <mergeCell ref="A2:O2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4" t="s">
        <v>787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788</v>
      </c>
      <c r="B2" s="15"/>
      <c r="C2" s="15"/>
      <c r="D2" s="15"/>
      <c r="E2" s="15"/>
      <c r="F2" s="15"/>
      <c r="G2" s="15"/>
      <c r="H2" s="15"/>
      <c r="I2" s="15"/>
      <c r="J2" s="15"/>
    </row>
    <row r="4" customFormat="false" ht="15.75" hidden="false" customHeight="true" outlineLevel="0" collapsed="false">
      <c r="A4" s="25" t="s">
        <v>789</v>
      </c>
      <c r="B4" s="25"/>
      <c r="C4" s="25"/>
      <c r="D4" s="25"/>
      <c r="E4" s="25"/>
      <c r="F4" s="25"/>
      <c r="G4" s="25"/>
      <c r="H4" s="25"/>
      <c r="I4" s="25"/>
    </row>
    <row r="5" customFormat="false" ht="15" hidden="false" customHeight="false" outlineLevel="0" collapsed="false">
      <c r="A5" s="37" t="s">
        <v>790</v>
      </c>
      <c r="C5" s="56" t="n">
        <f aca="false">Assumptions!$C$92-0.01</f>
        <v>0.02</v>
      </c>
      <c r="D5" s="56" t="n">
        <f aca="false">Assumptions!$C$92-0.005</f>
        <v>0.025</v>
      </c>
      <c r="E5" s="56" t="n">
        <f aca="false">Assumptions!$C$92</f>
        <v>0.03</v>
      </c>
      <c r="F5" s="56" t="n">
        <f aca="false">Assumptions!$C$92+0.005</f>
        <v>0.035</v>
      </c>
      <c r="G5" s="56" t="n">
        <f aca="false">Assumptions!$C$92+0.01</f>
        <v>0.04</v>
      </c>
    </row>
    <row r="6" customFormat="false" ht="15" hidden="false" customHeight="false" outlineLevel="0" collapsed="false">
      <c r="B6" s="56" t="n">
        <f aca="false">Assumptions!$C$91-0.01</f>
        <v>0.0656195390944878</v>
      </c>
      <c r="C6" s="8" t="n">
        <f aca="false">(DCF!$E$10/(1+$B6)^0.5+DCF!$F$10/(1+$B6)^1.5+DCF!$G$10/(1+$B6)^2.5+DCF!$H$10/(1+$B6)^3.5+DCF!$I$10/(1+$B6)^4.5+DCF!$I$10*(1+C$5)/($B6-C$5)/(1+$B6)^4.5+DCF!$D$24)/Equity_Roll!$C$21</f>
        <v>351.487449080829</v>
      </c>
      <c r="D6" s="8" t="n">
        <f aca="false">(DCF!$E$10/(1+$B6)^0.5+DCF!$F$10/(1+$B6)^1.5+DCF!$G$10/(1+$B6)^2.5+DCF!$H$10/(1+$B6)^3.5+DCF!$I$10/(1+$B6)^4.5+DCF!$I$10*(1+D$5)/($B6-D$5)/(1+$B6)^4.5+DCF!$D$24)/Equity_Roll!$C$21</f>
        <v>391.016208191418</v>
      </c>
      <c r="E6" s="8" t="n">
        <f aca="false">(DCF!$E$10/(1+$B6)^0.5+DCF!$F$10/(1+$B6)^1.5+DCF!$G$10/(1+$B6)^2.5+DCF!$H$10/(1+$B6)^3.5+DCF!$I$10/(1+$B6)^4.5+DCF!$I$10*(1+E$5)/($B6-E$5)/(1+$B6)^4.5+DCF!$D$24)/Equity_Roll!$C$21</f>
        <v>441.64246045197</v>
      </c>
      <c r="F6" s="8" t="n">
        <f aca="false">(DCF!$E$10/(1+$B6)^0.5+DCF!$F$10/(1+$B6)^1.5+DCF!$G$10/(1+$B6)^2.5+DCF!$H$10/(1+$B6)^3.5+DCF!$I$10/(1+$B6)^4.5+DCF!$I$10*(1+F$5)/($B6-F$5)/(1+$B6)^4.5+DCF!$D$24)/Equity_Roll!$C$21</f>
        <v>508.802682118242</v>
      </c>
      <c r="G6" s="8" t="n">
        <f aca="false">(DCF!$E$10/(1+$B6)^0.5+DCF!$F$10/(1+$B6)^1.5+DCF!$G$10/(1+$B6)^2.5+DCF!$H$10/(1+$B6)^3.5+DCF!$I$10/(1+$B6)^4.5+DCF!$I$10*(1+G$5)/($B6-G$5)/(1+$B6)^4.5+DCF!$D$24)/Equity_Roll!$C$21</f>
        <v>602.177357299302</v>
      </c>
    </row>
    <row r="7" customFormat="false" ht="15" hidden="false" customHeight="false" outlineLevel="0" collapsed="false">
      <c r="B7" s="56" t="n">
        <f aca="false">Assumptions!$C$91-0.005</f>
        <v>0.0706195390944878</v>
      </c>
      <c r="C7" s="8" t="n">
        <f aca="false">(DCF!$E$10/(1+$B7)^0.5+DCF!$F$10/(1+$B7)^1.5+DCF!$G$10/(1+$B7)^2.5+DCF!$H$10/(1+$B7)^3.5+DCF!$I$10/(1+$B7)^4.5+DCF!$I$10*(1+C$5)/($B7-C$5)/(1+$B7)^4.5+DCF!$D$24)/Equity_Roll!$C$21</f>
        <v>314.6893467589</v>
      </c>
      <c r="D7" s="8" t="n">
        <f aca="false">(DCF!$E$10/(1+$B7)^0.5+DCF!$F$10/(1+$B7)^1.5+DCF!$G$10/(1+$B7)^2.5+DCF!$H$10/(1+$B7)^3.5+DCF!$I$10/(1+$B7)^4.5+DCF!$I$10*(1+D$5)/($B7-D$5)/(1+$B7)^4.5+DCF!$D$24)/Equity_Roll!$C$21</f>
        <v>345.893652234342</v>
      </c>
      <c r="E7" s="8" t="n">
        <f aca="false">(DCF!$E$10/(1+$B7)^0.5+DCF!$F$10/(1+$B7)^1.5+DCF!$G$10/(1+$B7)^2.5+DCF!$H$10/(1+$B7)^3.5+DCF!$I$10/(1+$B7)^4.5+DCF!$I$10*(1+E$5)/($B7-E$5)/(1+$B7)^4.5+DCF!$D$24)/Equity_Roll!$C$21</f>
        <v>384.780050163579</v>
      </c>
      <c r="F7" s="8" t="n">
        <f aca="false">(DCF!$E$10/(1+$B7)^0.5+DCF!$F$10/(1+$B7)^1.5+DCF!$G$10/(1+$B7)^2.5+DCF!$H$10/(1+$B7)^3.5+DCF!$I$10/(1+$B7)^4.5+DCF!$I$10*(1+F$5)/($B7-F$5)/(1+$B7)^4.5+DCF!$D$24)/Equity_Roll!$C$21</f>
        <v>434.58360168823</v>
      </c>
      <c r="G7" s="8" t="n">
        <f aca="false">(DCF!$E$10/(1+$B7)^0.5+DCF!$F$10/(1+$B7)^1.5+DCF!$G$10/(1+$B7)^2.5+DCF!$H$10/(1+$B7)^3.5+DCF!$I$10/(1+$B7)^4.5+DCF!$I$10*(1+G$5)/($B7-G$5)/(1+$B7)^4.5+DCF!$D$24)/Equity_Roll!$C$21</f>
        <v>500.652437732992</v>
      </c>
    </row>
    <row r="8" customFormat="false" ht="15" hidden="false" customHeight="false" outlineLevel="0" collapsed="false">
      <c r="B8" s="56" t="n">
        <f aca="false">Assumptions!$C$91</f>
        <v>0.0756195390944878</v>
      </c>
      <c r="C8" s="8" t="n">
        <f aca="false">(DCF!$E$10/(1+$B8)^0.5+DCF!$F$10/(1+$B8)^1.5+DCF!$G$10/(1+$B8)^2.5+DCF!$H$10/(1+$B8)^3.5+DCF!$I$10/(1+$B8)^4.5+DCF!$I$10*(1+C$5)/($B8-C$5)/(1+$B8)^4.5+DCF!$D$24)/Equity_Roll!$C$21</f>
        <v>284.535644625877</v>
      </c>
      <c r="D8" s="8" t="n">
        <f aca="false">(DCF!$E$10/(1+$B8)^0.5+DCF!$F$10/(1+$B8)^1.5+DCF!$G$10/(1+$B8)^2.5+DCF!$H$10/(1+$B8)^3.5+DCF!$I$10/(1+$B8)^4.5+DCF!$I$10*(1+D$5)/($B8-D$5)/(1+$B8)^4.5+DCF!$D$24)/Equity_Roll!$C$21</f>
        <v>309.715644088754</v>
      </c>
      <c r="E8" s="64" t="n">
        <f aca="false">(DCF!$E$10/(1+$B8)^0.5+DCF!$F$10/(1+$B8)^1.5+DCF!$G$10/(1+$B8)^2.5+DCF!$H$10/(1+$B8)^3.5+DCF!$I$10/(1+$B8)^4.5+DCF!$I$10*(1+E$5)/($B8-E$5)/(1+$B8)^4.5+DCF!$D$24)/Equity_Roll!$C$21</f>
        <v>340.415208186145</v>
      </c>
      <c r="F8" s="8" t="n">
        <f aca="false">(DCF!$E$10/(1+$B8)^0.5+DCF!$F$10/(1+$B8)^1.5+DCF!$G$10/(1+$B8)^2.5+DCF!$H$10/(1+$B8)^3.5+DCF!$I$10/(1+$B8)^4.5+DCF!$I$10*(1+F$5)/($B8-F$5)/(1+$B8)^4.5+DCF!$D$24)/Equity_Roll!$C$21</f>
        <v>378.672604002398</v>
      </c>
      <c r="G8" s="8" t="n">
        <f aca="false">(DCF!$E$10/(1+$B8)^0.5+DCF!$F$10/(1+$B8)^1.5+DCF!$G$10/(1+$B8)^2.5+DCF!$H$10/(1+$B8)^3.5+DCF!$I$10/(1+$B8)^4.5+DCF!$I$10*(1+G$5)/($B8-G$5)/(1+$B8)^4.5+DCF!$D$24)/Equity_Roll!$C$21</f>
        <v>427.670564348353</v>
      </c>
    </row>
    <row r="9" customFormat="false" ht="15" hidden="false" customHeight="false" outlineLevel="0" collapsed="false">
      <c r="B9" s="56" t="n">
        <f aca="false">Assumptions!$C$91+0.005</f>
        <v>0.0806195390944878</v>
      </c>
      <c r="C9" s="8" t="n">
        <f aca="false">(DCF!$E$10/(1+$B9)^0.5+DCF!$F$10/(1+$B9)^1.5+DCF!$G$10/(1+$B9)^2.5+DCF!$H$10/(1+$B9)^3.5+DCF!$I$10/(1+$B9)^4.5+DCF!$I$10*(1+C$5)/($B9-C$5)/(1+$B9)^4.5+DCF!$D$24)/Equity_Roll!$C$21</f>
        <v>259.381682625515</v>
      </c>
      <c r="D9" s="8" t="n">
        <f aca="false">(DCF!$E$10/(1+$B9)^0.5+DCF!$F$10/(1+$B9)^1.5+DCF!$G$10/(1+$B9)^2.5+DCF!$H$10/(1+$B9)^3.5+DCF!$I$10/(1+$B9)^4.5+DCF!$I$10*(1+D$5)/($B9-D$5)/(1+$B9)^4.5+DCF!$D$24)/Equity_Roll!$C$21</f>
        <v>280.069363440007</v>
      </c>
      <c r="E9" s="8" t="n">
        <f aca="false">(DCF!$E$10/(1+$B9)^0.5+DCF!$F$10/(1+$B9)^1.5+DCF!$G$10/(1+$B9)^2.5+DCF!$H$10/(1+$B9)^3.5+DCF!$I$10/(1+$B9)^4.5+DCF!$I$10*(1+E$5)/($B9-E$5)/(1+$B9)^4.5+DCF!$D$24)/Equity_Roll!$C$21</f>
        <v>304.843940576465</v>
      </c>
      <c r="F9" s="8" t="n">
        <f aca="false">(DCF!$E$10/(1+$B9)^0.5+DCF!$F$10/(1+$B9)^1.5+DCF!$G$10/(1+$B9)^2.5+DCF!$H$10/(1+$B9)^3.5+DCF!$I$10/(1+$B9)^4.5+DCF!$I$10*(1+F$5)/($B9-F$5)/(1+$B9)^4.5+DCF!$D$24)/Equity_Roll!$C$21</f>
        <v>335.049212022471</v>
      </c>
      <c r="G9" s="8" t="n">
        <f aca="false">(DCF!$E$10/(1+$B9)^0.5+DCF!$F$10/(1+$B9)^1.5+DCF!$G$10/(1+$B9)^2.5+DCF!$H$10/(1+$B9)^3.5+DCF!$I$10/(1+$B9)^4.5+DCF!$I$10*(1+G$5)/($B9-G$5)/(1+$B9)^4.5+DCF!$D$24)/Equity_Roll!$C$21</f>
        <v>372.690626792442</v>
      </c>
    </row>
    <row r="10" customFormat="false" ht="15" hidden="false" customHeight="false" outlineLevel="0" collapsed="false">
      <c r="B10" s="56" t="n">
        <f aca="false">Assumptions!$C$91+0.01</f>
        <v>0.0856195390944878</v>
      </c>
      <c r="C10" s="8" t="n">
        <f aca="false">(DCF!$E$10/(1+$B10)^0.5+DCF!$F$10/(1+$B10)^1.5+DCF!$G$10/(1+$B10)^2.5+DCF!$H$10/(1+$B10)^3.5+DCF!$I$10/(1+$B10)^4.5+DCF!$I$10*(1+C$5)/($B10-C$5)/(1+$B10)^4.5+DCF!$D$24)/Equity_Roll!$C$21</f>
        <v>238.084084972639</v>
      </c>
      <c r="D10" s="8" t="n">
        <f aca="false">(DCF!$E$10/(1+$B10)^0.5+DCF!$F$10/(1+$B10)^1.5+DCF!$G$10/(1+$B10)^2.5+DCF!$H$10/(1+$B10)^3.5+DCF!$I$10/(1+$B10)^4.5+DCF!$I$10*(1+D$5)/($B10-D$5)/(1+$B10)^4.5+DCF!$D$24)/Equity_Roll!$C$21</f>
        <v>255.338057154773</v>
      </c>
      <c r="E10" s="8" t="n">
        <f aca="false">(DCF!$E$10/(1+$B10)^0.5+DCF!$F$10/(1+$B10)^1.5+DCF!$G$10/(1+$B10)^2.5+DCF!$H$10/(1+$B10)^3.5+DCF!$I$10/(1+$B10)^4.5+DCF!$I$10*(1+E$5)/($B10-E$5)/(1+$B10)^4.5+DCF!$D$24)/Equity_Roll!$C$21</f>
        <v>275.694171580987</v>
      </c>
      <c r="F10" s="8" t="n">
        <f aca="false">(DCF!$E$10/(1+$B10)^0.5+DCF!$F$10/(1+$B10)^1.5+DCF!$G$10/(1+$B10)^2.5+DCF!$H$10/(1+$B10)^3.5+DCF!$I$10/(1+$B10)^4.5+DCF!$I$10*(1+F$5)/($B10-F$5)/(1+$B10)^4.5+DCF!$D$24)/Equity_Roll!$C$21</f>
        <v>300.071680668307</v>
      </c>
      <c r="G10" s="8" t="n">
        <f aca="false">(DCF!$E$10/(1+$B10)^0.5+DCF!$F$10/(1+$B10)^1.5+DCF!$G$10/(1+$B10)^2.5+DCF!$H$10/(1+$B10)^3.5+DCF!$I$10/(1+$B10)^4.5+DCF!$I$10*(1+G$5)/($B10-G$5)/(1+$B10)^4.5+DCF!$D$24)/Equity_Roll!$C$21</f>
        <v>329.792845033867</v>
      </c>
    </row>
    <row r="11" customFormat="false" ht="15" hidden="false" customHeight="false" outlineLevel="0" collapsed="false">
      <c r="A11" s="28" t="s">
        <v>791</v>
      </c>
    </row>
    <row r="13" customFormat="false" ht="15.75" hidden="false" customHeight="true" outlineLevel="0" collapsed="false">
      <c r="A13" s="25" t="s">
        <v>792</v>
      </c>
      <c r="B13" s="25"/>
      <c r="C13" s="25"/>
      <c r="D13" s="25"/>
      <c r="E13" s="25"/>
      <c r="F13" s="25"/>
      <c r="G13" s="25"/>
      <c r="H13" s="25"/>
      <c r="I13" s="25"/>
    </row>
    <row r="14" customFormat="false" ht="15" hidden="false" customHeight="false" outlineLevel="0" collapsed="false">
      <c r="A14" s="37" t="s">
        <v>793</v>
      </c>
      <c r="C14" s="65" t="n">
        <v>25</v>
      </c>
      <c r="D14" s="65" t="n">
        <v>30</v>
      </c>
      <c r="E14" s="65" t="n">
        <v>35</v>
      </c>
      <c r="F14" s="65" t="n">
        <v>40</v>
      </c>
      <c r="G14" s="65" t="n">
        <v>45</v>
      </c>
      <c r="H14" s="65" t="n">
        <v>50</v>
      </c>
    </row>
    <row r="15" customFormat="false" ht="15" hidden="false" customHeight="false" outlineLevel="0" collapsed="false">
      <c r="B15" s="66" t="n">
        <v>0.4</v>
      </c>
      <c r="C15" s="8" t="n">
        <f aca="false">IS!$D$20*(1+$B15)*C$14/Equity_Roll!$C$21</f>
        <v>153.53001017294</v>
      </c>
      <c r="D15" s="8" t="n">
        <f aca="false">IS!$D$20*(1+$B15)*D$14/Equity_Roll!$C$21</f>
        <v>184.236012207528</v>
      </c>
      <c r="E15" s="8" t="n">
        <f aca="false">IS!$D$20*(1+$B15)*E$14/Equity_Roll!$C$21</f>
        <v>214.942014242116</v>
      </c>
      <c r="F15" s="8" t="n">
        <f aca="false">IS!$D$20*(1+$B15)*F$14/Equity_Roll!$C$21</f>
        <v>245.648016276704</v>
      </c>
      <c r="G15" s="8" t="n">
        <f aca="false">IS!$D$20*(1+$B15)*G$14/Equity_Roll!$C$21</f>
        <v>276.354018311292</v>
      </c>
      <c r="H15" s="8" t="n">
        <f aca="false">IS!$D$20*(1+$B15)*H$14/Equity_Roll!$C$21</f>
        <v>307.06002034588</v>
      </c>
    </row>
    <row r="16" customFormat="false" ht="15" hidden="false" customHeight="false" outlineLevel="0" collapsed="false">
      <c r="B16" s="66" t="n">
        <v>0.6</v>
      </c>
      <c r="C16" s="8" t="n">
        <f aca="false">IS!$D$20*(1+$B16)*C$14/Equity_Roll!$C$21</f>
        <v>175.462868769074</v>
      </c>
      <c r="D16" s="8" t="n">
        <f aca="false">IS!$D$20*(1+$B16)*D$14/Equity_Roll!$C$21</f>
        <v>210.555442522889</v>
      </c>
      <c r="E16" s="8" t="n">
        <f aca="false">IS!$D$20*(1+$B16)*E$14/Equity_Roll!$C$21</f>
        <v>245.648016276704</v>
      </c>
      <c r="F16" s="8" t="n">
        <f aca="false">IS!$D$20*(1+$B16)*F$14/Equity_Roll!$C$21</f>
        <v>280.740590030519</v>
      </c>
      <c r="G16" s="8" t="n">
        <f aca="false">IS!$D$20*(1+$B16)*G$14/Equity_Roll!$C$21</f>
        <v>315.833163784334</v>
      </c>
      <c r="H16" s="8" t="n">
        <f aca="false">IS!$D$20*(1+$B16)*H$14/Equity_Roll!$C$21</f>
        <v>350.925737538149</v>
      </c>
    </row>
    <row r="17" customFormat="false" ht="15" hidden="false" customHeight="false" outlineLevel="0" collapsed="false">
      <c r="B17" s="66" t="n">
        <v>0.8</v>
      </c>
      <c r="C17" s="8" t="n">
        <f aca="false">IS!$D$20*(1+$B17)*C$14/Equity_Roll!$C$21</f>
        <v>197.395727365209</v>
      </c>
      <c r="D17" s="8" t="n">
        <f aca="false">IS!$D$20*(1+$B17)*D$14/Equity_Roll!$C$21</f>
        <v>236.87487283825</v>
      </c>
      <c r="E17" s="8" t="n">
        <f aca="false">IS!$D$20*(1+$B17)*E$14/Equity_Roll!$C$21</f>
        <v>276.354018311292</v>
      </c>
      <c r="F17" s="8" t="n">
        <f aca="false">IS!$D$20*(1+$B17)*F$14/Equity_Roll!$C$21</f>
        <v>315.833163784334</v>
      </c>
      <c r="G17" s="8" t="n">
        <f aca="false">IS!$D$20*(1+$B17)*G$14/Equity_Roll!$C$21</f>
        <v>355.312309257375</v>
      </c>
      <c r="H17" s="8" t="n">
        <f aca="false">IS!$D$20*(1+$B17)*H$14/Equity_Roll!$C$21</f>
        <v>394.791454730417</v>
      </c>
    </row>
    <row r="18" customFormat="false" ht="15" hidden="false" customHeight="false" outlineLevel="0" collapsed="false">
      <c r="B18" s="66" t="n">
        <v>1</v>
      </c>
      <c r="C18" s="8" t="n">
        <f aca="false">IS!$D$20*(1+$B18)*C$14/Equity_Roll!$C$21</f>
        <v>219.328585961343</v>
      </c>
      <c r="D18" s="8" t="n">
        <f aca="false">IS!$D$20*(1+$B18)*D$14/Equity_Roll!$C$21</f>
        <v>263.194303153611</v>
      </c>
      <c r="E18" s="8" t="n">
        <f aca="false">IS!$D$20*(1+$B18)*E$14/Equity_Roll!$C$21</f>
        <v>307.06002034588</v>
      </c>
      <c r="F18" s="8" t="n">
        <f aca="false">IS!$D$20*(1+$B18)*F$14/Equity_Roll!$C$21</f>
        <v>350.925737538149</v>
      </c>
      <c r="G18" s="8" t="n">
        <f aca="false">IS!$D$20*(1+$B18)*G$14/Equity_Roll!$C$21</f>
        <v>394.791454730417</v>
      </c>
      <c r="H18" s="8" t="n">
        <f aca="false">IS!$D$20*(1+$B18)*H$14/Equity_Roll!$C$21</f>
        <v>438.657171922686</v>
      </c>
    </row>
    <row r="19" customFormat="false" ht="15" hidden="false" customHeight="false" outlineLevel="0" collapsed="false">
      <c r="B19" s="66" t="n">
        <v>1.115</v>
      </c>
      <c r="C19" s="8" t="n">
        <f aca="false">IS!$D$20*(1+$B19)*C$14/Equity_Roll!$C$21</f>
        <v>231.93997965412</v>
      </c>
      <c r="D19" s="8" t="n">
        <f aca="false">IS!$D$20*(1+$B19)*D$14/Equity_Roll!$C$21</f>
        <v>278.327975584944</v>
      </c>
      <c r="E19" s="64" t="n">
        <f aca="false">IS!$D$20*(1+$B19)*E$14/Equity_Roll!$C$21</f>
        <v>324.715971515768</v>
      </c>
      <c r="F19" s="8" t="n">
        <f aca="false">IS!$D$20*(1+$B19)*F$14/Equity_Roll!$C$21</f>
        <v>371.103967446592</v>
      </c>
      <c r="G19" s="8" t="n">
        <f aca="false">IS!$D$20*(1+$B19)*G$14/Equity_Roll!$C$21</f>
        <v>417.491963377416</v>
      </c>
      <c r="H19" s="8" t="n">
        <f aca="false">IS!$D$20*(1+$B19)*H$14/Equity_Roll!$C$21</f>
        <v>463.87995930824</v>
      </c>
    </row>
    <row r="20" customFormat="false" ht="15" hidden="false" customHeight="false" outlineLevel="0" collapsed="false">
      <c r="B20" s="66" t="n">
        <v>1.3</v>
      </c>
      <c r="C20" s="8" t="n">
        <f aca="false">IS!$D$20*(1+$B20)*C$14/Equity_Roll!$C$21</f>
        <v>252.227873855544</v>
      </c>
      <c r="D20" s="8" t="n">
        <f aca="false">IS!$D$20*(1+$B20)*D$14/Equity_Roll!$C$21</f>
        <v>302.673448626653</v>
      </c>
      <c r="E20" s="8" t="n">
        <f aca="false">IS!$D$20*(1+$B20)*E$14/Equity_Roll!$C$21</f>
        <v>353.119023397762</v>
      </c>
      <c r="F20" s="8" t="n">
        <f aca="false">IS!$D$20*(1+$B20)*F$14/Equity_Roll!$C$21</f>
        <v>403.564598168871</v>
      </c>
      <c r="G20" s="8" t="n">
        <f aca="false">IS!$D$20*(1+$B20)*G$14/Equity_Roll!$C$21</f>
        <v>454.01017293998</v>
      </c>
      <c r="H20" s="8" t="n">
        <f aca="false">IS!$D$20*(1+$B20)*H$14/Equity_Roll!$C$21</f>
        <v>504.455747711088</v>
      </c>
    </row>
    <row r="21" customFormat="false" ht="15" hidden="false" customHeight="false" outlineLevel="0" collapsed="false">
      <c r="A21" s="28" t="s">
        <v>794</v>
      </c>
    </row>
    <row r="23" customFormat="false" ht="15.75" hidden="false" customHeight="true" outlineLevel="0" collapsed="false">
      <c r="A23" s="25" t="s">
        <v>795</v>
      </c>
      <c r="B23" s="25"/>
      <c r="C23" s="25"/>
      <c r="D23" s="25"/>
      <c r="E23" s="25"/>
      <c r="F23" s="25"/>
      <c r="G23" s="25"/>
      <c r="H23" s="25"/>
      <c r="I23" s="25"/>
    </row>
    <row r="24" customFormat="false" ht="25.35" hidden="false" customHeight="false" outlineLevel="0" collapsed="false">
      <c r="A24" s="37" t="s">
        <v>796</v>
      </c>
      <c r="C24" s="42" t="s">
        <v>797</v>
      </c>
      <c r="D24" s="37" t="s">
        <v>798</v>
      </c>
      <c r="I24" s="20" t="s">
        <v>799</v>
      </c>
    </row>
    <row r="25" customFormat="false" ht="15" hidden="false" customHeight="false" outlineLevel="0" collapsed="false">
      <c r="B25" s="67" t="n">
        <v>-40</v>
      </c>
      <c r="C25" s="8" t="n">
        <f aca="false">((DCF!E$10+$B25/365*(IS!E$6))/(1+Assumptions!$C$91)^0.5+(DCF!F$10+$B25/365*(IS!F$6-IS!E$6))/(1+Assumptions!$C$91)^1.5+(DCF!G$10+$B25/365*(IS!G$6-IS!F$6))/(1+Assumptions!$C$91)^2.5+(DCF!H$10+$B25/365*(IS!H$6-IS!G$6))/(1+Assumptions!$C$91)^3.5+(DCF!I$10+$B25/365*(IS!I$6-IS!H$6))/(1+Assumptions!$C$91)^4.5+(DCF!$I$10+$B25/365*(IS!I$6-IS!H$6))*(1+Assumptions!$C$92)/(Assumptions!$C$91-Assumptions!$C$92)/(1+Assumptions!$C$91)^4.5+DCF!$D$24)/Equity_Roll!$C$21</f>
        <v>322.344010622979</v>
      </c>
      <c r="D25" s="19" t="n">
        <f aca="false">C25/DCF!$D$26-1</f>
        <v>-0.0530857527178511</v>
      </c>
    </row>
    <row r="26" customFormat="false" ht="15" hidden="false" customHeight="false" outlineLevel="0" collapsed="false">
      <c r="B26" s="67" t="n">
        <v>-20</v>
      </c>
      <c r="C26" s="8" t="n">
        <f aca="false">((DCF!E$10+$B26/365*(IS!E$6))/(1+Assumptions!$C$91)^0.5+(DCF!F$10+$B26/365*(IS!F$6-IS!E$6))/(1+Assumptions!$C$91)^1.5+(DCF!G$10+$B26/365*(IS!G$6-IS!F$6))/(1+Assumptions!$C$91)^2.5+(DCF!H$10+$B26/365*(IS!H$6-IS!G$6))/(1+Assumptions!$C$91)^3.5+(DCF!I$10+$B26/365*(IS!I$6-IS!H$6))/(1+Assumptions!$C$91)^4.5+(DCF!$I$10+$B26/365*(IS!I$6-IS!H$6))*(1+Assumptions!$C$92)/(Assumptions!$C$91-Assumptions!$C$92)/(1+Assumptions!$C$91)^4.5+DCF!$D$24)/Equity_Roll!$C$21</f>
        <v>331.379609404562</v>
      </c>
      <c r="D26" s="19" t="n">
        <f aca="false">C26/DCF!$D$26-1</f>
        <v>-0.0265428763589255</v>
      </c>
    </row>
    <row r="27" customFormat="false" ht="15" hidden="false" customHeight="false" outlineLevel="0" collapsed="false">
      <c r="B27" s="67" t="n">
        <v>0</v>
      </c>
      <c r="C27" s="64" t="n">
        <f aca="false">((DCF!E$10+$B27/365*(IS!E$6))/(1+Assumptions!$C$91)^0.5+(DCF!F$10+$B27/365*(IS!F$6-IS!E$6))/(1+Assumptions!$C$91)^1.5+(DCF!G$10+$B27/365*(IS!G$6-IS!F$6))/(1+Assumptions!$C$91)^2.5+(DCF!H$10+$B27/365*(IS!H$6-IS!G$6))/(1+Assumptions!$C$91)^3.5+(DCF!I$10+$B27/365*(IS!I$6-IS!H$6))/(1+Assumptions!$C$91)^4.5+(DCF!$I$10+$B27/365*(IS!I$6-IS!H$6))*(1+Assumptions!$C$92)/(Assumptions!$C$91-Assumptions!$C$92)/(1+Assumptions!$C$91)^4.5+DCF!$D$24)/Equity_Roll!$C$21</f>
        <v>340.415208186145</v>
      </c>
      <c r="D27" s="19" t="n">
        <f aca="false">C27/DCF!$D$26-1</f>
        <v>0</v>
      </c>
    </row>
    <row r="28" customFormat="false" ht="15" hidden="false" customHeight="false" outlineLevel="0" collapsed="false">
      <c r="B28" s="67" t="n">
        <v>20</v>
      </c>
      <c r="C28" s="8" t="n">
        <f aca="false">((DCF!E$10+$B28/365*(IS!E$6))/(1+Assumptions!$C$91)^0.5+(DCF!F$10+$B28/365*(IS!F$6-IS!E$6))/(1+Assumptions!$C$91)^1.5+(DCF!G$10+$B28/365*(IS!G$6-IS!F$6))/(1+Assumptions!$C$91)^2.5+(DCF!H$10+$B28/365*(IS!H$6-IS!G$6))/(1+Assumptions!$C$91)^3.5+(DCF!I$10+$B28/365*(IS!I$6-IS!H$6))/(1+Assumptions!$C$91)^4.5+(DCF!$I$10+$B28/365*(IS!I$6-IS!H$6))*(1+Assumptions!$C$92)/(Assumptions!$C$91-Assumptions!$C$92)/(1+Assumptions!$C$91)^4.5+DCF!$D$24)/Equity_Roll!$C$21</f>
        <v>349.450806967727</v>
      </c>
      <c r="D28" s="19" t="n">
        <f aca="false">C28/DCF!$D$26-1</f>
        <v>0.0265428763589253</v>
      </c>
    </row>
    <row r="29" customFormat="false" ht="15" hidden="false" customHeight="false" outlineLevel="0" collapsed="false">
      <c r="B29" s="67" t="n">
        <v>40</v>
      </c>
      <c r="C29" s="8" t="n">
        <f aca="false">((DCF!E$10+$B29/365*(IS!E$6))/(1+Assumptions!$C$91)^0.5+(DCF!F$10+$B29/365*(IS!F$6-IS!E$6))/(1+Assumptions!$C$91)^1.5+(DCF!G$10+$B29/365*(IS!G$6-IS!F$6))/(1+Assumptions!$C$91)^2.5+(DCF!H$10+$B29/365*(IS!H$6-IS!G$6))/(1+Assumptions!$C$91)^3.5+(DCF!I$10+$B29/365*(IS!I$6-IS!H$6))/(1+Assumptions!$C$91)^4.5+(DCF!$I$10+$B29/365*(IS!I$6-IS!H$6))*(1+Assumptions!$C$92)/(Assumptions!$C$91-Assumptions!$C$92)/(1+Assumptions!$C$91)^4.5+DCF!$D$24)/Equity_Roll!$C$21</f>
        <v>358.48640574931</v>
      </c>
      <c r="D29" s="19" t="n">
        <f aca="false">C29/DCF!$D$26-1</f>
        <v>0.0530857527178512</v>
      </c>
    </row>
    <row r="30" customFormat="false" ht="15" hidden="false" customHeight="false" outlineLevel="0" collapsed="false">
      <c r="A30" s="26" t="s">
        <v>800</v>
      </c>
    </row>
  </sheetData>
  <mergeCells count="5">
    <mergeCell ref="A1:J1"/>
    <mergeCell ref="A2:J2"/>
    <mergeCell ref="A4:I4"/>
    <mergeCell ref="A13:I13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9" min="2" style="0" width="10.01"/>
    <col collapsed="false" customWidth="true" hidden="false" outlineLevel="0" max="10" min="10" style="0" width="50.95"/>
  </cols>
  <sheetData>
    <row r="1" customFormat="false" ht="24" hidden="false" customHeight="true" outlineLevel="0" collapsed="false">
      <c r="A1" s="14" t="s">
        <v>801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802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803</v>
      </c>
      <c r="B3" s="68" t="n">
        <f aca="false">Assumptions!$C$5</f>
        <v>2</v>
      </c>
      <c r="C3" s="69" t="str">
        <f aca="false">CHOOSE(B3,"熊市","基准","牛市")</f>
        <v>基准</v>
      </c>
      <c r="J3" s="28" t="s">
        <v>804</v>
      </c>
    </row>
    <row r="4" customFormat="false" ht="15" hidden="false" customHeight="false" outlineLevel="0" collapsed="false">
      <c r="A4" s="5" t="s">
        <v>805</v>
      </c>
      <c r="B4" s="19" t="n">
        <f aca="false">Schedules!E17/IS!E4</f>
        <v>-0.072190951343209</v>
      </c>
      <c r="J4" s="28" t="s">
        <v>806</v>
      </c>
    </row>
    <row r="6" customFormat="false" ht="15.75" hidden="false" customHeight="true" outlineLevel="0" collapsed="false">
      <c r="A6" s="25" t="s">
        <v>807</v>
      </c>
      <c r="B6" s="25"/>
      <c r="C6" s="25"/>
      <c r="D6" s="25"/>
      <c r="E6" s="25"/>
      <c r="F6" s="25"/>
      <c r="G6" s="25"/>
      <c r="H6" s="25"/>
      <c r="I6" s="25"/>
      <c r="J6" s="25"/>
    </row>
    <row r="7" customFormat="false" ht="15" hidden="false" customHeight="false" outlineLevel="0" collapsed="false">
      <c r="A7" s="3" t="s">
        <v>260</v>
      </c>
      <c r="E7" s="44" t="s">
        <v>119</v>
      </c>
      <c r="F7" s="44" t="s">
        <v>120</v>
      </c>
      <c r="G7" s="44" t="s">
        <v>121</v>
      </c>
      <c r="H7" s="44" t="s">
        <v>122</v>
      </c>
      <c r="I7" s="44" t="s">
        <v>123</v>
      </c>
    </row>
    <row r="8" customFormat="false" ht="15" hidden="false" customHeight="false" outlineLevel="0" collapsed="false">
      <c r="A8" s="5" t="s">
        <v>303</v>
      </c>
      <c r="E8" s="9" t="n">
        <f aca="false">IS!D4*(1+Revenue_Segments!E39+Assumptions!$C$96)</f>
        <v>30245.18693128</v>
      </c>
      <c r="F8" s="9" t="n">
        <f aca="false">E8*(1+Revenue_Segments!F39+Assumptions!$C$96)</f>
        <v>41824.0179275222</v>
      </c>
      <c r="G8" s="9" t="n">
        <f aca="false">F8*(1+Revenue_Segments!G39+Assumptions!$C$96)</f>
        <v>49548.6220702466</v>
      </c>
      <c r="H8" s="9" t="n">
        <f aca="false">G8*(1+Revenue_Segments!H39+Assumptions!$C$96)</f>
        <v>52039.0648726756</v>
      </c>
      <c r="I8" s="9" t="n">
        <f aca="false">H8*(1+Revenue_Segments!I39+Assumptions!$C$96)</f>
        <v>50404.3416217264</v>
      </c>
    </row>
    <row r="9" customFormat="false" ht="15" hidden="false" customHeight="false" outlineLevel="0" collapsed="false">
      <c r="A9" s="5" t="s">
        <v>808</v>
      </c>
      <c r="E9" s="19" t="n">
        <f aca="false">(Revenue_Segments!E40+Assumptions!$D$96-Assumptions!C$35-Assumptions!C$36-Assumptions!C$37-Assumptions!C$38-Assumptions!$C$43)*(1-Assumptions!C$41)*(1-Assumptions!C$42)</f>
        <v>0.226813612616997</v>
      </c>
      <c r="F9" s="19" t="n">
        <f aca="false">(Revenue_Segments!F40+Assumptions!$D$96-Assumptions!D$35-Assumptions!D$36-Assumptions!D$37-Assumptions!D$38-Assumptions!$C$43)*(1-Assumptions!D$41)*(1-Assumptions!D$42)</f>
        <v>0.231343234047456</v>
      </c>
      <c r="G9" s="19" t="n">
        <f aca="false">(Revenue_Segments!G40+Assumptions!$D$96-Assumptions!E$35-Assumptions!E$36-Assumptions!E$37-Assumptions!E$38-Assumptions!$C$43)*(1-Assumptions!E$41)*(1-Assumptions!E$42)</f>
        <v>0.225435019196171</v>
      </c>
      <c r="H9" s="19" t="n">
        <f aca="false">(Revenue_Segments!H40+Assumptions!$D$96-Assumptions!F$35-Assumptions!F$36-Assumptions!F$37-Assumptions!F$38-Assumptions!$C$43)*(1-Assumptions!F$41)*(1-Assumptions!F$42)</f>
        <v>0.216257556532082</v>
      </c>
      <c r="I9" s="19" t="n">
        <f aca="false">(Revenue_Segments!I40+Assumptions!$D$96-Assumptions!G$35-Assumptions!G$36-Assumptions!G$37-Assumptions!G$38-Assumptions!$C$43)*(1-Assumptions!G$41)*(1-Assumptions!G$42)</f>
        <v>0.208930465687517</v>
      </c>
    </row>
    <row r="10" customFormat="false" ht="15" hidden="false" customHeight="false" outlineLevel="0" collapsed="false">
      <c r="A10" s="5" t="s">
        <v>329</v>
      </c>
      <c r="E10" s="48" t="n">
        <f aca="false">E8*E9</f>
        <v>6860.02011216001</v>
      </c>
      <c r="F10" s="48" t="n">
        <f aca="false">F8*F9</f>
        <v>9675.70356821175</v>
      </c>
      <c r="G10" s="48" t="n">
        <f aca="false">G8*G9</f>
        <v>11169.9945675498</v>
      </c>
      <c r="H10" s="48" t="n">
        <f aca="false">H8*H9</f>
        <v>11253.8410135794</v>
      </c>
      <c r="I10" s="48" t="n">
        <f aca="false">I8*I9</f>
        <v>10531.0025677</v>
      </c>
    </row>
    <row r="11" customFormat="false" ht="15" hidden="false" customHeight="false" outlineLevel="0" collapsed="false">
      <c r="A11" s="4" t="s">
        <v>809</v>
      </c>
      <c r="E11" s="9" t="n">
        <f aca="false">E10+PPE!E19-(E8-IS!D4)*$B$4-PPE!E14</f>
        <v>-65.4526328519387</v>
      </c>
      <c r="F11" s="9" t="n">
        <f aca="false">F10+PPE!F19-(F8-E8)*$B$4-PPE!F14</f>
        <v>2894.65229486093</v>
      </c>
      <c r="G11" s="9" t="n">
        <f aca="false">G10+PPE!G19-(G8-F8)*$B$4-PPE!G14</f>
        <v>5643.4358758607</v>
      </c>
      <c r="H11" s="9" t="n">
        <f aca="false">H10+PPE!H19-(H8-G8)*$B$4-PPE!H14</f>
        <v>6589.03270759374</v>
      </c>
      <c r="I11" s="9" t="n">
        <f aca="false">I10+PPE!I19-(I8-H8)*$B$4-PPE!I14</f>
        <v>6866.77589681792</v>
      </c>
    </row>
    <row r="12" customFormat="false" ht="15" hidden="false" customHeight="false" outlineLevel="0" collapsed="false">
      <c r="A12" s="10" t="s">
        <v>810</v>
      </c>
      <c r="B12" s="23" t="n">
        <f aca="false">(E11/(1+Assumptions!$C$91)^0.5+F11/(1+Assumptions!$C$91)^1.5+G11/(1+Assumptions!$C$91)^2.5+H11/(1+Assumptions!$C$91)^3.5+I11/(1+Assumptions!$C$91)^4.5+I11*(1+Assumptions!$C$92)/(Assumptions!$C$91-Assumptions!$C$92)/(1+Assumptions!$C$91)^4.5+DCF!$D$24)/Equity_Roll!$C$21</f>
        <v>131.019146018866</v>
      </c>
      <c r="J12" s="28" t="s">
        <v>811</v>
      </c>
    </row>
    <row r="13" customFormat="false" ht="15" hidden="false" customHeight="false" outlineLevel="0" collapsed="false">
      <c r="A13" s="3" t="s">
        <v>812</v>
      </c>
      <c r="B13" s="23" t="n">
        <f aca="false">E10*Relative_Val!$C$14/Equity_Roll!$C$21</f>
        <v>244.253005010784</v>
      </c>
      <c r="J13" s="28" t="s">
        <v>813</v>
      </c>
    </row>
    <row r="15" customFormat="false" ht="15.75" hidden="false" customHeight="true" outlineLevel="0" collapsed="false">
      <c r="A15" s="25" t="s">
        <v>814</v>
      </c>
      <c r="B15" s="25"/>
      <c r="C15" s="25"/>
      <c r="D15" s="25"/>
      <c r="E15" s="25"/>
      <c r="F15" s="25"/>
      <c r="G15" s="25"/>
      <c r="H15" s="25"/>
      <c r="I15" s="25"/>
      <c r="J15" s="25"/>
    </row>
    <row r="16" customFormat="false" ht="15" hidden="false" customHeight="false" outlineLevel="0" collapsed="false">
      <c r="A16" s="3" t="s">
        <v>260</v>
      </c>
      <c r="E16" s="44" t="s">
        <v>119</v>
      </c>
      <c r="F16" s="44" t="s">
        <v>120</v>
      </c>
      <c r="G16" s="44" t="s">
        <v>121</v>
      </c>
      <c r="H16" s="44" t="s">
        <v>122</v>
      </c>
      <c r="I16" s="44" t="s">
        <v>123</v>
      </c>
    </row>
    <row r="17" customFormat="false" ht="15" hidden="false" customHeight="false" outlineLevel="0" collapsed="false">
      <c r="A17" s="5" t="s">
        <v>303</v>
      </c>
      <c r="E17" s="9" t="n">
        <f aca="false">IS!D4*(1+Revenue_Segments!E39+Assumptions!$C$97)</f>
        <v>33139.03193128</v>
      </c>
      <c r="F17" s="9" t="n">
        <f aca="false">E17*(1+Revenue_Segments!F39+Assumptions!$C$97)</f>
        <v>50796.5747213866</v>
      </c>
      <c r="G17" s="9" t="n">
        <f aca="false">F17*(1+Revenue_Segments!G39+Assumptions!$C$97)</f>
        <v>67797.8336757951</v>
      </c>
      <c r="H17" s="9" t="n">
        <f aca="false">G17*(1+Revenue_Segments!H39+Assumptions!$C$97)</f>
        <v>81375.2044378298</v>
      </c>
      <c r="I17" s="9" t="n">
        <f aca="false">H17*(1+Revenue_Segments!I39+Assumptions!$C$97)</f>
        <v>91025.2143659201</v>
      </c>
    </row>
    <row r="18" customFormat="false" ht="15" hidden="false" customHeight="false" outlineLevel="0" collapsed="false">
      <c r="A18" s="5" t="s">
        <v>808</v>
      </c>
      <c r="E18" s="19" t="n">
        <f aca="false">(Revenue_Segments!E40+Assumptions!$D$97-Assumptions!C$35-Assumptions!C$36-Assumptions!C$37-Assumptions!C$38-Assumptions!$C$43)*(1-Assumptions!C$41)*(1-Assumptions!C$42)</f>
        <v>0.252463612616997</v>
      </c>
      <c r="F18" s="19" t="n">
        <f aca="false">(Revenue_Segments!F40+Assumptions!$D$97-Assumptions!D$35-Assumptions!D$36-Assumptions!D$37-Assumptions!D$38-Assumptions!$C$43)*(1-Assumptions!D$41)*(1-Assumptions!D$42)</f>
        <v>0.256993234047456</v>
      </c>
      <c r="G18" s="19" t="n">
        <f aca="false">(Revenue_Segments!G40+Assumptions!$D$97-Assumptions!E$35-Assumptions!E$36-Assumptions!E$37-Assumptions!E$38-Assumptions!$C$43)*(1-Assumptions!E$41)*(1-Assumptions!E$42)</f>
        <v>0.251085019196171</v>
      </c>
      <c r="H18" s="19" t="n">
        <f aca="false">(Revenue_Segments!H40+Assumptions!$D$97-Assumptions!F$35-Assumptions!F$36-Assumptions!F$37-Assumptions!F$38-Assumptions!$C$43)*(1-Assumptions!F$41)*(1-Assumptions!F$42)</f>
        <v>0.241907556532082</v>
      </c>
      <c r="I18" s="19" t="n">
        <f aca="false">(Revenue_Segments!I40+Assumptions!$D$97-Assumptions!G$35-Assumptions!G$36-Assumptions!G$37-Assumptions!G$38-Assumptions!$C$43)*(1-Assumptions!G$41)*(1-Assumptions!G$42)</f>
        <v>0.234580465687517</v>
      </c>
    </row>
    <row r="19" customFormat="false" ht="15" hidden="false" customHeight="false" outlineLevel="0" collapsed="false">
      <c r="A19" s="5" t="s">
        <v>329</v>
      </c>
      <c r="E19" s="48" t="n">
        <f aca="false">E17*E18</f>
        <v>8366.39972000097</v>
      </c>
      <c r="F19" s="48" t="n">
        <f aca="false">F17*F18</f>
        <v>13054.3760161824</v>
      </c>
      <c r="G19" s="48" t="n">
        <f aca="false">G17*G18</f>
        <v>17023.0203699458</v>
      </c>
      <c r="H19" s="48" t="n">
        <f aca="false">H17*H18</f>
        <v>19685.2768678541</v>
      </c>
      <c r="I19" s="48" t="n">
        <f aca="false">I17*I18</f>
        <v>21352.7371752636</v>
      </c>
    </row>
    <row r="20" customFormat="false" ht="15" hidden="false" customHeight="false" outlineLevel="0" collapsed="false">
      <c r="A20" s="4" t="s">
        <v>809</v>
      </c>
      <c r="E20" s="9" t="n">
        <f aca="false">E19+PPE!E19-(E17-IS!D4)*$B$4-PPE!E14</f>
        <v>1649.83639857881</v>
      </c>
      <c r="F20" s="9" t="n">
        <f aca="false">F19+PPE!F19-(F17-E17)*$B$4-PPE!F14</f>
        <v>6712.15273017179</v>
      </c>
      <c r="G20" s="9" t="n">
        <f aca="false">G19+PPE!G19-(G17-F17)*$B$4-PPE!G14</f>
        <v>12166.1522143947</v>
      </c>
      <c r="H20" s="9" t="n">
        <f aca="false">H19+PPE!H19-(H17-G17)*$B$4-PPE!H14</f>
        <v>15820.844438746</v>
      </c>
      <c r="I20" s="9" t="n">
        <f aca="false">I19+PPE!I19-(I17-H17)*$B$4-PPE!I14</f>
        <v>18503.1661282307</v>
      </c>
    </row>
    <row r="21" customFormat="false" ht="15" hidden="false" customHeight="false" outlineLevel="0" collapsed="false">
      <c r="A21" s="10" t="s">
        <v>810</v>
      </c>
      <c r="B21" s="23" t="n">
        <f aca="false">(E20/(1+Assumptions!$C$91)^0.5+F20/(1+Assumptions!$C$91)^1.5+G20/(1+Assumptions!$C$91)^2.5+H20/(1+Assumptions!$C$91)^3.5+I20/(1+Assumptions!$C$91)^4.5+I20*(1+Assumptions!$C$92)/(Assumptions!$C$91-Assumptions!$C$92)/(1+Assumptions!$C$91)^4.5+DCF!$D$24)/Equity_Roll!$C$21</f>
        <v>350.04158085191</v>
      </c>
      <c r="J21" s="28" t="s">
        <v>811</v>
      </c>
    </row>
    <row r="22" customFormat="false" ht="15" hidden="false" customHeight="false" outlineLevel="0" collapsed="false">
      <c r="A22" s="3" t="s">
        <v>812</v>
      </c>
      <c r="B22" s="23" t="n">
        <f aca="false">E19*Relative_Val!$C$14/Equity_Roll!$C$21</f>
        <v>297.888087690777</v>
      </c>
      <c r="J22" s="28" t="s">
        <v>813</v>
      </c>
    </row>
    <row r="24" customFormat="false" ht="15.75" hidden="false" customHeight="true" outlineLevel="0" collapsed="false">
      <c r="A24" s="25" t="s">
        <v>815</v>
      </c>
      <c r="B24" s="25"/>
      <c r="C24" s="25"/>
      <c r="D24" s="25"/>
      <c r="E24" s="25"/>
      <c r="F24" s="25"/>
      <c r="G24" s="25"/>
      <c r="H24" s="25"/>
      <c r="I24" s="25"/>
      <c r="J24" s="25"/>
    </row>
    <row r="25" customFormat="false" ht="15" hidden="false" customHeight="false" outlineLevel="0" collapsed="false">
      <c r="A25" s="3" t="s">
        <v>260</v>
      </c>
      <c r="E25" s="44" t="s">
        <v>119</v>
      </c>
      <c r="F25" s="44" t="s">
        <v>120</v>
      </c>
      <c r="G25" s="44" t="s">
        <v>121</v>
      </c>
      <c r="H25" s="44" t="s">
        <v>122</v>
      </c>
      <c r="I25" s="44" t="s">
        <v>123</v>
      </c>
    </row>
    <row r="26" customFormat="false" ht="15" hidden="false" customHeight="false" outlineLevel="0" collapsed="false">
      <c r="A26" s="5" t="s">
        <v>303</v>
      </c>
      <c r="E26" s="9" t="n">
        <f aca="false">IS!D4*(1+Revenue_Segments!E39+Assumptions!$C$98)</f>
        <v>35068.26193128</v>
      </c>
      <c r="F26" s="9" t="n">
        <f aca="false">E26*(1+Revenue_Segments!F39+Assumptions!$C$98)</f>
        <v>57260.5867506295</v>
      </c>
      <c r="G26" s="9" t="n">
        <f aca="false">F26*(1+Revenue_Segments!G39+Assumptions!$C$98)</f>
        <v>82151.3640817902</v>
      </c>
      <c r="H26" s="9" t="n">
        <f aca="false">G26*(1+Revenue_Segments!H39+Assumptions!$C$98)</f>
        <v>106818.346637136</v>
      </c>
      <c r="I26" s="9" t="n">
        <f aca="false">H26*(1+Revenue_Segments!I39+Assumptions!$C$98)</f>
        <v>130167.407302574</v>
      </c>
    </row>
    <row r="27" customFormat="false" ht="15" hidden="false" customHeight="false" outlineLevel="0" collapsed="false">
      <c r="A27" s="5" t="s">
        <v>808</v>
      </c>
      <c r="E27" s="19" t="n">
        <f aca="false">(Revenue_Segments!E40+Assumptions!$D$98-Assumptions!C$35-Assumptions!C$36-Assumptions!C$37-Assumptions!C$38-Assumptions!$C$43)*(1-Assumptions!C$41)*(1-Assumptions!C$42)</f>
        <v>0.265288612616997</v>
      </c>
      <c r="F27" s="19" t="n">
        <f aca="false">(Revenue_Segments!F40+Assumptions!$D$98-Assumptions!D$35-Assumptions!D$36-Assumptions!D$37-Assumptions!D$38-Assumptions!$C$43)*(1-Assumptions!D$41)*(1-Assumptions!D$42)</f>
        <v>0.269818234047456</v>
      </c>
      <c r="G27" s="19" t="n">
        <f aca="false">(Revenue_Segments!G40+Assumptions!$D$98-Assumptions!E$35-Assumptions!E$36-Assumptions!E$37-Assumptions!E$38-Assumptions!$C$43)*(1-Assumptions!E$41)*(1-Assumptions!E$42)</f>
        <v>0.263910019196171</v>
      </c>
      <c r="H27" s="19" t="n">
        <f aca="false">(Revenue_Segments!H40+Assumptions!$D$98-Assumptions!F$35-Assumptions!F$36-Assumptions!F$37-Assumptions!F$38-Assumptions!$C$43)*(1-Assumptions!F$41)*(1-Assumptions!F$42)</f>
        <v>0.254732556532083</v>
      </c>
      <c r="I27" s="19" t="n">
        <f aca="false">(Revenue_Segments!I40+Assumptions!$D$98-Assumptions!G$35-Assumptions!G$36-Assumptions!G$37-Assumptions!G$38-Assumptions!$C$43)*(1-Assumptions!G$41)*(1-Assumptions!G$42)</f>
        <v>0.247405465687517</v>
      </c>
    </row>
    <row r="28" customFormat="false" ht="15" hidden="false" customHeight="false" outlineLevel="0" collapsed="false">
      <c r="A28" s="5" t="s">
        <v>329</v>
      </c>
      <c r="E28" s="48" t="n">
        <f aca="false">E26*E27</f>
        <v>9303.21055463873</v>
      </c>
      <c r="F28" s="48" t="n">
        <f aca="false">F26*F27</f>
        <v>15449.950397576</v>
      </c>
      <c r="G28" s="48" t="n">
        <f aca="false">G26*G27</f>
        <v>21680.5680718169</v>
      </c>
      <c r="H28" s="48" t="n">
        <f aca="false">H26*H27</f>
        <v>27210.1105234078</v>
      </c>
      <c r="I28" s="48" t="n">
        <f aca="false">I26*I27</f>
        <v>32204.1280210301</v>
      </c>
    </row>
    <row r="29" customFormat="false" ht="15" hidden="false" customHeight="false" outlineLevel="0" collapsed="false">
      <c r="A29" s="4" t="s">
        <v>809</v>
      </c>
      <c r="E29" s="9" t="n">
        <f aca="false">E28+PPE!E19-(E26-IS!D4)*$B$4-PPE!E14</f>
        <v>2725.92018227643</v>
      </c>
      <c r="F29" s="9" t="n">
        <f aca="false">F28+PPE!F19-(F26-E26)*$B$4-PPE!F14</f>
        <v>9435.09734039054</v>
      </c>
      <c r="G29" s="9" t="n">
        <f aca="false">G28+PPE!G19-(G26-F26)*$B$4-PPE!G14</f>
        <v>17393.2517535232</v>
      </c>
      <c r="H29" s="9" t="n">
        <f aca="false">H28+PPE!H19-(H26-G26)*$B$4-PPE!H14</f>
        <v>24146.2477196857</v>
      </c>
      <c r="I29" s="9" t="n">
        <f aca="false">I28+PPE!I19-(I26-H26)*$B$4-PPE!I14</f>
        <v>30343.5044792252</v>
      </c>
    </row>
    <row r="30" customFormat="false" ht="15" hidden="false" customHeight="false" outlineLevel="0" collapsed="false">
      <c r="A30" s="10" t="s">
        <v>810</v>
      </c>
      <c r="B30" s="23" t="n">
        <f aca="false">(E29/(1+Assumptions!$C$91)^0.5+F29/(1+Assumptions!$C$91)^1.5+G29/(1+Assumptions!$C$91)^2.5+H29/(1+Assumptions!$C$91)^3.5+I29/(1+Assumptions!$C$91)^4.5+I29*(1+Assumptions!$C$92)/(Assumptions!$C$91-Assumptions!$C$92)/(1+Assumptions!$C$91)^4.5+DCF!$D$24)/Equity_Roll!$C$21</f>
        <v>569.149789174625</v>
      </c>
      <c r="J30" s="28" t="s">
        <v>811</v>
      </c>
    </row>
    <row r="31" customFormat="false" ht="15" hidden="false" customHeight="false" outlineLevel="0" collapsed="false">
      <c r="A31" s="3" t="s">
        <v>812</v>
      </c>
      <c r="B31" s="23" t="n">
        <f aca="false">E28*Relative_Val!$C$14/Equity_Roll!$C$21</f>
        <v>331.243509066486</v>
      </c>
      <c r="J31" s="28" t="s">
        <v>813</v>
      </c>
    </row>
    <row r="33" customFormat="false" ht="15.75" hidden="false" customHeight="true" outlineLevel="0" collapsed="false">
      <c r="A33" s="25" t="s">
        <v>816</v>
      </c>
      <c r="B33" s="25"/>
      <c r="C33" s="25"/>
      <c r="D33" s="25"/>
      <c r="E33" s="25"/>
      <c r="F33" s="25"/>
      <c r="G33" s="25"/>
      <c r="H33" s="25"/>
      <c r="I33" s="25"/>
      <c r="J33" s="25"/>
    </row>
    <row r="34" customFormat="false" ht="15" hidden="false" customHeight="false" outlineLevel="0" collapsed="false">
      <c r="A34" s="3" t="s">
        <v>817</v>
      </c>
      <c r="B34" s="23" t="n">
        <f aca="false">DCF!D26</f>
        <v>340.415208186145</v>
      </c>
      <c r="J34" s="28" t="s">
        <v>818</v>
      </c>
    </row>
    <row r="35" customFormat="false" ht="15" hidden="false" customHeight="false" outlineLevel="0" collapsed="false">
      <c r="A35" s="5" t="s">
        <v>819</v>
      </c>
      <c r="B35" s="8" t="n">
        <f aca="false">B21</f>
        <v>350.04158085191</v>
      </c>
    </row>
    <row r="36" customFormat="false" ht="15" hidden="false" customHeight="false" outlineLevel="0" collapsed="false">
      <c r="A36" s="3" t="s">
        <v>820</v>
      </c>
      <c r="B36" s="56" t="n">
        <f aca="false">B34/B21</f>
        <v>0.972499345242535</v>
      </c>
      <c r="J36" s="28" t="s">
        <v>821</v>
      </c>
    </row>
    <row r="37" customFormat="false" ht="15" hidden="false" customHeight="false" outlineLevel="0" collapsed="false">
      <c r="A37" s="5" t="s">
        <v>822</v>
      </c>
      <c r="B37" s="70" t="str">
        <f aca="false">IF(ABS(B36-1)&gt;=0.3,"警告: 桥接差异≥30%, 复核简化假设","通过: 桥接差异&lt;30%")</f>
        <v>通过: 桥接差异&lt;30%</v>
      </c>
    </row>
    <row r="39" customFormat="false" ht="15.75" hidden="false" customHeight="true" outlineLevel="0" collapsed="false">
      <c r="A39" s="25" t="s">
        <v>823</v>
      </c>
      <c r="B39" s="25"/>
      <c r="C39" s="25"/>
      <c r="D39" s="25"/>
      <c r="E39" s="25"/>
      <c r="F39" s="25"/>
      <c r="G39" s="25"/>
      <c r="H39" s="25"/>
      <c r="I39" s="25"/>
      <c r="J39" s="25"/>
    </row>
    <row r="40" customFormat="false" ht="15" hidden="false" customHeight="false" outlineLevel="0" collapsed="false">
      <c r="A40" s="3" t="s">
        <v>824</v>
      </c>
      <c r="B40" s="42" t="s">
        <v>825</v>
      </c>
      <c r="C40" s="42" t="s">
        <v>826</v>
      </c>
      <c r="D40" s="42" t="s">
        <v>827</v>
      </c>
      <c r="E40" s="42" t="s">
        <v>95</v>
      </c>
      <c r="F40" s="42" t="s">
        <v>828</v>
      </c>
      <c r="G40" s="42" t="s">
        <v>829</v>
      </c>
      <c r="H40" s="42" t="s">
        <v>830</v>
      </c>
    </row>
    <row r="41" customFormat="false" ht="15" hidden="false" customHeight="false" outlineLevel="0" collapsed="false">
      <c r="A41" s="4" t="s">
        <v>831</v>
      </c>
      <c r="B41" s="18" t="n">
        <f aca="false">B12</f>
        <v>131.019146018866</v>
      </c>
      <c r="C41" s="18" t="n">
        <f aca="false">B21</f>
        <v>350.04158085191</v>
      </c>
      <c r="D41" s="18" t="n">
        <f aca="false">B30</f>
        <v>569.149789174625</v>
      </c>
      <c r="E41" s="8" t="n">
        <f aca="false">Assumptions!$C$7</f>
        <v>269.33</v>
      </c>
      <c r="F41" s="19" t="n">
        <f aca="false">B12/Assumptions!$C$7-1</f>
        <v>-0.513536754097703</v>
      </c>
      <c r="G41" s="19" t="n">
        <f aca="false">B21/Assumptions!$C$7-1</f>
        <v>0.299675419938033</v>
      </c>
      <c r="H41" s="19" t="n">
        <f aca="false">B30/Assumptions!$C$7-1</f>
        <v>1.11320606384222</v>
      </c>
    </row>
    <row r="42" customFormat="false" ht="15" hidden="false" customHeight="false" outlineLevel="0" collapsed="false">
      <c r="A42" s="5" t="s">
        <v>832</v>
      </c>
      <c r="B42" s="8" t="n">
        <f aca="false">B13</f>
        <v>244.253005010784</v>
      </c>
      <c r="C42" s="8" t="n">
        <f aca="false">B22</f>
        <v>297.888087690777</v>
      </c>
      <c r="D42" s="8" t="n">
        <f aca="false">B31</f>
        <v>331.243509066486</v>
      </c>
    </row>
    <row r="43" customFormat="false" ht="15" hidden="false" customHeight="false" outlineLevel="0" collapsed="false">
      <c r="A43" s="4" t="s">
        <v>833</v>
      </c>
      <c r="B43" s="9" t="n">
        <f aca="false">E10</f>
        <v>6860.02011216001</v>
      </c>
      <c r="C43" s="9" t="n">
        <f aca="false">E19</f>
        <v>8366.39972000097</v>
      </c>
      <c r="D43" s="9" t="n">
        <f aca="false">E28</f>
        <v>9303.21055463873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9" min="2" style="0" width="10.01"/>
    <col collapsed="false" customWidth="true" hidden="false" outlineLevel="0" max="10" min="10" style="0" width="45.49"/>
  </cols>
  <sheetData>
    <row r="1" customFormat="false" ht="24" hidden="false" customHeight="true" outlineLevel="0" collapsed="false">
      <c r="A1" s="14" t="s">
        <v>834</v>
      </c>
      <c r="B1" s="14"/>
      <c r="C1" s="14"/>
      <c r="D1" s="14"/>
      <c r="E1" s="14"/>
      <c r="F1" s="14"/>
      <c r="G1" s="14"/>
      <c r="H1" s="14"/>
      <c r="I1" s="14"/>
      <c r="J1" s="14"/>
    </row>
    <row r="2" customFormat="false" ht="13.5" hidden="false" customHeight="true" outlineLevel="0" collapsed="false">
      <c r="A2" s="15" t="s">
        <v>835</v>
      </c>
      <c r="B2" s="15"/>
      <c r="C2" s="15"/>
      <c r="D2" s="15"/>
      <c r="E2" s="15"/>
      <c r="F2" s="15"/>
      <c r="G2" s="15"/>
      <c r="H2" s="15"/>
      <c r="I2" s="15"/>
      <c r="J2" s="15"/>
    </row>
    <row r="3" customFormat="false" ht="15" hidden="false" customHeight="false" outlineLevel="0" collapsed="false">
      <c r="A3" s="3" t="s">
        <v>836</v>
      </c>
      <c r="B3" s="44" t="s">
        <v>261</v>
      </c>
      <c r="C3" s="44" t="s">
        <v>262</v>
      </c>
      <c r="D3" s="44" t="s">
        <v>263</v>
      </c>
      <c r="E3" s="44" t="s">
        <v>119</v>
      </c>
      <c r="F3" s="44" t="s">
        <v>120</v>
      </c>
      <c r="G3" s="44" t="s">
        <v>121</v>
      </c>
      <c r="H3" s="44" t="s">
        <v>122</v>
      </c>
      <c r="I3" s="44" t="s">
        <v>123</v>
      </c>
      <c r="J3" s="3" t="s">
        <v>837</v>
      </c>
    </row>
    <row r="4" customFormat="false" ht="15" hidden="false" customHeight="false" outlineLevel="0" collapsed="false">
      <c r="A4" s="4" t="s">
        <v>838</v>
      </c>
      <c r="B4" s="71" t="b">
        <f aca="false">ABS(BS!B47)&lt;0.01</f>
        <v>1</v>
      </c>
      <c r="C4" s="71" t="b">
        <f aca="false">ABS(BS!C47)&lt;0.01</f>
        <v>1</v>
      </c>
      <c r="D4" s="71" t="b">
        <f aca="false">ABS(BS!D47)&lt;0.01</f>
        <v>1</v>
      </c>
      <c r="E4" s="71" t="b">
        <f aca="false">ABS(BS!E47)&lt;0.01</f>
        <v>1</v>
      </c>
      <c r="F4" s="71" t="b">
        <f aca="false">ABS(BS!F47)&lt;0.01</f>
        <v>1</v>
      </c>
      <c r="G4" s="71" t="b">
        <f aca="false">ABS(BS!G47)&lt;0.01</f>
        <v>1</v>
      </c>
      <c r="H4" s="71" t="b">
        <f aca="false">ABS(BS!H47)&lt;0.01</f>
        <v>1</v>
      </c>
      <c r="I4" s="71" t="b">
        <f aca="false">ABS(BS!I47)&lt;0.01</f>
        <v>1</v>
      </c>
      <c r="J4" s="28" t="s">
        <v>839</v>
      </c>
    </row>
    <row r="5" customFormat="false" ht="15" hidden="false" customHeight="false" outlineLevel="0" collapsed="false">
      <c r="A5" s="4" t="s">
        <v>840</v>
      </c>
      <c r="E5" s="71" t="b">
        <f aca="false">ABS(CF!E19-BS!E4)&lt;0.01</f>
        <v>1</v>
      </c>
      <c r="F5" s="71" t="b">
        <f aca="false">ABS(CF!F19-BS!F4)&lt;0.01</f>
        <v>1</v>
      </c>
      <c r="G5" s="71" t="b">
        <f aca="false">ABS(CF!G19-BS!G4)&lt;0.01</f>
        <v>1</v>
      </c>
      <c r="H5" s="71" t="b">
        <f aca="false">ABS(CF!H19-BS!H4)&lt;0.01</f>
        <v>1</v>
      </c>
      <c r="I5" s="71" t="b">
        <f aca="false">ABS(CF!I19-BS!I4)&lt;0.01</f>
        <v>1</v>
      </c>
      <c r="J5" s="28" t="s">
        <v>841</v>
      </c>
    </row>
    <row r="6" customFormat="false" ht="15" hidden="false" customHeight="false" outlineLevel="0" collapsed="false">
      <c r="A6" s="4" t="s">
        <v>842</v>
      </c>
      <c r="E6" s="71" t="b">
        <f aca="false">ABS(BS!E41-BS!D41-IS!E20+Schedules!E26+Equity_Roll!E9)&lt;0.01</f>
        <v>1</v>
      </c>
      <c r="F6" s="71" t="b">
        <f aca="false">ABS(BS!F41-BS!E41-IS!F20+Schedules!F26+Equity_Roll!F9)&lt;0.01</f>
        <v>1</v>
      </c>
      <c r="G6" s="71" t="b">
        <f aca="false">ABS(BS!G41-BS!F41-IS!G20+Schedules!G26+Equity_Roll!G9)&lt;0.01</f>
        <v>1</v>
      </c>
      <c r="H6" s="71" t="b">
        <f aca="false">ABS(BS!H41-BS!G41-IS!H20+Schedules!H26+Equity_Roll!H9)&lt;0.01</f>
        <v>1</v>
      </c>
      <c r="I6" s="71" t="b">
        <f aca="false">ABS(BS!I41-BS!H41-IS!I20+Schedules!I26+Equity_Roll!I9)&lt;0.01</f>
        <v>1</v>
      </c>
      <c r="J6" s="26" t="s">
        <v>843</v>
      </c>
    </row>
    <row r="7" customFormat="false" ht="15" hidden="false" customHeight="false" outlineLevel="0" collapsed="false">
      <c r="A7" s="4" t="s">
        <v>844</v>
      </c>
      <c r="B7" s="71" t="b">
        <f aca="false">ABS(IS!B4-Revenue_Segments!B29)&lt;0.01</f>
        <v>1</v>
      </c>
      <c r="C7" s="71" t="b">
        <f aca="false">ABS(IS!C4-Revenue_Segments!C29)&lt;0.01</f>
        <v>1</v>
      </c>
      <c r="D7" s="71" t="b">
        <f aca="false">ABS(IS!D4-Revenue_Segments!D29)&lt;0.01</f>
        <v>1</v>
      </c>
      <c r="E7" s="71" t="b">
        <f aca="false">ABS(IS!E4-Revenue_Segments!E29)&lt;0.01</f>
        <v>1</v>
      </c>
      <c r="F7" s="71" t="b">
        <f aca="false">ABS(IS!F4-Revenue_Segments!F29)&lt;0.01</f>
        <v>1</v>
      </c>
      <c r="G7" s="71" t="b">
        <f aca="false">ABS(IS!G4-Revenue_Segments!G29)&lt;0.01</f>
        <v>1</v>
      </c>
      <c r="H7" s="71" t="b">
        <f aca="false">ABS(IS!H4-Revenue_Segments!H29)&lt;0.01</f>
        <v>1</v>
      </c>
      <c r="I7" s="71" t="b">
        <f aca="false">ABS(IS!I4-Revenue_Segments!I29)&lt;0.01</f>
        <v>1</v>
      </c>
      <c r="J7" s="28" t="s">
        <v>845</v>
      </c>
    </row>
    <row r="8" customFormat="false" ht="15" hidden="false" customHeight="false" outlineLevel="0" collapsed="false">
      <c r="A8" s="4" t="s">
        <v>846</v>
      </c>
      <c r="B8" s="71" t="b">
        <f aca="false">AND(IS!B8&gt;0,IS!B8&lt;0.6)</f>
        <v>1</v>
      </c>
      <c r="C8" s="71" t="b">
        <f aca="false">AND(IS!C8&gt;0,IS!C8&lt;0.6)</f>
        <v>1</v>
      </c>
      <c r="D8" s="71" t="b">
        <f aca="false">AND(IS!D8&gt;0,IS!D8&lt;0.6)</f>
        <v>1</v>
      </c>
      <c r="E8" s="71" t="b">
        <f aca="false">AND(IS!E8&gt;0,IS!E8&lt;0.6)</f>
        <v>1</v>
      </c>
      <c r="F8" s="71" t="b">
        <f aca="false">AND(IS!F8&gt;0,IS!F8&lt;0.6)</f>
        <v>1</v>
      </c>
      <c r="G8" s="71" t="b">
        <f aca="false">AND(IS!G8&gt;0,IS!G8&lt;0.6)</f>
        <v>1</v>
      </c>
      <c r="H8" s="71" t="b">
        <f aca="false">AND(IS!H8&gt;0,IS!H8&lt;0.6)</f>
        <v>1</v>
      </c>
      <c r="I8" s="71" t="b">
        <f aca="false">AND(IS!I8&gt;0,IS!I8&lt;0.6)</f>
        <v>1</v>
      </c>
      <c r="J8" s="28" t="s">
        <v>847</v>
      </c>
    </row>
    <row r="9" customFormat="false" ht="15" hidden="false" customHeight="false" outlineLevel="0" collapsed="false">
      <c r="A9" s="4" t="s">
        <v>848</v>
      </c>
      <c r="B9" s="71" t="b">
        <f aca="false">DCF!D26&gt;0</f>
        <v>1</v>
      </c>
      <c r="J9" s="26" t="s">
        <v>849</v>
      </c>
    </row>
    <row r="10" customFormat="false" ht="15" hidden="false" customHeight="false" outlineLevel="0" collapsed="false">
      <c r="A10" s="4" t="s">
        <v>850</v>
      </c>
      <c r="B10" s="71" t="b">
        <f aca="false">ABS(Sensitivity!E8-DCF!D26)&lt;0.01</f>
        <v>1</v>
      </c>
      <c r="J10" s="28" t="s">
        <v>851</v>
      </c>
    </row>
    <row r="11" customFormat="false" ht="15" hidden="false" customHeight="false" outlineLevel="0" collapsed="false">
      <c r="A11" s="4" t="s">
        <v>852</v>
      </c>
      <c r="B11" s="71" t="b">
        <f aca="false">OR(ABS(Assumptions!C91-Assumptions!C89)&lt;0.000001,Assumptions!C90&lt;&gt;"")</f>
        <v>1</v>
      </c>
      <c r="J11" s="28" t="s">
        <v>853</v>
      </c>
    </row>
    <row r="12" customFormat="false" ht="15" hidden="false" customHeight="false" outlineLevel="0" collapsed="false">
      <c r="A12" s="4" t="s">
        <v>854</v>
      </c>
      <c r="E12" s="71" t="b">
        <f aca="false">BS!E4&gt;0.01</f>
        <v>1</v>
      </c>
      <c r="F12" s="71" t="b">
        <f aca="false">BS!F4&gt;0.01</f>
        <v>1</v>
      </c>
      <c r="G12" s="71" t="b">
        <f aca="false">BS!G4&gt;0.01</f>
        <v>1</v>
      </c>
      <c r="H12" s="71" t="b">
        <f aca="false">BS!H4&gt;0.01</f>
        <v>1</v>
      </c>
      <c r="I12" s="71" t="b">
        <f aca="false">BS!I4&gt;0.01</f>
        <v>1</v>
      </c>
      <c r="J12" s="26" t="s">
        <v>855</v>
      </c>
    </row>
    <row r="13" customFormat="false" ht="15" hidden="false" customHeight="false" outlineLevel="0" collapsed="false">
      <c r="A13" s="4" t="s">
        <v>856</v>
      </c>
      <c r="E13" s="71" t="b">
        <f aca="false">MIN(FIN!E24,FIN!E32,FIN!E42,FIN!E50)&gt;=-0.01</f>
        <v>1</v>
      </c>
      <c r="F13" s="71" t="b">
        <f aca="false">MIN(FIN!F24,FIN!F32,FIN!F42,FIN!F50)&gt;=-0.01</f>
        <v>1</v>
      </c>
      <c r="G13" s="71" t="b">
        <f aca="false">MIN(FIN!G24,FIN!G32,FIN!G42,FIN!G50)&gt;=-0.01</f>
        <v>1</v>
      </c>
      <c r="H13" s="71" t="b">
        <f aca="false">MIN(FIN!H24,FIN!H32,FIN!H42,FIN!H50)&gt;=-0.01</f>
        <v>1</v>
      </c>
      <c r="I13" s="71" t="b">
        <f aca="false">MIN(FIN!I24,FIN!I32,FIN!I42,FIN!I50)&gt;=-0.01</f>
        <v>1</v>
      </c>
      <c r="J13" s="26" t="s">
        <v>857</v>
      </c>
    </row>
    <row r="14" customFormat="false" ht="15" hidden="false" customHeight="false" outlineLevel="0" collapsed="false">
      <c r="A14" s="4" t="s">
        <v>858</v>
      </c>
      <c r="E14" s="71" t="b">
        <f aca="false">FIN!E139&lt;0.01</f>
        <v>1</v>
      </c>
      <c r="F14" s="71" t="b">
        <f aca="false">FIN!F139&lt;0.01</f>
        <v>1</v>
      </c>
      <c r="G14" s="71" t="b">
        <f aca="false">FIN!G139&lt;0.01</f>
        <v>1</v>
      </c>
      <c r="H14" s="71" t="b">
        <f aca="false">FIN!H139&lt;0.01</f>
        <v>1</v>
      </c>
      <c r="I14" s="71" t="b">
        <f aca="false">FIN!I139&lt;0.01</f>
        <v>1</v>
      </c>
      <c r="J14" s="28" t="s">
        <v>859</v>
      </c>
    </row>
    <row r="15" customFormat="false" ht="15" hidden="false" customHeight="false" outlineLevel="0" collapsed="false">
      <c r="A15" s="4" t="s">
        <v>860</v>
      </c>
      <c r="B15" s="71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J15" s="26" t="s">
        <v>861</v>
      </c>
    </row>
    <row r="16" customFormat="false" ht="15" hidden="false" customHeight="false" outlineLevel="0" collapsed="false">
      <c r="A16" s="4" t="s">
        <v>862</v>
      </c>
      <c r="B16" s="71" t="b">
        <f aca="false">AND(Scenarios!B12&lt;=Scenarios!B21,Scenarios!B21&lt;=Scenarios!B30,Scenarios!B13&lt;=Scenarios!B22,Scenarios!B22&lt;=Scenarios!B31)</f>
        <v>1</v>
      </c>
      <c r="J16" s="28" t="s">
        <v>863</v>
      </c>
    </row>
    <row r="18" customFormat="false" ht="15" hidden="false" customHeight="false" outlineLevel="0" collapsed="false">
      <c r="A18" s="5" t="s">
        <v>864</v>
      </c>
      <c r="E18" s="72" t="n">
        <f aca="false">PPE!E20</f>
        <v>0.162226732338728</v>
      </c>
      <c r="F18" s="72" t="n">
        <f aca="false">PPE!F20</f>
        <v>0.1432709892243</v>
      </c>
      <c r="G18" s="72" t="n">
        <f aca="false">PPE!G20</f>
        <v>0.1356267154591</v>
      </c>
      <c r="H18" s="72" t="n">
        <f aca="false">PPE!H20</f>
        <v>0.131889508814853</v>
      </c>
      <c r="I18" s="72" t="n">
        <f aca="false">PPE!I20</f>
        <v>0.129505370409207</v>
      </c>
      <c r="J18" s="28" t="s">
        <v>865</v>
      </c>
    </row>
    <row r="19" customFormat="false" ht="15" hidden="false" customHeight="false" outlineLevel="0" collapsed="false">
      <c r="A19" s="5" t="s">
        <v>866</v>
      </c>
      <c r="B19" s="19" t="n">
        <f aca="false">IS!E4/Assumptions!$C$12</f>
        <v>0.993078571509739</v>
      </c>
      <c r="J19" s="28" t="s">
        <v>867</v>
      </c>
    </row>
    <row r="20" customFormat="false" ht="15" hidden="false" customHeight="false" outlineLevel="0" collapsed="false">
      <c r="A20" s="5" t="s">
        <v>868</v>
      </c>
      <c r="B20" s="19" t="n">
        <f aca="false">IS!E20/Assumptions!$C$13</f>
        <v>0.912989867531981</v>
      </c>
    </row>
    <row r="21" customFormat="false" ht="15" hidden="false" customHeight="false" outlineLevel="0" collapsed="false">
      <c r="A21" s="5" t="s">
        <v>869</v>
      </c>
      <c r="B21" s="19" t="n">
        <f aca="false">Assumptions!C89</f>
        <v>0.0756195390944878</v>
      </c>
      <c r="C21" s="19" t="n">
        <f aca="false">Assumptions!C91</f>
        <v>0.0756195390944878</v>
      </c>
      <c r="J21" s="28" t="s">
        <v>870</v>
      </c>
    </row>
    <row r="22" customFormat="false" ht="15" hidden="false" customHeight="false" outlineLevel="0" collapsed="false">
      <c r="A22" s="5" t="s">
        <v>871</v>
      </c>
      <c r="B22" s="19" t="n">
        <f aca="false">FCFE!D20/DCF!D26</f>
        <v>0.956040669451912</v>
      </c>
      <c r="C22" s="8" t="n">
        <f aca="false">FCFE!D20</f>
        <v>325.450783525894</v>
      </c>
      <c r="J22" s="28" t="s">
        <v>872</v>
      </c>
    </row>
    <row r="23" customFormat="false" ht="15" hidden="false" customHeight="false" outlineLevel="0" collapsed="false">
      <c r="A23" s="5" t="s">
        <v>873</v>
      </c>
      <c r="B23" s="70" t="str">
        <f aca="false">IF(""&lt;&gt;"","WAIVED: ",IF(ABS(FCFE!D22)&gt;=0.3,"警告: 差异≥30%, 复核债务调度/资本结构/终值","通过: 差异&lt;30%"))</f>
        <v>通过: 差异&lt;30%</v>
      </c>
      <c r="J23" s="28" t="s">
        <v>874</v>
      </c>
    </row>
    <row r="24" customFormat="false" ht="15" hidden="false" customHeight="false" outlineLevel="0" collapsed="false">
      <c r="A24" s="5" t="s">
        <v>875</v>
      </c>
      <c r="B24" s="19" t="n">
        <f aca="false">Scenarios!B34/Scenarios!B35</f>
        <v>0.972499345242535</v>
      </c>
      <c r="C24" s="8" t="n">
        <f aca="false">Scenarios!B34</f>
        <v>340.415208186145</v>
      </c>
      <c r="J24" s="28" t="s">
        <v>876</v>
      </c>
    </row>
    <row r="25" customFormat="false" ht="15" hidden="false" customHeight="false" outlineLevel="0" collapsed="false">
      <c r="A25" s="5" t="s">
        <v>877</v>
      </c>
      <c r="B25" s="70" t="str">
        <f aca="false">IF(ABS(Scenarios!B36-1)&gt;=0.3,"警告: 桥接差异≥30%, 复核简化假设","通过: 桥接差异&lt;30%")</f>
        <v>通过: 桥接差异&lt;30%</v>
      </c>
      <c r="J25" s="28" t="s">
        <v>878</v>
      </c>
    </row>
    <row r="26" customFormat="false" ht="15" hidden="false" customHeight="false" outlineLevel="0" collapsed="false">
      <c r="A26" s="5" t="s">
        <v>879</v>
      </c>
      <c r="B26" s="9" t="n">
        <f aca="false">BS!I4</f>
        <v>1820.5042873184</v>
      </c>
      <c r="C26" s="9" t="n">
        <f aca="false">FIN!I13</f>
        <v>1820.5042873184</v>
      </c>
      <c r="J26" s="28" t="s">
        <v>880</v>
      </c>
    </row>
    <row r="28" customFormat="false" ht="30" hidden="false" customHeight="true" outlineLevel="0" collapsed="false">
      <c r="A28" s="73" t="s">
        <v>881</v>
      </c>
      <c r="B28" s="73"/>
      <c r="C28" s="73"/>
      <c r="D28" s="73"/>
      <c r="E28" s="73"/>
      <c r="F28" s="74" t="str">
        <f aca="false">IF(AND(B4:I4,E5:I5,E6:I6,B7:I7,B9,B10,B11,E12:I12,E13:I13,E14:I14,B15,B16),"全部通过=TRUE","存在未通过=FALSE")</f>
        <v>全部通过=TRUE</v>
      </c>
      <c r="G28" s="74"/>
      <c r="H28" s="74"/>
    </row>
    <row r="29" customFormat="false" ht="15" hidden="false" customHeight="false" outlineLevel="0" collapsed="false">
      <c r="A29" s="5" t="s">
        <v>882</v>
      </c>
      <c r="F29" s="54" t="b">
        <f aca="false">AND(B4:I4,E5:I5,E6:I6,B7:I7,B9,B10,B11,E12:I12,E13:I13,E14:I14,B15,B16)</f>
        <v>1</v>
      </c>
    </row>
  </sheetData>
  <mergeCells count="4">
    <mergeCell ref="A1:J1"/>
    <mergeCell ref="A2:J2"/>
    <mergeCell ref="A28:E28"/>
    <mergeCell ref="F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2026-08-18T06:00:10Z</dcterms:created>
  <dc:creator>openpyxl</dc:creator>
  <dc:description/>
  <dc:language>zh-CN</dc:language>
  <cp:lastModifiedBy/>
  <dcterms:modified xsi:type="dcterms:W3CDTF">2026-08-18T06:00:10Z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