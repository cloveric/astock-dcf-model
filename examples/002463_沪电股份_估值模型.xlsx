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_Segments" sheetId="4" state="visible" r:id="rId4"/>
    <sheet xmlns:r="http://schemas.openxmlformats.org/officeDocument/2006/relationships" name="IS" sheetId="5" state="visible" r:id="rId5"/>
    <sheet xmlns:r="http://schemas.openxmlformats.org/officeDocument/2006/relationships" name="BS" sheetId="6" state="visible" r:id="rId6"/>
    <sheet xmlns:r="http://schemas.openxmlformats.org/officeDocument/2006/relationships" name="CF" sheetId="7" state="visible" r:id="rId7"/>
    <sheet xmlns:r="http://schemas.openxmlformats.org/officeDocument/2006/relationships" name="Schedules" sheetId="8" state="visible" r:id="rId8"/>
    <sheet xmlns:r="http://schemas.openxmlformats.org/officeDocument/2006/relationships" name="PPE" sheetId="9" state="visible" r:id="rId9"/>
    <sheet xmlns:r="http://schemas.openxmlformats.org/officeDocument/2006/relationships" name="FIN" sheetId="10" state="visible" r:id="rId10"/>
    <sheet xmlns:r="http://schemas.openxmlformats.org/officeDocument/2006/relationships" name="Equity_Roll" sheetId="11" state="visible" r:id="rId11"/>
    <sheet xmlns:r="http://schemas.openxmlformats.org/officeDocument/2006/relationships" name="DCF" sheetId="12" state="visible" r:id="rId12"/>
    <sheet xmlns:r="http://schemas.openxmlformats.org/officeDocument/2006/relationships" name="FCFE" sheetId="13" state="visible" r:id="rId13"/>
    <sheet xmlns:r="http://schemas.openxmlformats.org/officeDocument/2006/relationships" name="Relative_Val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Checks" sheetId="17" state="visible" r:id="rId17"/>
  </sheets>
  <definedNames>
    <definedName name="SCEN_SWITCH">Assumptions!$C$5</definedName>
    <definedName name="WACC_USED">Assumptions!$C$87</definedName>
    <definedName name="WACC_CALC">Assumptions!$C$85</definedName>
    <definedName name="TERM_G">Assumptions!$C$88</definedName>
    <definedName name="KE">Assumptions!$C$83</definedName>
    <definedName name="KD">Assumptions!$C$84</definedName>
    <definedName name="RF_RATE">Assumptions!$C$76</definedName>
    <definedName name="ERP">Assumptions!$C$77</definedName>
    <definedName name="BETA_U">Assumptions!$C$78</definedName>
    <definedName name="TAX_RATE_Y1">Assumptions!$C$37</definedName>
    <definedName name="PAYOUT_Y1">Assumptions!$C$58</definedName>
    <definedName name="MIN_CASH_PCT">Assumptions!$C$62</definedName>
    <definedName name="SHARES_DIL">Equity_Roll!$C$21</definedName>
    <definedName name="DCF_PS">DCF!$D$26</definedName>
    <definedName name="FCFE_PS">FCFE!$D$20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color rgb="FF1E7A1E"/>
      <sz val="9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8" fillId="0" borderId="0" applyAlignment="1" pivotButton="0" quotePrefix="0" xfId="0">
      <alignment vertical="center" wrapText="1"/>
    </xf>
    <xf numFmtId="0" fontId="19" fillId="0" borderId="0" pivotButton="0" quotePrefix="0" xfId="0"/>
    <xf numFmtId="0" fontId="5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11" fillId="0" borderId="0" pivotButton="0" quotePrefix="0" xfId="0"/>
    <xf numFmtId="164" fontId="8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2" fontId="6" fillId="0" borderId="0" pivotButton="0" quotePrefix="0" xfId="0"/>
    <xf numFmtId="170" fontId="8" fillId="0" borderId="0" pivotButton="0" quotePrefix="0" xfId="0"/>
    <xf numFmtId="166" fontId="8" fillId="4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2" fillId="0" borderId="0" pivotButton="0" quotePrefix="0" xfId="0"/>
    <xf numFmtId="165" fontId="12" fillId="0" borderId="0" pivotButton="0" quotePrefix="0" xfId="0"/>
    <xf numFmtId="3" fontId="12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沪电股份 (002463.SZ) — 机构级估值模型</t>
        </is>
      </c>
    </row>
    <row r="3">
      <c r="B3" s="2" t="inlineStr">
        <is>
          <t>AI服务器/交换机PCB核心供应商 | 企业通讯板+汽车板 | 外销为主(82%)</t>
        </is>
      </c>
    </row>
    <row r="5">
      <c r="B5" s="3" t="inlineStr">
        <is>
          <t>模型构建日期</t>
        </is>
      </c>
      <c r="C5" s="4" t="inlineStr">
        <is>
          <t>2026-08-17 (行情基准日: 2026-08-17收盘;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人民币 / 百万元 (每股数据为元)</t>
        </is>
      </c>
    </row>
    <row r="7">
      <c r="B7" s="3" t="inlineStr">
        <is>
          <t>颜色规范</t>
        </is>
      </c>
      <c r="C7" s="4" t="inlineStr">
        <is>
          <t>蓝色=输入/假设 | 黑色=公式 | 绿色=外部数据/链接 | 红色=警告</t>
        </is>
      </c>
    </row>
    <row r="8" ht="30" customHeight="1">
      <c r="B8" s="3" t="inlineStr">
        <is>
          <t>✓ 迭代展开(无循环引用)</t>
        </is>
      </c>
      <c r="C8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9">
      <c r="B9" s="3" t="inlineStr"/>
      <c r="C9" s="4" t="inlineStr"/>
    </row>
    <row r="10">
      <c r="B10" s="6" t="inlineStr">
        <is>
          <t>—— 关键市场数据 ——</t>
        </is>
      </c>
    </row>
    <row r="11">
      <c r="B11" s="3" t="inlineStr">
        <is>
          <t>现价 (元)</t>
        </is>
      </c>
      <c r="C11" s="4">
        <f>Assumptions!C7</f>
        <v/>
      </c>
    </row>
    <row r="12">
      <c r="B12" s="3" t="inlineStr">
        <is>
          <t>总股本 (百万股)</t>
        </is>
      </c>
      <c r="C12" s="4">
        <f>Assumptions!C8</f>
        <v/>
      </c>
    </row>
    <row r="13">
      <c r="B13" s="3" t="inlineStr">
        <is>
          <t>总市值 (百万元)</t>
        </is>
      </c>
      <c r="C13" s="4">
        <f>Assumptions!C9</f>
        <v/>
      </c>
    </row>
    <row r="14">
      <c r="B14" s="3" t="inlineStr">
        <is>
          <t>一致预期 2026E 营收/归母 (百万)</t>
        </is>
      </c>
      <c r="C14" s="4">
        <f>"营收"&amp;TEXT(Assumptions!C12,"#,##0")&amp;" / 归母"&amp;TEXT(Assumptions!C13,"#,##0")&amp;" (gildata/聚源一致预期(2026-08-16): 263.8亿(+39.3%)/384.1亿(+45.6%)/544.1亿)"</f>
        <v/>
      </c>
    </row>
    <row r="15">
      <c r="B15" s="3" t="inlineStr"/>
      <c r="C15" s="4" t="inlineStr"/>
    </row>
    <row r="16">
      <c r="B16" s="6" t="inlineStr">
        <is>
          <t>—— 模型输出 (随情景开关联动) ——</t>
        </is>
      </c>
    </row>
    <row r="17">
      <c r="B17" s="3" t="inlineStr">
        <is>
          <t>当前情景</t>
        </is>
      </c>
      <c r="C17" s="4">
        <f>Scenarios!C3</f>
        <v/>
      </c>
    </row>
    <row r="18">
      <c r="B18" s="3" t="inlineStr">
        <is>
          <t>模型2026E营收 (百万)</t>
        </is>
      </c>
      <c r="C18" s="4">
        <f>IS!E4</f>
        <v/>
      </c>
    </row>
    <row r="19">
      <c r="B19" s="3" t="inlineStr">
        <is>
          <t>模型2026E归母 (百万)</t>
        </is>
      </c>
      <c r="C19" s="4">
        <f>IS!E20</f>
        <v/>
      </c>
    </row>
    <row r="20">
      <c r="B20" s="3" t="inlineStr">
        <is>
          <t>WACC 计算值/采用值</t>
        </is>
      </c>
      <c r="C20" s="4">
        <f>TEXT(Assumptions!C85,"0.00%")&amp;" / "&amp;TEXT(Assumptions!C87,"0.00%")</f>
        <v/>
      </c>
    </row>
    <row r="21">
      <c r="B21" s="3" t="inlineStr">
        <is>
          <t>DCF每股价值-基准 (元)</t>
        </is>
      </c>
      <c r="C21" s="4">
        <f>DCF!D26</f>
        <v/>
      </c>
    </row>
    <row r="22">
      <c r="B22" s="3" t="inlineStr">
        <is>
          <t>DCF每股-熊/基/牛 (元)</t>
        </is>
      </c>
      <c r="C22" s="4">
        <f>TEXT(Scenarios!B12,"0.00")&amp;" / "&amp;TEXT(Scenarios!B21,"0.00")&amp;" / "&amp;TEXT(Scenarios!B31,"0.00")</f>
        <v/>
      </c>
    </row>
    <row r="23">
      <c r="B23" s="3" t="inlineStr">
        <is>
          <t>相对估值区间 (元)</t>
        </is>
      </c>
      <c r="C23" s="4">
        <f>TEXT(Relative_Val!C16,"0.00")&amp;" ~ "&amp;TEXT(Relative_Val!C17,"0.00")</f>
        <v/>
      </c>
    </row>
    <row r="24">
      <c r="B24" s="3" t="inlineStr">
        <is>
          <t>综合参考区间 (元, Summary页)</t>
        </is>
      </c>
      <c r="C24" s="4">
        <f>TEXT(Summary!C12,"0.00")&amp;" ~ "&amp;TEXT(Summary!D12,"0.00")</f>
        <v/>
      </c>
    </row>
    <row r="25">
      <c r="B25" s="3" t="inlineStr">
        <is>
          <t>Checks校验</t>
        </is>
      </c>
      <c r="C25" s="4">
        <f>Checks!F24</f>
        <v/>
      </c>
    </row>
    <row r="27">
      <c r="B27" s="6" t="inlineStr">
        <is>
          <t>—— 关键建模处理 (分析师注记) ——</t>
        </is>
      </c>
    </row>
    <row r="28" ht="40" customHeight="1">
      <c r="B28" s="7" t="inlineStr">
        <is>
          <t>1. FIN页债务调度: 资金缺口=MAX(0,期初现金+经营CF+投资CF+计划分红+计划还款+利息-最低现金)→revolver新增借款; 超额现金先sweep偿还短借/长借, 债务清零后溢出购买理财(交易性金融资产); 货币资金=最低现金(收入×2%), 杜绝"高现金+高借款"并存;</t>
        </is>
      </c>
    </row>
    <row r="29" ht="40" customHeight="1">
      <c r="B29" s="7" t="inlineStr">
        <is>
          <t>2. 利息=四档债务各自(期初+期末)/2平均余额×分档利率; 该循环依赖已在FIN页"迭代展开"区表内展开4轮(与外部不动点法同构且实测6轮内收敛至1e-8, 4轮充足), 末轮输出供IS/CF/BS引用; 全簿无循环引用, 无需开启迭代计算, LibreOffice headless可直接重算验收;</t>
        </is>
      </c>
    </row>
    <row r="30" ht="40" customHeight="1">
      <c r="B30" s="7" t="inlineStr">
        <is>
          <t>3. BS配平项由货币资金改为FIN页revolver新增借款/现金sweep; 历史尾差已并入"其他权益项目(轧差)"清零, 配平差额全期恒=0(容差0.01);</t>
        </is>
      </c>
    </row>
    <row r="31" ht="40" customHeight="1">
      <c r="B31" s="7" t="inlineStr">
        <is>
          <t>4. WACC做实: 可比公司βl按各自D/E与税率unlever取中位数(Relative_Val页L-O列), 按公司市值口径目标结构relever; Wd=最近年报末有息负债/(有息负债+总市值); 采用值=IF(override="",计算值,override), 下游全部引用采用值;</t>
        </is>
      </c>
    </row>
    <row r="32" ht="40" customHeight="1">
      <c r="B32" s="7" t="inlineStr">
        <is>
          <t>5. DCF年中折现: 估值基准日2026-08-17, t=0.5/1.5/.../4.5; EV→Equity桥含货币资金/交易性金融资产/其他权益工具投资/有息负债/少数股东权益;</t>
        </is>
      </c>
    </row>
    <row r="33" ht="26" customHeight="1">
      <c r="B33" s="7" t="inlineStr">
        <is>
          <t>6. CF口径: 利息支出经营活动加回、筹资活动列"偿付利息"; 投资活动含"理财净变动"行;</t>
        </is>
      </c>
    </row>
    <row r="34" ht="40" customHeight="1">
      <c r="B34" s="7" t="inlineStr">
        <is>
          <t>7. 权益滚动: Equity_Roll页逐项滚动, 盈余公积按归母计提; 稀释股数=总股本+稀释工具占位; Summary页为football field区间汇总;</t>
        </is>
      </c>
    </row>
    <row r="35" ht="26" customHeight="1">
      <c r="B35" s="7" t="inlineStr">
        <is>
          <t>8. 预测期资产减值/投资收益等非经常项简化为固定小额(Assumptions"其他经营损益"), 以保证三表严格配平;</t>
        </is>
      </c>
    </row>
    <row r="36" ht="40" customHeight="1">
      <c r="B36" s="7" t="inlineStr">
        <is>
          <t>9. 分产品历史收入=产品占比×总收入; 预测按"量×价"驱动并受情景开关调整; 预测期(2026E-2030E)所有单元格均为公式, 硬编码仅限历史实际值(绿色)与蓝色假设输入;</t>
        </is>
      </c>
    </row>
    <row r="38">
      <c r="B38" s="6" t="inlineStr">
        <is>
          <t>—— 数据来源 ——</t>
        </is>
      </c>
    </row>
    <row r="39" ht="24" customHeight="1">
      <c r="B39" s="8" t="inlineStr">
        <is>
          <t>历史三表: 东方财富F10 (2023A-2025A年报); 分产品结构: 东财F10主营构成/招股书/券商深度报告(以配置"依据"字段为准);</t>
        </is>
      </c>
    </row>
    <row r="40" ht="24" customHeight="1">
      <c r="B40" s="8" t="inlineStr">
        <is>
          <t>一致预期: gildata/聚源一致预期(2026-08-16): 263.8亿(+39.3%)/384.1亿(+45.6%)/544.1亿; 行情与可比: 腾讯行情(2026-08-17);</t>
        </is>
      </c>
    </row>
    <row r="41" ht="24" customHeight="1">
      <c r="B41" s="8" t="inlineStr">
        <is>
          <t>可比公司βl/D/E: 分析师输入(参考行情终端β区间与各公司最新年报杠杆), 可按终端数据更新.</t>
        </is>
      </c>
    </row>
    <row r="43">
      <c r="B43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4"/>
    <row r="45"/>
  </sheetData>
  <mergeCells count="20">
    <mergeCell ref="B40:H40"/>
    <mergeCell ref="B30:H30"/>
    <mergeCell ref="B33:H33"/>
    <mergeCell ref="B36:H36"/>
    <mergeCell ref="B32:H32"/>
    <mergeCell ref="B41:H41"/>
    <mergeCell ref="B35:H35"/>
    <mergeCell ref="B16:H16"/>
    <mergeCell ref="C8:H8"/>
    <mergeCell ref="B3:H3"/>
    <mergeCell ref="B31:H31"/>
    <mergeCell ref="B27:H27"/>
    <mergeCell ref="B39:H39"/>
    <mergeCell ref="B43:H45"/>
    <mergeCell ref="B2:H2"/>
    <mergeCell ref="B38:H38"/>
    <mergeCell ref="B29:H29"/>
    <mergeCell ref="B10:H10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沪电股份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DCF!D26</f>
        <v/>
      </c>
      <c r="D5" s="14">
        <f>DCF!D26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30x ~ 可比中位</t>
        </is>
      </c>
      <c r="C8" s="14">
        <f>Relative_Val!C16</f>
        <v/>
      </c>
      <c r="D8" s="14">
        <f>Relative_Val!C17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30x ~ 可比中位</t>
        </is>
      </c>
      <c r="C9" s="14">
        <f>Relative_Val!C18</f>
        <v/>
      </c>
      <c r="D9" s="14">
        <f>Relative_Val!D18</f>
        <v/>
      </c>
      <c r="E9" s="15">
        <f>(C9+D9)/2</f>
        <v/>
      </c>
      <c r="F9" s="16">
        <f>E9/Assumptions!$C$7-1</f>
        <v/>
      </c>
      <c r="G9" s="9" t="inlineStr">
        <is>
          <t>一致预期57.4亿×目标PE带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FCFE!D20</f>
        <v/>
      </c>
      <c r="D10" s="14">
        <f>FCFE!D20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(2026-08-17)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沪电股份(002463.SZ) — Assumptions 驱动总表</t>
        </is>
      </c>
    </row>
    <row r="2" ht="14" customHeight="1">
      <c r="A2" s="11" t="inlineStr">
        <is>
          <t>单位: 人民币百万元(除标注外) | 蓝色=输入/假设, 绿色=外部数据, 黑色=公式 | 数据日期: 2026-08-17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2026-08-17</t>
        </is>
      </c>
      <c r="H6" s="11" t="inlineStr">
        <is>
          <t>现价与可比公司市值均为2026-08-17收盘(腾讯行情);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123.53</v>
      </c>
      <c r="H7" s="9" t="inlineStr">
        <is>
          <t>2026-08-17腾讯行情(qt.gtimg.cn)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1924.4</v>
      </c>
      <c r="H8" s="9" t="inlineStr">
        <is>
          <t>总市值2377.2亿/现价(腾讯行情 2026-08-17)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约2377亿元,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26383.1</v>
      </c>
      <c r="H12" s="9" t="inlineStr">
        <is>
          <t>gildata/聚源一致预期(2026-08-16): 263.8亿(+39.3%)/384.1亿(+45.6%)/544.1亿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5740.2</v>
      </c>
      <c r="H13" s="9" t="inlineStr">
        <is>
          <t>gildata/聚源(2026-08-16): 57.4亿(+50.2%)/88.3亿(+53.9%)/131.0亿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38408.8</v>
      </c>
      <c r="H14" s="9" t="inlineStr">
        <is>
          <t>gildata/聚源一致预期(2026-08-16): 263.8亿(+39.3%)/384.1亿(+45.6%)/544.1亿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8833.799999999999</v>
      </c>
      <c r="H15" s="9" t="inlineStr">
        <is>
          <t>gildata/聚源(2026-08-16): 57.4亿(+50.2%)/88.3亿(+53.9%)/131.0亿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54413</v>
      </c>
      <c r="H16" s="9" t="inlineStr">
        <is>
          <t>gildata/聚源一致预期(2026-08-16): 263.8亿(+39.3%)/384.1亿(+45.6%)/544.1亿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13098.5</v>
      </c>
      <c r="H17" s="9" t="inlineStr">
        <is>
          <t>gildata/聚源(2026-08-16): 57.4亿(+50.2%)/88.3亿(+53.9%)/131.0亿</t>
        </is>
      </c>
    </row>
    <row r="18">
      <c r="A18" s="4" t="inlineStr">
        <is>
          <t>2026Q1实际营收</t>
        </is>
      </c>
      <c r="B18" s="21" t="inlineStr">
        <is>
          <t>百万</t>
        </is>
      </c>
      <c r="C18" s="25" t="n">
        <v>6214.2</v>
      </c>
      <c r="H18" s="9" t="inlineStr">
        <is>
          <t>东财F10一季报: 62.14亿(+53.9%)</t>
        </is>
      </c>
    </row>
    <row r="19">
      <c r="A19" s="4" t="inlineStr">
        <is>
          <t>2026Q1实际归母净利</t>
        </is>
      </c>
      <c r="B19" s="21" t="inlineStr">
        <is>
          <t>百万</t>
        </is>
      </c>
      <c r="C19" s="25" t="n">
        <v>1242.1</v>
      </c>
      <c r="H19" s="9" t="inlineStr">
        <is>
          <t>东财F10一季报: 12.42亿(+62.9%)</t>
        </is>
      </c>
    </row>
    <row r="21" ht="16" customHeight="1">
      <c r="A21" s="19" t="inlineStr">
        <is>
          <t>三、分部收入驱动 — 量/价增速 (蓝色输入, 2026E-2030E)</t>
        </is>
      </c>
    </row>
    <row r="22">
      <c r="A22" s="3" t="inlineStr">
        <is>
          <t>年份</t>
        </is>
      </c>
      <c r="C22" s="27" t="inlineStr">
        <is>
          <t>2026E</t>
        </is>
      </c>
      <c r="D22" s="27" t="inlineStr">
        <is>
          <t>2027E</t>
        </is>
      </c>
      <c r="E22" s="27" t="inlineStr">
        <is>
          <t>2028E</t>
        </is>
      </c>
      <c r="F22" s="27" t="inlineStr">
        <is>
          <t>2029E</t>
        </is>
      </c>
      <c r="G22" s="27" t="inlineStr">
        <is>
          <t>2030E</t>
        </is>
      </c>
      <c r="H22" s="3" t="inlineStr">
        <is>
          <t>假设依据 / 来源</t>
        </is>
      </c>
    </row>
    <row r="23">
      <c r="A23" s="4" t="inlineStr">
        <is>
          <t>PCB 收入增速</t>
        </is>
      </c>
      <c r="B23" s="21" t="inlineStr">
        <is>
          <t>%</t>
        </is>
      </c>
      <c r="C23" s="28" t="n">
        <v>0.4</v>
      </c>
      <c r="D23" s="28" t="n">
        <v>0.45</v>
      </c>
      <c r="E23" s="28" t="n">
        <v>0.42</v>
      </c>
      <c r="F23" s="28" t="n">
        <v>0.26</v>
      </c>
      <c r="G23" s="28" t="n">
        <v>0.17</v>
      </c>
      <c r="H23" s="9" t="inlineStr">
        <is>
          <t>锚定gildata/聚源一致预期(2026-08-16)总收入: 2026E+39.3%/2027E+45.6%/2028E+41.7%; AI服务器/交换机PCB高景气+泰国/黄石扩产, 2029-30E退坡; 2026Q1营收+53.9%验证</t>
        </is>
      </c>
    </row>
    <row r="24">
      <c r="A24" s="4" t="inlineStr">
        <is>
          <t>其他 收入增速</t>
        </is>
      </c>
      <c r="B24" s="21" t="inlineStr">
        <is>
          <t>%</t>
        </is>
      </c>
      <c r="C24" s="28" t="n">
        <v>0.1</v>
      </c>
      <c r="D24" s="28" t="n">
        <v>0.1</v>
      </c>
      <c r="E24" s="28" t="n">
        <v>0.08</v>
      </c>
      <c r="F24" s="28" t="n">
        <v>0.06</v>
      </c>
      <c r="G24" s="28" t="n">
        <v>0.05</v>
      </c>
      <c r="H24" s="9" t="inlineStr">
        <is>
          <t>销售材料/租金等补充业务, 低增长假设</t>
        </is>
      </c>
    </row>
    <row r="26" ht="16" customHeight="1">
      <c r="A26" s="19" t="inlineStr">
        <is>
          <t>四、分部毛利率 (蓝色输入)</t>
        </is>
      </c>
    </row>
    <row r="27">
      <c r="A27" s="4" t="inlineStr">
        <is>
          <t>PCB 毛利率</t>
        </is>
      </c>
      <c r="B27" s="21" t="inlineStr">
        <is>
          <t>%</t>
        </is>
      </c>
      <c r="C27" s="28" t="n">
        <v>0.372</v>
      </c>
      <c r="D27" s="28" t="n">
        <v>0.38</v>
      </c>
      <c r="E27" s="28" t="n">
        <v>0.385</v>
      </c>
      <c r="F27" s="28" t="n">
        <v>0.38</v>
      </c>
      <c r="G27" s="28" t="n">
        <v>0.375</v>
      </c>
      <c r="H27" s="9" t="inlineStr">
        <is>
          <t>一致预期综合毛利率2026E 36.9%/2027E 37.9%/2028E 38.8%; 高多层/HDI结构升级+涨价, 后两年竞争加剧缓降</t>
        </is>
      </c>
    </row>
    <row r="28">
      <c r="A28" s="4" t="inlineStr">
        <is>
          <t>其他 毛利率</t>
        </is>
      </c>
      <c r="B28" s="21" t="inlineStr">
        <is>
          <t>%</t>
        </is>
      </c>
      <c r="C28" s="28" t="n">
        <v>0.0288</v>
      </c>
      <c r="D28" s="28" t="n">
        <v>0.0288</v>
      </c>
      <c r="E28" s="28" t="n">
        <v>0.0288</v>
      </c>
      <c r="F28" s="28" t="n">
        <v>0.0288</v>
      </c>
      <c r="G28" s="28" t="n">
        <v>0.0288</v>
      </c>
      <c r="H28" s="9" t="inlineStr">
        <is>
          <t>2025年报其他(补充)毛利率2.9%持平</t>
        </is>
      </c>
    </row>
    <row r="30" ht="16" customHeight="1">
      <c r="A30" s="19" t="inlineStr">
        <is>
          <t>五、费用率 / 其他损益 / 税率</t>
        </is>
      </c>
    </row>
    <row r="31">
      <c r="A31" s="4" t="inlineStr">
        <is>
          <t>税金及附加率</t>
        </is>
      </c>
      <c r="B31" s="21" t="inlineStr">
        <is>
          <t>%</t>
        </is>
      </c>
      <c r="C31" s="28" t="n">
        <v>0.0059</v>
      </c>
      <c r="D31" s="28" t="n">
        <v>0.0059</v>
      </c>
      <c r="E31" s="28" t="n">
        <v>0.0059</v>
      </c>
      <c r="F31" s="28" t="n">
        <v>0.0059</v>
      </c>
      <c r="G31" s="28" t="n">
        <v>0.0059</v>
      </c>
      <c r="H31" s="9" t="inlineStr">
        <is>
          <t>自动推导: 最近年报税金及附加率0.59%持平</t>
        </is>
      </c>
    </row>
    <row r="32">
      <c r="A32" s="4" t="inlineStr">
        <is>
          <t>销售费用率</t>
        </is>
      </c>
      <c r="B32" s="21" t="inlineStr">
        <is>
          <t>%</t>
        </is>
      </c>
      <c r="C32" s="28" t="n">
        <v>0.028</v>
      </c>
      <c r="D32" s="28" t="n">
        <v>0.028</v>
      </c>
      <c r="E32" s="28" t="n">
        <v>0.028</v>
      </c>
      <c r="F32" s="28" t="n">
        <v>0.028</v>
      </c>
      <c r="G32" s="28" t="n">
        <v>0.028</v>
      </c>
      <c r="H32" s="9" t="inlineStr">
        <is>
          <t>自动推导: 最近年报销售费用率持平</t>
        </is>
      </c>
    </row>
    <row r="33">
      <c r="A33" s="4" t="inlineStr">
        <is>
          <t>管理费用率</t>
        </is>
      </c>
      <c r="B33" s="21" t="inlineStr">
        <is>
          <t>%</t>
        </is>
      </c>
      <c r="C33" s="28" t="n">
        <v>0.0222</v>
      </c>
      <c r="D33" s="28" t="n">
        <v>0.0222</v>
      </c>
      <c r="E33" s="28" t="n">
        <v>0.0222</v>
      </c>
      <c r="F33" s="28" t="n">
        <v>0.0222</v>
      </c>
      <c r="G33" s="28" t="n">
        <v>0.0222</v>
      </c>
      <c r="H33" s="9" t="inlineStr">
        <is>
          <t>自动推导: 最近年报管理费用率持平</t>
        </is>
      </c>
    </row>
    <row r="34">
      <c r="A34" s="4" t="inlineStr">
        <is>
          <t>研发费用率</t>
        </is>
      </c>
      <c r="B34" s="21" t="inlineStr">
        <is>
          <t>%</t>
        </is>
      </c>
      <c r="C34" s="28" t="n">
        <v>0.0602</v>
      </c>
      <c r="D34" s="28" t="n">
        <v>0.0602</v>
      </c>
      <c r="E34" s="28" t="n">
        <v>0.0602</v>
      </c>
      <c r="F34" s="28" t="n">
        <v>0.0602</v>
      </c>
      <c r="G34" s="28" t="n">
        <v>0.0602</v>
      </c>
      <c r="H34" s="9" t="inlineStr">
        <is>
          <t>自动推导: 最近年报研发费用率持平</t>
        </is>
      </c>
    </row>
    <row r="35">
      <c r="A35" s="4" t="inlineStr">
        <is>
          <t>其他经营损益</t>
        </is>
      </c>
      <c r="B35" s="21" t="inlineStr">
        <is>
          <t>百万</t>
        </is>
      </c>
      <c r="C35" s="29" t="n">
        <v>-174.6</v>
      </c>
      <c r="D35" s="29" t="n">
        <v>-174.6</v>
      </c>
      <c r="E35" s="29" t="n">
        <v>-174.6</v>
      </c>
      <c r="F35" s="29" t="n">
        <v>-174.6</v>
      </c>
      <c r="G35" s="29" t="n">
        <v>-174.6</v>
      </c>
      <c r="H35" s="9" t="inlineStr">
        <is>
          <t>自动推导: 最近年报其他经营损益(轧差项)持平</t>
        </is>
      </c>
    </row>
    <row r="36">
      <c r="A36" s="4" t="inlineStr">
        <is>
          <t>营业外收支净额</t>
        </is>
      </c>
      <c r="B36" s="21" t="inlineStr">
        <is>
          <t>百万</t>
        </is>
      </c>
      <c r="C36" s="29" t="n">
        <v>-12.6</v>
      </c>
      <c r="D36" s="29" t="n">
        <v>-12.6</v>
      </c>
      <c r="E36" s="29" t="n">
        <v>-12.6</v>
      </c>
      <c r="F36" s="29" t="n">
        <v>-12.6</v>
      </c>
      <c r="G36" s="29" t="n">
        <v>-12.6</v>
      </c>
      <c r="H36" s="9" t="inlineStr">
        <is>
          <t>自动推导: 最近年报营业外收支净额持平</t>
        </is>
      </c>
    </row>
    <row r="37">
      <c r="A37" s="4" t="inlineStr">
        <is>
          <t>有效税率</t>
        </is>
      </c>
      <c r="B37" s="21" t="inlineStr">
        <is>
          <t>%</t>
        </is>
      </c>
      <c r="C37" s="28" t="n">
        <v>0.1317</v>
      </c>
      <c r="D37" s="28" t="n">
        <v>0.1317</v>
      </c>
      <c r="E37" s="28" t="n">
        <v>0.1317</v>
      </c>
      <c r="F37" s="28" t="n">
        <v>0.1317</v>
      </c>
      <c r="G37" s="28" t="n">
        <v>0.1317</v>
      </c>
      <c r="H37" s="9" t="inlineStr">
        <is>
          <t>自动推导: 最近年报有效税率13.2%(截断[5%,25%])持平</t>
        </is>
      </c>
    </row>
    <row r="38">
      <c r="A38" s="4" t="inlineStr">
        <is>
          <t>少数股东损益占净利润比</t>
        </is>
      </c>
      <c r="B38" s="21" t="inlineStr">
        <is>
          <t>%</t>
        </is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9" t="inlineStr">
        <is>
          <t>按历史均值自动推导: (合并净利-归母)/合并净利 3年均值-0.82%, clamp[0,50%]→采用0.00%; config可经model.mi_share覆盖</t>
        </is>
      </c>
    </row>
    <row r="39">
      <c r="A39" s="4" t="inlineStr">
        <is>
          <t>其他及财务费用率合计(情景页用)</t>
        </is>
      </c>
      <c r="B39" s="21" t="inlineStr">
        <is>
          <t>%</t>
        </is>
      </c>
      <c r="C39" s="28" t="n">
        <v>-0.0036</v>
      </c>
      <c r="H39" s="9" t="inlineStr">
        <is>
          <t>自动推导: 最近年报财务费用率, 供Scenarios页简化净利率计算</t>
        </is>
      </c>
    </row>
    <row r="41" ht="16" customHeight="1">
      <c r="A41" s="19" t="inlineStr">
        <is>
          <t>六、营运资本天数</t>
        </is>
      </c>
    </row>
    <row r="42">
      <c r="A42" s="4" t="inlineStr">
        <is>
          <t>DSO 应收(票据+账款)天数</t>
        </is>
      </c>
      <c r="B42" s="21" t="inlineStr">
        <is>
          <t>天</t>
        </is>
      </c>
      <c r="C42" s="30" t="n">
        <v>106</v>
      </c>
      <c r="D42" s="30" t="n">
        <v>106</v>
      </c>
      <c r="E42" s="30" t="n">
        <v>106</v>
      </c>
      <c r="F42" s="30" t="n">
        <v>106</v>
      </c>
      <c r="G42" s="30" t="n">
        <v>106</v>
      </c>
      <c r="H42" s="9" t="inlineStr">
        <is>
          <t>自动推导: 最近年报DSO 106天持平</t>
        </is>
      </c>
    </row>
    <row r="43">
      <c r="A43" s="4" t="inlineStr">
        <is>
          <t>DIO 存货天数</t>
        </is>
      </c>
      <c r="B43" s="21" t="inlineStr">
        <is>
          <t>天</t>
        </is>
      </c>
      <c r="C43" s="30" t="n">
        <v>127</v>
      </c>
      <c r="D43" s="30" t="n">
        <v>127</v>
      </c>
      <c r="E43" s="30" t="n">
        <v>127</v>
      </c>
      <c r="F43" s="30" t="n">
        <v>127</v>
      </c>
      <c r="G43" s="30" t="n">
        <v>127</v>
      </c>
      <c r="H43" s="9" t="inlineStr">
        <is>
          <t>自动推导: 最近年报DIO 127天持平</t>
        </is>
      </c>
    </row>
    <row r="44">
      <c r="A44" s="4" t="inlineStr">
        <is>
          <t>DPO 应付(票据+账款)天数</t>
        </is>
      </c>
      <c r="B44" s="21" t="inlineStr">
        <is>
          <t>天</t>
        </is>
      </c>
      <c r="C44" s="30" t="n">
        <v>198</v>
      </c>
      <c r="D44" s="30" t="n">
        <v>198</v>
      </c>
      <c r="E44" s="30" t="n">
        <v>198</v>
      </c>
      <c r="F44" s="30" t="n">
        <v>198</v>
      </c>
      <c r="G44" s="30" t="n">
        <v>198</v>
      </c>
      <c r="H44" s="9" t="inlineStr">
        <is>
          <t>自动推导: 最近年报DPO 198天持平</t>
        </is>
      </c>
    </row>
    <row r="45">
      <c r="A45" s="4" t="inlineStr">
        <is>
          <t>预付款项/收入</t>
        </is>
      </c>
      <c r="B45" s="21" t="inlineStr">
        <is>
          <t>%</t>
        </is>
      </c>
      <c r="C45" s="28" t="n">
        <v>0.0052</v>
      </c>
      <c r="D45" s="28" t="n">
        <v>0.0052</v>
      </c>
      <c r="E45" s="28" t="n">
        <v>0.0052</v>
      </c>
      <c r="F45" s="28" t="n">
        <v>0.0052</v>
      </c>
      <c r="G45" s="28" t="n">
        <v>0.0052</v>
      </c>
      <c r="H45" s="9" t="inlineStr">
        <is>
          <t>自动推导: 最近年报预付/收入持平</t>
        </is>
      </c>
    </row>
    <row r="46">
      <c r="A46" s="4" t="inlineStr">
        <is>
          <t>应付职工薪酬/收入</t>
        </is>
      </c>
      <c r="B46" s="21" t="inlineStr">
        <is>
          <t>%</t>
        </is>
      </c>
      <c r="C46" s="28" t="n">
        <v>0.028</v>
      </c>
      <c r="D46" s="28" t="n">
        <v>0.028</v>
      </c>
      <c r="E46" s="28" t="n">
        <v>0.028</v>
      </c>
      <c r="F46" s="28" t="n">
        <v>0.028</v>
      </c>
      <c r="G46" s="28" t="n">
        <v>0.028</v>
      </c>
      <c r="H46" s="9" t="inlineStr">
        <is>
          <t>自动推导: 最近年报应付职工薪酬/收入持平</t>
        </is>
      </c>
    </row>
    <row r="47">
      <c r="A47" s="4" t="inlineStr">
        <is>
          <t>应交税费/收入</t>
        </is>
      </c>
      <c r="B47" s="21" t="inlineStr">
        <is>
          <t>%</t>
        </is>
      </c>
      <c r="C47" s="28" t="n">
        <v>0.0145</v>
      </c>
      <c r="D47" s="28" t="n">
        <v>0.0145</v>
      </c>
      <c r="E47" s="28" t="n">
        <v>0.0145</v>
      </c>
      <c r="F47" s="28" t="n">
        <v>0.0145</v>
      </c>
      <c r="G47" s="28" t="n">
        <v>0.0145</v>
      </c>
      <c r="H47" s="9" t="inlineStr">
        <is>
          <t>自动推导: 最近年报应交税费/收入持平</t>
        </is>
      </c>
    </row>
    <row r="49" ht="16" customHeight="1">
      <c r="A49" s="19" t="inlineStr">
        <is>
          <t>七、资本开支与折旧摊销 (PP&amp;E页驱动)</t>
        </is>
      </c>
    </row>
    <row r="50">
      <c r="A50" s="4" t="inlineStr">
        <is>
          <t>Capex占收入比</t>
        </is>
      </c>
      <c r="B50" s="21" t="inlineStr">
        <is>
          <t>%</t>
        </is>
      </c>
      <c r="C50" s="28" t="n">
        <v>0.1688</v>
      </c>
      <c r="D50" s="28" t="n">
        <v>0.1435</v>
      </c>
      <c r="E50" s="28" t="n">
        <v>0.1182</v>
      </c>
      <c r="F50" s="28" t="n">
        <v>0.1013</v>
      </c>
      <c r="G50" s="28" t="n">
        <v>0.0844</v>
      </c>
      <c r="H50" s="9" t="inlineStr">
        <is>
          <t>自动推导: 最近年报Capex/收入16.9%(上限35%)逐年退坡×1/.85/.70/.60/.50</t>
        </is>
      </c>
    </row>
    <row r="51">
      <c r="A51" s="4" t="inlineStr">
        <is>
          <t>在建工程转固率</t>
        </is>
      </c>
      <c r="B51" s="21" t="inlineStr">
        <is>
          <t>%</t>
        </is>
      </c>
      <c r="C51" s="28" t="n">
        <v>0.75</v>
      </c>
      <c r="H51" s="9" t="inlineStr">
        <is>
          <t>通用默认: 当年转固=(期初在建+当年Capex)×75%</t>
        </is>
      </c>
    </row>
    <row r="52">
      <c r="A52" s="4" t="inlineStr">
        <is>
          <t>固定资产折旧率(期初净值)</t>
        </is>
      </c>
      <c r="B52" s="21" t="inlineStr">
        <is>
          <t>%</t>
        </is>
      </c>
      <c r="C52" s="28" t="n">
        <v>0.12</v>
      </c>
      <c r="H52" s="9" t="inlineStr">
        <is>
          <t>通用默认: 固定资产净值口径12%</t>
        </is>
      </c>
    </row>
    <row r="53">
      <c r="A53" s="4" t="inlineStr">
        <is>
          <t>当年转固部分折旧率</t>
        </is>
      </c>
      <c r="B53" s="21" t="inlineStr">
        <is>
          <t>%</t>
        </is>
      </c>
      <c r="C53" s="28" t="n">
        <v>0.04</v>
      </c>
      <c r="H53" s="9" t="inlineStr">
        <is>
          <t>通用默认: 转固按约半年投产计提</t>
        </is>
      </c>
    </row>
    <row r="54">
      <c r="A54" s="4" t="inlineStr">
        <is>
          <t>固定资产处置率(期初净值)</t>
        </is>
      </c>
      <c r="B54" s="21" t="inlineStr">
        <is>
          <t>%</t>
        </is>
      </c>
      <c r="C54" s="28" t="n">
        <v>0.01</v>
      </c>
      <c r="H54" s="9" t="inlineStr">
        <is>
          <t>通用默认: 处置率1%</t>
        </is>
      </c>
    </row>
    <row r="55">
      <c r="A55" s="4" t="inlineStr">
        <is>
          <t>无形资产摊销率(期初)</t>
        </is>
      </c>
      <c r="B55" s="21" t="inlineStr">
        <is>
          <t>%</t>
        </is>
      </c>
      <c r="C55" s="28" t="n">
        <v>0.08</v>
      </c>
      <c r="H55" s="9" t="inlineStr">
        <is>
          <t>通用默认: 无形资产摊销率8%</t>
        </is>
      </c>
    </row>
    <row r="57" ht="16" customHeight="1">
      <c r="A57" s="19" t="inlineStr">
        <is>
          <t>八、股利与盈余公积</t>
        </is>
      </c>
    </row>
    <row r="58">
      <c r="A58" s="4" t="inlineStr">
        <is>
          <t>股利支付率(按上年归母)</t>
        </is>
      </c>
      <c r="B58" s="21" t="inlineStr">
        <is>
          <t>%</t>
        </is>
      </c>
      <c r="C58" s="28" t="n">
        <v>0.3</v>
      </c>
      <c r="D58" s="28" t="n">
        <v>0.3</v>
      </c>
      <c r="E58" s="28" t="n">
        <v>0.3</v>
      </c>
      <c r="F58" s="28" t="n">
        <v>0.3</v>
      </c>
      <c r="G58" s="28" t="n">
        <v>0.3</v>
      </c>
      <c r="H58" s="9" t="inlineStr">
        <is>
          <t>通用默认: 股利支付率30%(按上年归母)</t>
        </is>
      </c>
    </row>
    <row r="59">
      <c r="A59" s="4" t="inlineStr">
        <is>
          <t>法定盈余公积计提率(按当年归母)</t>
        </is>
      </c>
      <c r="B59" s="21" t="inlineStr">
        <is>
          <t>%</t>
        </is>
      </c>
      <c r="C59" s="28" t="n">
        <v>0.1</v>
      </c>
      <c r="H59" s="9" t="inlineStr">
        <is>
          <t>通用默认: 法定盈余公积按归母10%计提</t>
        </is>
      </c>
    </row>
    <row r="61" ht="16" customHeight="1">
      <c r="A61" s="19" t="inlineStr">
        <is>
          <t>九、债务与融资 (FIN页调度输入)</t>
        </is>
      </c>
    </row>
    <row r="62">
      <c r="A62" s="4" t="inlineStr">
        <is>
          <t>最低现金占收入比</t>
        </is>
      </c>
      <c r="B62" s="21" t="inlineStr">
        <is>
          <t>%</t>
        </is>
      </c>
      <c r="C62" s="28" t="n">
        <v>0.02</v>
      </c>
      <c r="H62" s="9" t="inlineStr">
        <is>
          <t>通用默认: 最低现金=收入×2%</t>
        </is>
      </c>
    </row>
    <row r="63">
      <c r="A63" s="4" t="inlineStr">
        <is>
          <t>短期借款(revolver)计划还款</t>
        </is>
      </c>
      <c r="B63" s="21" t="inlineStr">
        <is>
          <t>百万</t>
        </is>
      </c>
      <c r="C63" s="29" t="n">
        <v>0</v>
      </c>
      <c r="D63" s="29" t="n">
        <v>0</v>
      </c>
      <c r="E63" s="29" t="n">
        <v>0</v>
      </c>
      <c r="F63" s="29" t="n">
        <v>0</v>
      </c>
      <c r="G63" s="29" t="n">
        <v>0</v>
      </c>
      <c r="H63" s="9" t="inlineStr">
        <is>
          <t>通用默认: 短借为revolver, 无计划还款</t>
        </is>
      </c>
    </row>
    <row r="64">
      <c r="A64" s="4" t="inlineStr">
        <is>
          <t>一年内到期非流动负债计划还款</t>
        </is>
      </c>
      <c r="B64" s="21" t="inlineStr">
        <is>
          <t>百万</t>
        </is>
      </c>
      <c r="C64" s="29" t="n">
        <v>100</v>
      </c>
      <c r="D64" s="29" t="n">
        <v>100</v>
      </c>
      <c r="E64" s="29" t="n">
        <v>100</v>
      </c>
      <c r="F64" s="29" t="n">
        <v>100</v>
      </c>
      <c r="G64" s="29" t="n">
        <v>100</v>
      </c>
      <c r="H64" s="9" t="inlineStr">
        <is>
          <t>自动推导: 最近年报末余额500百万按1/5逐年摊还</t>
        </is>
      </c>
    </row>
    <row r="65">
      <c r="A65" s="4" t="inlineStr">
        <is>
          <t>长期借款计划还款</t>
        </is>
      </c>
      <c r="B65" s="21" t="inlineStr">
        <is>
          <t>百万</t>
        </is>
      </c>
      <c r="C65" s="29" t="n">
        <v>377.1</v>
      </c>
      <c r="D65" s="29" t="n">
        <v>377.1</v>
      </c>
      <c r="E65" s="29" t="n">
        <v>377.1</v>
      </c>
      <c r="F65" s="29" t="n">
        <v>377.1</v>
      </c>
      <c r="G65" s="29" t="n">
        <v>377.1</v>
      </c>
      <c r="H65" s="9" t="inlineStr">
        <is>
          <t>自动推导: 最近年报末余额1886百万按1/5逐年摊还</t>
        </is>
      </c>
    </row>
    <row r="66">
      <c r="A66" s="4" t="inlineStr">
        <is>
          <t>租赁负债计划还款</t>
        </is>
      </c>
      <c r="B66" s="21" t="inlineStr">
        <is>
          <t>百万</t>
        </is>
      </c>
      <c r="C66" s="29" t="n">
        <v>2.4</v>
      </c>
      <c r="D66" s="29" t="n">
        <v>2.4</v>
      </c>
      <c r="E66" s="29" t="n">
        <v>2.4</v>
      </c>
      <c r="F66" s="29" t="n">
        <v>2.4</v>
      </c>
      <c r="G66" s="29" t="n">
        <v>2.4</v>
      </c>
      <c r="H66" s="9" t="inlineStr">
        <is>
          <t>自动推导: 最近年报末余额11.8百万按1/5逐年摊还</t>
        </is>
      </c>
    </row>
    <row r="67">
      <c r="A67" s="4" t="inlineStr">
        <is>
          <t>短期借款利率</t>
        </is>
      </c>
      <c r="B67" s="21" t="inlineStr">
        <is>
          <t>%</t>
        </is>
      </c>
      <c r="C67" s="28" t="n">
        <v>0.03</v>
      </c>
      <c r="H67" s="9" t="inlineStr">
        <is>
          <t>通用默认: 一年期LPR附近</t>
        </is>
      </c>
    </row>
    <row r="68">
      <c r="A68" s="4" t="inlineStr">
        <is>
          <t>一年内到期非流动负债利率</t>
        </is>
      </c>
      <c r="B68" s="21" t="inlineStr">
        <is>
          <t>%</t>
        </is>
      </c>
      <c r="C68" s="28" t="n">
        <v>0.034</v>
      </c>
      <c r="H68" s="9" t="inlineStr">
        <is>
          <t>通用默认: 参照综合借款成本</t>
        </is>
      </c>
    </row>
    <row r="69">
      <c r="A69" s="4" t="inlineStr">
        <is>
          <t>长期借款利率</t>
        </is>
      </c>
      <c r="B69" s="21" t="inlineStr">
        <is>
          <t>%</t>
        </is>
      </c>
      <c r="C69" s="28" t="n">
        <v>0.037</v>
      </c>
      <c r="H69" s="9" t="inlineStr">
        <is>
          <t>通用默认: 项目贷略高</t>
        </is>
      </c>
    </row>
    <row r="70">
      <c r="A70" s="4" t="inlineStr">
        <is>
          <t>租赁负债利率</t>
        </is>
      </c>
      <c r="B70" s="21" t="inlineStr">
        <is>
          <t>%</t>
        </is>
      </c>
      <c r="C70" s="28" t="n">
        <v>0.045</v>
      </c>
      <c r="H70" s="9" t="inlineStr">
        <is>
          <t>通用默认: 租赁内含利率4-5%</t>
        </is>
      </c>
    </row>
    <row r="71">
      <c r="A71" s="4" t="inlineStr">
        <is>
          <t>货币资金收益率(按平均余额)</t>
        </is>
      </c>
      <c r="B71" s="21" t="inlineStr">
        <is>
          <t>%</t>
        </is>
      </c>
      <c r="C71" s="28" t="n">
        <v>0.012</v>
      </c>
      <c r="H71" s="9" t="inlineStr">
        <is>
          <t>通用默认: 活期+短期存款1.2%</t>
        </is>
      </c>
    </row>
    <row r="72">
      <c r="A72" s="4" t="inlineStr">
        <is>
          <t>其他财务费用(手续费/汇兑)</t>
        </is>
      </c>
      <c r="B72" s="21" t="inlineStr">
        <is>
          <t>百万</t>
        </is>
      </c>
      <c r="C72" s="29" t="n">
        <v>30</v>
      </c>
      <c r="H72" s="9" t="inlineStr">
        <is>
          <t>通用默认: 手续费/汇兑等30百万</t>
        </is>
      </c>
    </row>
    <row r="73">
      <c r="A73" s="4" t="inlineStr">
        <is>
          <t>2025A末有息负债合计</t>
        </is>
      </c>
      <c r="B73" s="21" t="inlineStr">
        <is>
          <t>百万</t>
        </is>
      </c>
      <c r="C73" s="25" t="n">
        <v>4567.5</v>
      </c>
      <c r="H73" s="11" t="inlineStr">
        <is>
          <t>＝短借2169.9+一年内500.1+长借1885.7+租赁11.8 (东财F10 2025年报); WACC的Wd市值口径引用本行</t>
        </is>
      </c>
    </row>
    <row r="75" ht="16" customHeight="1">
      <c r="A75" s="19" t="inlineStr">
        <is>
          <t>十、WACC 与终值 (全公式化, 联动Relative_Val可比beta)</t>
        </is>
      </c>
    </row>
    <row r="76">
      <c r="A76" s="4" t="inlineStr">
        <is>
          <t>无风险利率 rf</t>
        </is>
      </c>
      <c r="B76" s="21" t="inlineStr">
        <is>
          <t>%</t>
        </is>
      </c>
      <c r="C76" s="28" t="n">
        <v>0.02</v>
      </c>
      <c r="H76" s="9" t="inlineStr">
        <is>
          <t>通用默认: 10年期国债收益率约2.0%</t>
        </is>
      </c>
    </row>
    <row r="77">
      <c r="A77" s="4" t="inlineStr">
        <is>
          <t>股权风险溢价 ERP</t>
        </is>
      </c>
      <c r="B77" s="21" t="inlineStr">
        <is>
          <t>%</t>
        </is>
      </c>
      <c r="C77" s="28" t="n">
        <v>0.055</v>
      </c>
      <c r="H77" s="9" t="inlineStr">
        <is>
          <t>通用默认: A股ERP中枢5.5%</t>
        </is>
      </c>
    </row>
    <row r="78">
      <c r="A78" s="4" t="inlineStr">
        <is>
          <t>可比公司无杠杆βu中位数</t>
        </is>
      </c>
      <c r="B78" s="21" t="inlineStr">
        <is>
          <t>x</t>
        </is>
      </c>
      <c r="C78" s="31">
        <f>Relative_Val!$O$9</f>
        <v/>
      </c>
      <c r="H78" s="11" t="inlineStr">
        <is>
          <t>＝MEDIAN(可比公司βl/(1+(1-t)×D/E)), 见Relative_Val页L-O列; 改可比beta输入即联动</t>
        </is>
      </c>
    </row>
    <row r="79">
      <c r="A79" s="4" t="inlineStr">
        <is>
          <t>目标债务权重 Wd (市值口径)</t>
        </is>
      </c>
      <c r="B79" s="21" t="inlineStr">
        <is>
          <t>%</t>
        </is>
      </c>
      <c r="C79" s="16">
        <f>C73/(C73+C9)</f>
        <v/>
      </c>
      <c r="H79" s="11" t="inlineStr">
        <is>
          <t>＝2025A末有息负债/(有息负债+总市值): 以市值口径现状结构为目标结构</t>
        </is>
      </c>
    </row>
    <row r="80">
      <c r="A80" s="4" t="inlineStr">
        <is>
          <t>目标 D/E = Wd/(1-Wd)</t>
        </is>
      </c>
      <c r="B80" s="21" t="inlineStr">
        <is>
          <t>x</t>
        </is>
      </c>
      <c r="C80" s="31">
        <f>C79/(1-C79)</f>
        <v/>
      </c>
      <c r="H80" s="11" t="inlineStr">
        <is>
          <t>relever用目标产权比率</t>
        </is>
      </c>
    </row>
    <row r="81">
      <c r="A81" s="4" t="inlineStr">
        <is>
          <t>再杠杆βl = βu×(1+(1-t)×D/E)</t>
        </is>
      </c>
      <c r="B81" s="21" t="inlineStr">
        <is>
          <t>x</t>
        </is>
      </c>
      <c r="C81" s="31">
        <f>C78*(1+(1-C37)*C80)</f>
        <v/>
      </c>
      <c r="H81" s="11" t="inlineStr">
        <is>
          <t>Hamada公式, t=2026E有效税率</t>
        </is>
      </c>
    </row>
    <row r="82">
      <c r="A82" s="4" t="inlineStr">
        <is>
          <t>个股/执行风险溢价 (已删除=0)</t>
        </is>
      </c>
      <c r="B82" s="21" t="inlineStr">
        <is>
          <t>%</t>
        </is>
      </c>
      <c r="C82" s="28" t="n">
        <v>0</v>
      </c>
      <c r="H82" s="9" t="inlineStr">
        <is>
          <t>通用默认: 不取个股溢价(避免与β/情景重复计价)</t>
        </is>
      </c>
    </row>
    <row r="83">
      <c r="A83" s="4" t="inlineStr">
        <is>
          <t>股权成本 Ke = rf+βl×ERP+溢价</t>
        </is>
      </c>
      <c r="B83" s="21" t="inlineStr">
        <is>
          <t>%</t>
        </is>
      </c>
      <c r="C83" s="16">
        <f>C76+C81*C77+C82</f>
        <v/>
      </c>
      <c r="H83" s="11" t="inlineStr">
        <is>
          <t>CAPM公式(溢价默认为0)</t>
        </is>
      </c>
    </row>
    <row r="84">
      <c r="A84" s="4" t="inlineStr">
        <is>
          <t>债务成本 Kd</t>
        </is>
      </c>
      <c r="B84" s="21" t="inlineStr">
        <is>
          <t>%</t>
        </is>
      </c>
      <c r="C84" s="28" t="n">
        <v>0.034</v>
      </c>
      <c r="H84" s="9" t="inlineStr">
        <is>
          <t>通用默认: ≈四档债务加权平均利率</t>
        </is>
      </c>
    </row>
    <row r="85">
      <c r="A85" s="4" t="inlineStr">
        <is>
          <t>WACC (计算值)</t>
        </is>
      </c>
      <c r="B85" s="21" t="inlineStr">
        <is>
          <t>%</t>
        </is>
      </c>
      <c r="C85" s="16">
        <f>(1-C79)*C83+C79*C84*(1-C37)</f>
        <v/>
      </c>
      <c r="H85" s="11" t="inlineStr">
        <is>
          <t>＝(1-Wd)×Ke + Wd×Kd×(1-t)</t>
        </is>
      </c>
    </row>
    <row r="86">
      <c r="A86" s="4" t="inlineStr">
        <is>
          <t>WACC override (留空=用计算值)</t>
        </is>
      </c>
      <c r="B86" s="21" t="inlineStr">
        <is>
          <t>%</t>
        </is>
      </c>
      <c r="C86" s="28" t="n"/>
      <c r="H86" s="11" t="inlineStr">
        <is>
          <t>蓝色输入, 留空则采用上方计算值; 填入数值则覆盖(Checks页校验采用值=计算值或override非空)</t>
        </is>
      </c>
    </row>
    <row r="87">
      <c r="A87" s="4" t="inlineStr">
        <is>
          <t>WACC (采用值)</t>
        </is>
      </c>
      <c r="B87" s="21" t="inlineStr">
        <is>
          <t>%</t>
        </is>
      </c>
      <c r="C87" s="18">
        <f>IF(C86="",C85,C86)</f>
        <v/>
      </c>
      <c r="H87" s="11" t="inlineStr">
        <is>
          <t>＝IF(override="", 计算值, override); DCF/Sensitivity/Scenarios全部引用本行</t>
        </is>
      </c>
    </row>
    <row r="88">
      <c r="A88" s="4" t="inlineStr">
        <is>
          <t>永续增长率 g</t>
        </is>
      </c>
      <c r="B88" s="21" t="inlineStr">
        <is>
          <t>%</t>
        </is>
      </c>
      <c r="C88" s="28" t="n">
        <v>0.03</v>
      </c>
      <c r="H88" s="9" t="inlineStr">
        <is>
          <t>通用默认: 长期名义增速中枢下沿</t>
        </is>
      </c>
    </row>
    <row r="90" ht="16" customHeight="1">
      <c r="A90" s="19" t="inlineStr">
        <is>
          <t>十一、情景参数 (驱动情景开关 &amp; Scenarios页)</t>
        </is>
      </c>
    </row>
    <row r="91">
      <c r="A91" s="3" t="inlineStr">
        <is>
          <t>情景</t>
        </is>
      </c>
      <c r="C91" s="27" t="inlineStr">
        <is>
          <t>收入增速调整</t>
        </is>
      </c>
      <c r="D91" s="27" t="inlineStr">
        <is>
          <t>净利率调整</t>
        </is>
      </c>
      <c r="H91" s="3" t="inlineStr">
        <is>
          <t>情景逻辑</t>
        </is>
      </c>
    </row>
    <row r="92">
      <c r="A92" s="32" t="inlineStr">
        <is>
          <t>熊市 Bear</t>
        </is>
      </c>
      <c r="C92" s="28" t="n">
        <v>-0.15</v>
      </c>
      <c r="D92" s="28" t="n">
        <v>-0.03</v>
      </c>
      <c r="H92" s="11" t="inlineStr">
        <is>
          <t>通用默认: 分部增速-15pct, 净利率-3pct</t>
        </is>
      </c>
    </row>
    <row r="93">
      <c r="A93" s="3" t="inlineStr">
        <is>
          <t>基准 Base</t>
        </is>
      </c>
      <c r="C93" s="28" t="n">
        <v>0</v>
      </c>
      <c r="D93" s="28" t="n">
        <v>0</v>
      </c>
      <c r="H93" s="11" t="inlineStr">
        <is>
          <t>基准: 不调整</t>
        </is>
      </c>
    </row>
    <row r="94">
      <c r="A94" s="3" t="inlineStr">
        <is>
          <t>牛市 Bull</t>
        </is>
      </c>
      <c r="C94" s="28" t="n">
        <v>0.1</v>
      </c>
      <c r="D94" s="28" t="n">
        <v>0.015</v>
      </c>
      <c r="H94" s="11" t="inlineStr">
        <is>
          <t>通用默认: 分部增速+10pct, 净利率+1.5pct</t>
        </is>
      </c>
    </row>
  </sheetData>
  <mergeCells count="13">
    <mergeCell ref="A1:J1"/>
    <mergeCell ref="A75:J75"/>
    <mergeCell ref="A61:J61"/>
    <mergeCell ref="A49:J49"/>
    <mergeCell ref="A21:J21"/>
    <mergeCell ref="A30:J30"/>
    <mergeCell ref="A4:J4"/>
    <mergeCell ref="A26:J26"/>
    <mergeCell ref="A57:J57"/>
    <mergeCell ref="A2:J2"/>
    <mergeCell ref="A90:J90"/>
    <mergeCell ref="A41:J41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沪电股份 — Revenue_Segments 分业务收入拆解 (量×价驱动)</t>
        </is>
      </c>
    </row>
    <row r="2" ht="14" customHeight="1">
      <c r="A2" s="11" t="inlineStr">
        <is>
          <t>单位: 人民币百万元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8938.299999999999</v>
      </c>
      <c r="C4" s="25" t="n">
        <v>13341.5</v>
      </c>
      <c r="D4" s="25" t="n">
        <v>18945.2</v>
      </c>
      <c r="J4" s="11" t="inlineStr">
        <is>
          <t>东财F10利润表: 2023-2025实际营收</t>
        </is>
      </c>
    </row>
    <row r="5" ht="16" customHeight="1">
      <c r="A5" s="19" t="inlineStr">
        <is>
          <t>印制电路板 (PCB)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</f>
        <v/>
      </c>
      <c r="F6" s="26">
        <f>E6*(1+F8)</f>
        <v/>
      </c>
      <c r="G6" s="26">
        <f>F6*(1+G8)</f>
        <v/>
      </c>
      <c r="H6" s="26">
        <f>G6*(1+H8)</f>
        <v/>
      </c>
      <c r="I6" s="26">
        <f>H6*(1+I8)</f>
        <v/>
      </c>
    </row>
    <row r="7">
      <c r="A7" s="4" t="inlineStr">
        <is>
          <t xml:space="preserve">  收入占比</t>
        </is>
      </c>
      <c r="B7" s="33" t="n">
        <v>0.959</v>
      </c>
      <c r="C7" s="33" t="n">
        <v>0.9623</v>
      </c>
      <c r="D7" s="33" t="n">
        <v>0.9577</v>
      </c>
      <c r="E7" s="16">
        <f>E6/E20</f>
        <v/>
      </c>
      <c r="F7" s="16">
        <f>F6/F20</f>
        <v/>
      </c>
      <c r="G7" s="16">
        <f>G6/G20</f>
        <v/>
      </c>
      <c r="H7" s="16">
        <f>H6/H20</f>
        <v/>
      </c>
      <c r="I7" s="16">
        <f>I6/I20</f>
        <v/>
      </c>
      <c r="J7" s="11" t="inlineStr">
        <is>
          <t>东财F10主营构成(按产品); 2025年报口径"产品销售收入(印制电路板业务)"</t>
        </is>
      </c>
    </row>
    <row r="8">
      <c r="A8" s="4" t="inlineStr">
        <is>
          <t xml:space="preserve">  收入增速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(Assumptions!C$23+CHOOSE(Assumptions!$C$5,Assumptions!$C$92,Assumptions!$C$93,Assumptions!$C$94))</f>
        <v/>
      </c>
      <c r="F8" s="16">
        <f>(Assumptions!D$23+CHOOSE(Assumptions!$C$5,Assumptions!$C$92,Assumptions!$C$93,Assumptions!$C$94))</f>
        <v/>
      </c>
      <c r="G8" s="16">
        <f>(Assumptions!E$23+CHOOSE(Assumptions!$C$5,Assumptions!$C$92,Assumptions!$C$93,Assumptions!$C$94))</f>
        <v/>
      </c>
      <c r="H8" s="16">
        <f>(Assumptions!F$23+CHOOSE(Assumptions!$C$5,Assumptions!$C$92,Assumptions!$C$93,Assumptions!$C$94))</f>
        <v/>
      </c>
      <c r="I8" s="16">
        <f>(Assumptions!G$23+CHOOSE(Assumptions!$C$5,Assumptions!$C$92,Assumptions!$C$93,Assumptions!$C$94))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毛利率</t>
        </is>
      </c>
      <c r="B9" s="33" t="n">
        <v>0.3246</v>
      </c>
      <c r="C9" s="33" t="n">
        <v>0.3585</v>
      </c>
      <c r="D9" s="33" t="n">
        <v>0.3691</v>
      </c>
      <c r="E9" s="16">
        <f>(Assumptions!C$27+CHOOSE(Assumptions!$C$5,Assumptions!$D$92,Assumptions!$D$93,Assumptions!$D$94))</f>
        <v/>
      </c>
      <c r="F9" s="16">
        <f>(Assumptions!D$27+CHOOSE(Assumptions!$C$5,Assumptions!$D$92,Assumptions!$D$93,Assumptions!$D$94))</f>
        <v/>
      </c>
      <c r="G9" s="16">
        <f>(Assumptions!E$27+CHOOSE(Assumptions!$C$5,Assumptions!$D$92,Assumptions!$D$93,Assumptions!$D$94))</f>
        <v/>
      </c>
      <c r="H9" s="16">
        <f>(Assumptions!F$27+CHOOSE(Assumptions!$C$5,Assumptions!$D$92,Assumptions!$D$93,Assumptions!$D$94))</f>
        <v/>
      </c>
      <c r="I9" s="16">
        <f>(Assumptions!G$27+CHOOSE(Assumptions!$C$5,Assumptions!$D$92,Assumptions!$D$93,Assumptions!$D$94))</f>
        <v/>
      </c>
      <c r="J9" s="11" t="inlineStr">
        <is>
          <t>历史: 主营构成分产品毛利率; 预测: Assumptions+情景调整</t>
        </is>
      </c>
    </row>
    <row r="10">
      <c r="A10" s="4" t="inlineStr">
        <is>
          <t xml:space="preserve">  毛利</t>
        </is>
      </c>
      <c r="B10" s="26">
        <f>B6*B9</f>
        <v/>
      </c>
      <c r="C10" s="26">
        <f>C6*C9</f>
        <v/>
      </c>
      <c r="D10" s="26">
        <f>D6*D9</f>
        <v/>
      </c>
      <c r="E10" s="26">
        <f>E6*E9</f>
        <v/>
      </c>
      <c r="F10" s="26">
        <f>F6*F9</f>
        <v/>
      </c>
      <c r="G10" s="26">
        <f>G6*G9</f>
        <v/>
      </c>
      <c r="H10" s="26">
        <f>H6*H9</f>
        <v/>
      </c>
      <c r="I10" s="26">
        <f>I6*I9</f>
        <v/>
      </c>
    </row>
    <row r="11">
      <c r="A11" s="9" t="inlineStr">
        <is>
          <t xml:space="preserve">  逻辑: AI服务器/交换机高多层板核心供应商, 外销占82%(2025); 黄石/沪利微电/泰国基地扩产; 2026Q1营收62.1亿(+53.9%)</t>
        </is>
      </c>
    </row>
    <row r="12" ht="16" customHeight="1">
      <c r="A12" s="19" t="inlineStr">
        <is>
          <t>其他 (补充业务/房屋/物业)</t>
        </is>
      </c>
    </row>
    <row r="13">
      <c r="A13" s="4" t="inlineStr">
        <is>
          <t>收入</t>
        </is>
      </c>
      <c r="B13" s="26">
        <f>B14*B$4</f>
        <v/>
      </c>
      <c r="C13" s="26">
        <f>C14*C$4</f>
        <v/>
      </c>
      <c r="D13" s="26">
        <f>D14*D$4</f>
        <v/>
      </c>
      <c r="E13" s="26">
        <f>D13*(1+E15)</f>
        <v/>
      </c>
      <c r="F13" s="26">
        <f>E13*(1+F15)</f>
        <v/>
      </c>
      <c r="G13" s="26">
        <f>F13*(1+G15)</f>
        <v/>
      </c>
      <c r="H13" s="26">
        <f>G13*(1+H15)</f>
        <v/>
      </c>
      <c r="I13" s="26">
        <f>H13*(1+I15)</f>
        <v/>
      </c>
    </row>
    <row r="14">
      <c r="A14" s="4" t="inlineStr">
        <is>
          <t xml:space="preserve">  收入占比</t>
        </is>
      </c>
      <c r="B14" s="33" t="n">
        <v>0.041</v>
      </c>
      <c r="C14" s="33" t="n">
        <v>0.0377</v>
      </c>
      <c r="D14" s="33" t="n">
        <v>0.0423</v>
      </c>
      <c r="E14" s="16">
        <f>E13/E20</f>
        <v/>
      </c>
      <c r="F14" s="16">
        <f>F13/F20</f>
        <v/>
      </c>
      <c r="G14" s="16">
        <f>G13/G20</f>
        <v/>
      </c>
      <c r="H14" s="16">
        <f>H13/H20</f>
        <v/>
      </c>
      <c r="I14" s="16">
        <f>I13/I20</f>
        <v/>
      </c>
      <c r="J14" s="11" t="inlineStr">
        <is>
          <t>东财F10主营构成: 其他(补充)为主, 含微量房屋销售/物业费</t>
        </is>
      </c>
    </row>
    <row r="15">
      <c r="A15" s="4" t="inlineStr">
        <is>
          <t xml:space="preserve">  收入增速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16">
        <f>(Assumptions!C$24+CHOOSE(Assumptions!$C$5,Assumptions!$C$92,Assumptions!$C$93,Assumptions!$C$94))</f>
        <v/>
      </c>
      <c r="F15" s="16">
        <f>(Assumptions!D$24+CHOOSE(Assumptions!$C$5,Assumptions!$C$92,Assumptions!$C$93,Assumptions!$C$94))</f>
        <v/>
      </c>
      <c r="G15" s="16">
        <f>(Assumptions!E$24+CHOOSE(Assumptions!$C$5,Assumptions!$C$92,Assumptions!$C$93,Assumptions!$C$94))</f>
        <v/>
      </c>
      <c r="H15" s="16">
        <f>(Assumptions!F$24+CHOOSE(Assumptions!$C$5,Assumptions!$C$92,Assumptions!$C$93,Assumptions!$C$94))</f>
        <v/>
      </c>
      <c r="I15" s="16">
        <f>(Assumptions!G$24+CHOOSE(Assumptions!$C$5,Assumptions!$C$92,Assumptions!$C$93,Assumptions!$C$94))</f>
        <v/>
      </c>
      <c r="J15" s="11" t="inlineStr">
        <is>
          <t>＝Assumptions基础增速+CHOOSE(情景开关,熊,基,牛)</t>
        </is>
      </c>
    </row>
    <row r="16">
      <c r="A16" s="4" t="inlineStr">
        <is>
          <t xml:space="preserve">  毛利率</t>
        </is>
      </c>
      <c r="B16" s="33" t="n">
        <v>0.008800000000000001</v>
      </c>
      <c r="C16" s="33" t="n">
        <v>0.0089</v>
      </c>
      <c r="D16" s="33" t="n">
        <v>0.0288</v>
      </c>
      <c r="E16" s="16">
        <f>(Assumptions!C$28+CHOOSE(Assumptions!$C$5,Assumptions!$D$92,Assumptions!$D$93,Assumptions!$D$94))</f>
        <v/>
      </c>
      <c r="F16" s="16">
        <f>(Assumptions!D$28+CHOOSE(Assumptions!$C$5,Assumptions!$D$92,Assumptions!$D$93,Assumptions!$D$94))</f>
        <v/>
      </c>
      <c r="G16" s="16">
        <f>(Assumptions!E$28+CHOOSE(Assumptions!$C$5,Assumptions!$D$92,Assumptions!$D$93,Assumptions!$D$94))</f>
        <v/>
      </c>
      <c r="H16" s="16">
        <f>(Assumptions!F$28+CHOOSE(Assumptions!$C$5,Assumptions!$D$92,Assumptions!$D$93,Assumptions!$D$94))</f>
        <v/>
      </c>
      <c r="I16" s="16">
        <f>(Assumptions!G$28+CHOOSE(Assumptions!$C$5,Assumptions!$D$92,Assumptions!$D$93,Assumptions!$D$94))</f>
        <v/>
      </c>
      <c r="J16" s="11" t="inlineStr">
        <is>
          <t>历史: 主营构成分产品毛利率; 预测: Assumptions+情景调整</t>
        </is>
      </c>
    </row>
    <row r="17">
      <c r="A17" s="4" t="inlineStr">
        <is>
          <t xml:space="preserve">  毛利</t>
        </is>
      </c>
      <c r="B17" s="26">
        <f>B13*B16</f>
        <v/>
      </c>
      <c r="C17" s="26">
        <f>C13*C16</f>
        <v/>
      </c>
      <c r="D17" s="26">
        <f>D13*D16</f>
        <v/>
      </c>
      <c r="E17" s="26">
        <f>E13*E16</f>
        <v/>
      </c>
      <c r="F17" s="26">
        <f>F13*F16</f>
        <v/>
      </c>
      <c r="G17" s="26">
        <f>G13*G16</f>
        <v/>
      </c>
      <c r="H17" s="26">
        <f>H13*H16</f>
        <v/>
      </c>
      <c r="I17" s="26">
        <f>I13*I16</f>
        <v/>
      </c>
    </row>
    <row r="18">
      <c r="A18" s="9" t="inlineStr">
        <is>
          <t xml:space="preserve">  逻辑: 补充业务, 占比&lt;5%, 对估值影响小</t>
        </is>
      </c>
    </row>
    <row r="19" ht="16" customHeight="1">
      <c r="A19" s="19" t="inlineStr">
        <is>
          <t>合计 (自动汇总进IS)</t>
        </is>
      </c>
    </row>
    <row r="20">
      <c r="A20" s="3" t="inlineStr">
        <is>
          <t>营业收入合计</t>
        </is>
      </c>
      <c r="B20" s="34">
        <f>B6+B13</f>
        <v/>
      </c>
      <c r="C20" s="34">
        <f>C6+C13</f>
        <v/>
      </c>
      <c r="D20" s="34">
        <f>D6+D13</f>
        <v/>
      </c>
      <c r="E20" s="34">
        <f>E6+E13</f>
        <v/>
      </c>
      <c r="F20" s="34">
        <f>F6+F13</f>
        <v/>
      </c>
      <c r="G20" s="34">
        <f>G6+G13</f>
        <v/>
      </c>
      <c r="H20" s="34">
        <f>H6+H13</f>
        <v/>
      </c>
      <c r="I20" s="34">
        <f>I6+I13</f>
        <v/>
      </c>
    </row>
    <row r="21">
      <c r="A21" s="3" t="inlineStr">
        <is>
          <t>毛利合计</t>
        </is>
      </c>
      <c r="B21" s="35">
        <f>B10+B17</f>
        <v/>
      </c>
      <c r="C21" s="35">
        <f>C10+C17</f>
        <v/>
      </c>
      <c r="D21" s="35">
        <f>D10+D17</f>
        <v/>
      </c>
      <c r="E21" s="35">
        <f>E10+E17</f>
        <v/>
      </c>
      <c r="F21" s="35">
        <f>F10+F17</f>
        <v/>
      </c>
      <c r="G21" s="35">
        <f>G10+G17</f>
        <v/>
      </c>
      <c r="H21" s="35">
        <f>H10+H17</f>
        <v/>
      </c>
      <c r="I21" s="35">
        <f>I10+I17</f>
        <v/>
      </c>
    </row>
    <row r="22">
      <c r="A22" s="4" t="inlineStr">
        <is>
          <t>综合毛利率</t>
        </is>
      </c>
      <c r="B22" s="16">
        <f>B21/B20</f>
        <v/>
      </c>
      <c r="C22" s="16">
        <f>C21/C20</f>
        <v/>
      </c>
      <c r="D22" s="16">
        <f>D21/D20</f>
        <v/>
      </c>
      <c r="E22" s="16">
        <f>E21/E20</f>
        <v/>
      </c>
      <c r="F22" s="16">
        <f>F21/F20</f>
        <v/>
      </c>
      <c r="G22" s="16">
        <f>G21/G20</f>
        <v/>
      </c>
      <c r="H22" s="16">
        <f>H21/H20</f>
        <v/>
      </c>
      <c r="I22" s="16">
        <f>I21/I20</f>
        <v/>
      </c>
    </row>
    <row r="23">
      <c r="A23" s="4" t="inlineStr">
        <is>
          <t>收入YoY</t>
        </is>
      </c>
      <c r="C23" s="16">
        <f>C20/B20-1</f>
        <v/>
      </c>
      <c r="D23" s="16">
        <f>D20/C20-1</f>
        <v/>
      </c>
      <c r="E23" s="16">
        <f>E20/D20-1</f>
        <v/>
      </c>
      <c r="F23" s="16">
        <f>F20/E20-1</f>
        <v/>
      </c>
      <c r="G23" s="16">
        <f>G20/F20-1</f>
        <v/>
      </c>
      <c r="H23" s="16">
        <f>H20/G20-1</f>
        <v/>
      </c>
      <c r="I23" s="16">
        <f>I20/H20-1</f>
        <v/>
      </c>
    </row>
    <row r="25" ht="16" customHeight="1">
      <c r="A25" s="19" t="inlineStr">
        <is>
          <t>基准情形演算 (仅引用Assumptions基础值, 不受情景开关影响, 供Scenarios页引用)</t>
        </is>
      </c>
    </row>
    <row r="26">
      <c r="A26" s="4" t="inlineStr">
        <is>
          <t>基准收入 — pcb</t>
        </is>
      </c>
      <c r="D26" s="26">
        <f>D6</f>
        <v/>
      </c>
      <c r="E26" s="26">
        <f>D26*(1+Assumptions!C$23)</f>
        <v/>
      </c>
      <c r="F26" s="26">
        <f>E26*(1+Assumptions!D$23)</f>
        <v/>
      </c>
      <c r="G26" s="26">
        <f>F26*(1+Assumptions!E$23)</f>
        <v/>
      </c>
      <c r="H26" s="26">
        <f>G26*(1+Assumptions!F$23)</f>
        <v/>
      </c>
      <c r="I26" s="26">
        <f>H26*(1+Assumptions!G$23)</f>
        <v/>
      </c>
    </row>
    <row r="27">
      <c r="A27" s="4" t="inlineStr">
        <is>
          <t>基准收入 — oth</t>
        </is>
      </c>
      <c r="D27" s="26">
        <f>D13</f>
        <v/>
      </c>
      <c r="E27" s="26">
        <f>D27*(1+Assumptions!C$24)</f>
        <v/>
      </c>
      <c r="F27" s="26">
        <f>E27*(1+Assumptions!D$24)</f>
        <v/>
      </c>
      <c r="G27" s="26">
        <f>F27*(1+Assumptions!E$24)</f>
        <v/>
      </c>
      <c r="H27" s="26">
        <f>G27*(1+Assumptions!F$24)</f>
        <v/>
      </c>
      <c r="I27" s="26">
        <f>H27*(1+Assumptions!G$24)</f>
        <v/>
      </c>
    </row>
    <row r="28">
      <c r="A28" s="3" t="inlineStr">
        <is>
          <t>基准合计收入</t>
        </is>
      </c>
      <c r="D28" s="26">
        <f>D6+D13</f>
        <v/>
      </c>
      <c r="E28" s="26">
        <f>E26+E27</f>
        <v/>
      </c>
      <c r="F28" s="26">
        <f>F26+F27</f>
        <v/>
      </c>
      <c r="G28" s="26">
        <f>G26+G27</f>
        <v/>
      </c>
      <c r="H28" s="26">
        <f>H26+H27</f>
        <v/>
      </c>
      <c r="I28" s="26">
        <f>I26+I27</f>
        <v/>
      </c>
    </row>
    <row r="29">
      <c r="A29" s="4" t="inlineStr">
        <is>
          <t>基准收入增速</t>
        </is>
      </c>
      <c r="E29" s="16">
        <f>E28/D28-1</f>
        <v/>
      </c>
      <c r="F29" s="16">
        <f>F28/E28-1</f>
        <v/>
      </c>
      <c r="G29" s="16">
        <f>G28/F28-1</f>
        <v/>
      </c>
      <c r="H29" s="16">
        <f>H28/G28-1</f>
        <v/>
      </c>
      <c r="I29" s="16">
        <f>I28/H28-1</f>
        <v/>
      </c>
    </row>
    <row r="30">
      <c r="A30" s="4" t="inlineStr">
        <is>
          <t>基准综合毛利率</t>
        </is>
      </c>
      <c r="E30" s="16">
        <f>(E26*Assumptions!C$27+E27*Assumptions!C$28)/E28</f>
        <v/>
      </c>
      <c r="F30" s="16">
        <f>(F26*Assumptions!D$27+F27*Assumptions!D$28)/F28</f>
        <v/>
      </c>
      <c r="G30" s="16">
        <f>(G26*Assumptions!E$27+G27*Assumptions!E$28)/G28</f>
        <v/>
      </c>
      <c r="H30" s="16">
        <f>(H26*Assumptions!F$27+H27*Assumptions!F$28)/H28</f>
        <v/>
      </c>
      <c r="I30" s="16">
        <f>(I26*Assumptions!G$27+I27*Assumptions!G$28)/I28</f>
        <v/>
      </c>
    </row>
    <row r="32" ht="16" customHeight="1">
      <c r="A32" s="19" t="inlineStr">
        <is>
          <t>产能 / 客户 / 行业参考 (外部信息)</t>
        </is>
      </c>
    </row>
    <row r="33" ht="24" customHeight="1">
      <c r="A33" s="8" t="inlineStr">
        <is>
          <t>产能/基地: 青淞厂/黄石一&amp;二厂/沪利微电/泰国一期(2025投产); 2025年报: 企业通讯市场板+汽车板为主业 — 东财F10/年报</t>
        </is>
      </c>
    </row>
    <row r="34" ht="24" customHeight="1">
      <c r="A34" s="8" t="inlineStr">
        <is>
          <t>客户/结构: 外销收入占比82.0%(2025年报), AI服务器与高速交换机为核心驱动; 2026Q1营收62.14亿(+53.9%), 归母12.42亿(+62.9%)</t>
        </is>
      </c>
    </row>
    <row r="35" ht="24" customHeight="1">
      <c r="A35" s="8" t="inlineStr">
        <is>
          <t>行业: AI服务器PCB单机价值量提升; 2026年CCL涨价(台耀+20~40%/三菱瓦斯≤30%), 头部厂商具备顺价能力</t>
        </is>
      </c>
    </row>
  </sheetData>
  <mergeCells count="12">
    <mergeCell ref="A1:J1"/>
    <mergeCell ref="A5:J5"/>
    <mergeCell ref="A32:J32"/>
    <mergeCell ref="A18:J18"/>
    <mergeCell ref="A34:J34"/>
    <mergeCell ref="A12:J12"/>
    <mergeCell ref="A33:J33"/>
    <mergeCell ref="A35:J35"/>
    <mergeCell ref="A2:J2"/>
    <mergeCell ref="A25:J25"/>
    <mergeCell ref="A19:J19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沪电股份 — IS 利润表 (2023A-2030E)</t>
        </is>
      </c>
    </row>
    <row r="2" ht="14" customHeight="1">
      <c r="A2" s="11" t="inlineStr">
        <is>
          <t>单位: 人民币百万元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5">
        <f>Revenue_Segments!B20</f>
        <v/>
      </c>
      <c r="C4" s="35">
        <f>Revenue_Segments!C20</f>
        <v/>
      </c>
      <c r="D4" s="35">
        <f>Revenue_Segments!D20</f>
        <v/>
      </c>
      <c r="E4" s="35">
        <f>Revenue_Segments!E20</f>
        <v/>
      </c>
      <c r="F4" s="35">
        <f>Revenue_Segments!F20</f>
        <v/>
      </c>
      <c r="G4" s="35">
        <f>Revenue_Segments!G20</f>
        <v/>
      </c>
      <c r="H4" s="35">
        <f>Revenue_Segments!H20</f>
        <v/>
      </c>
      <c r="I4" s="35">
        <f>Revenue_Segments!I20</f>
        <v/>
      </c>
      <c r="J4" s="11" t="inlineStr">
        <is>
          <t>＝Revenue_Segments分部合计; 历史: 东财F10(89.4/133.4/189.5亿)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+49.3% / 2025A +42.0%</t>
        </is>
      </c>
    </row>
    <row r="6">
      <c r="A6" s="4" t="inlineStr">
        <is>
          <t>营业成本</t>
        </is>
      </c>
      <c r="B6" s="25" t="n">
        <v>6166.9</v>
      </c>
      <c r="C6" s="25" t="n">
        <v>8733.4</v>
      </c>
      <c r="D6" s="25" t="n">
        <v>12224.3</v>
      </c>
      <c r="E6" s="26">
        <f>E4-Revenue_Segments!E21</f>
        <v/>
      </c>
      <c r="F6" s="26">
        <f>F4-Revenue_Segments!F21</f>
        <v/>
      </c>
      <c r="G6" s="26">
        <f>G4-Revenue_Segments!G21</f>
        <v/>
      </c>
      <c r="H6" s="26">
        <f>H4-Revenue_Segments!H21</f>
        <v/>
      </c>
      <c r="I6" s="26">
        <f>I4-Revenue_Segments!I21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5">
        <f>B4-B6</f>
        <v/>
      </c>
      <c r="C7" s="35">
        <f>C4-C6</f>
        <v/>
      </c>
      <c r="D7" s="35">
        <f>D4-D6</f>
        <v/>
      </c>
      <c r="E7" s="35">
        <f>E4-E6</f>
        <v/>
      </c>
      <c r="F7" s="35">
        <f>F4-F6</f>
        <v/>
      </c>
      <c r="G7" s="35">
        <f>G4-G6</f>
        <v/>
      </c>
      <c r="H7" s="35">
        <f>H4-H6</f>
        <v/>
      </c>
      <c r="I7" s="35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31.0%→2025A 35.5%; 预测由分部毛利率加权</t>
        </is>
      </c>
    </row>
    <row r="9">
      <c r="A9" s="4" t="inlineStr">
        <is>
          <t>税金及附加</t>
        </is>
      </c>
      <c r="B9" s="25" t="n">
        <v>66.09999999999999</v>
      </c>
      <c r="C9" s="25" t="n">
        <v>99.40000000000001</v>
      </c>
      <c r="D9" s="25" t="n">
        <v>111.4</v>
      </c>
      <c r="E9" s="26">
        <f>E4*Assumptions!C$31</f>
        <v/>
      </c>
      <c r="F9" s="26">
        <f>F4*Assumptions!D$31</f>
        <v/>
      </c>
      <c r="G9" s="26">
        <f>G4*Assumptions!E$31</f>
        <v/>
      </c>
      <c r="H9" s="26">
        <f>H4*Assumptions!F$31</f>
        <v/>
      </c>
      <c r="I9" s="26">
        <f>I4*Assumptions!G$31</f>
        <v/>
      </c>
      <c r="J9" s="11" t="inlineStr">
        <is>
          <t>预测=收入×0.59%</t>
        </is>
      </c>
    </row>
    <row r="10">
      <c r="A10" s="4" t="inlineStr">
        <is>
          <t>销售费用</t>
        </is>
      </c>
      <c r="B10" s="25" t="n">
        <v>264.9</v>
      </c>
      <c r="C10" s="25" t="n">
        <v>365.7</v>
      </c>
      <c r="D10" s="25" t="n">
        <v>531</v>
      </c>
      <c r="E10" s="26">
        <f>E4*Assumptions!C$32</f>
        <v/>
      </c>
      <c r="F10" s="26">
        <f>F4*Assumptions!D$32</f>
        <v/>
      </c>
      <c r="G10" s="26">
        <f>G4*Assumptions!E$32</f>
        <v/>
      </c>
      <c r="H10" s="26">
        <f>H4*Assumptions!F$32</f>
        <v/>
      </c>
      <c r="I10" s="26">
        <f>I4*Assumptions!G$32</f>
        <v/>
      </c>
      <c r="J10" s="11" t="inlineStr">
        <is>
          <t>预测=收入×2.80%</t>
        </is>
      </c>
    </row>
    <row r="11">
      <c r="A11" s="4" t="inlineStr">
        <is>
          <t>管理费用</t>
        </is>
      </c>
      <c r="B11" s="25" t="n">
        <v>195.8</v>
      </c>
      <c r="C11" s="25" t="n">
        <v>323.4</v>
      </c>
      <c r="D11" s="25" t="n">
        <v>420.1</v>
      </c>
      <c r="E11" s="26">
        <f>E4*Assumptions!C$33</f>
        <v/>
      </c>
      <c r="F11" s="26">
        <f>F4*Assumptions!D$33</f>
        <v/>
      </c>
      <c r="G11" s="26">
        <f>G4*Assumptions!E$33</f>
        <v/>
      </c>
      <c r="H11" s="26">
        <f>H4*Assumptions!F$33</f>
        <v/>
      </c>
      <c r="I11" s="26">
        <f>I4*Assumptions!G$33</f>
        <v/>
      </c>
      <c r="J11" s="11" t="inlineStr">
        <is>
          <t>预测=收入×2.22%</t>
        </is>
      </c>
    </row>
    <row r="12">
      <c r="A12" s="4" t="inlineStr">
        <is>
          <t>研发费用</t>
        </is>
      </c>
      <c r="B12" s="25" t="n">
        <v>538.9</v>
      </c>
      <c r="C12" s="25" t="n">
        <v>789.6</v>
      </c>
      <c r="D12" s="25" t="n">
        <v>1140.9</v>
      </c>
      <c r="E12" s="26">
        <f>E4*Assumptions!C$34</f>
        <v/>
      </c>
      <c r="F12" s="26">
        <f>F4*Assumptions!D$34</f>
        <v/>
      </c>
      <c r="G12" s="26">
        <f>G4*Assumptions!E$34</f>
        <v/>
      </c>
      <c r="H12" s="26">
        <f>H4*Assumptions!F$34</f>
        <v/>
      </c>
      <c r="I12" s="26">
        <f>I4*Assumptions!G$34</f>
        <v/>
      </c>
      <c r="J12" s="11" t="inlineStr">
        <is>
          <t>预测=收入×6.02%</t>
        </is>
      </c>
    </row>
    <row r="13">
      <c r="A13" s="4" t="inlineStr">
        <is>
          <t>财务费用</t>
        </is>
      </c>
      <c r="B13" s="25" t="n">
        <v>-68.09999999999999</v>
      </c>
      <c r="C13" s="25" t="n">
        <v>-182.1</v>
      </c>
      <c r="D13" s="25" t="n">
        <v>-67.90000000000001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-67.8</v>
      </c>
      <c r="C14" s="25" t="n">
        <v>-256.2</v>
      </c>
      <c r="D14" s="25" t="n">
        <v>-174.6</v>
      </c>
      <c r="E14" s="26">
        <f>Assumptions!C$35</f>
        <v/>
      </c>
      <c r="F14" s="26">
        <f>Assumptions!D$35</f>
        <v/>
      </c>
      <c r="G14" s="26">
        <f>Assumptions!E$35</f>
        <v/>
      </c>
      <c r="H14" s="26">
        <f>Assumptions!F$35</f>
        <v/>
      </c>
      <c r="I14" s="26">
        <f>Assumptions!G$35</f>
        <v/>
      </c>
      <c r="J14" s="11" t="inlineStr">
        <is>
          <t>历史为轧差项; 预测取-175百万</t>
        </is>
      </c>
    </row>
    <row r="15">
      <c r="A15" s="3" t="inlineStr">
        <is>
          <t>营业利润</t>
        </is>
      </c>
      <c r="B15" s="35">
        <f>B7-B9-B10-B11-B12-B13+B14</f>
        <v/>
      </c>
      <c r="C15" s="35">
        <f>C7-C9-C10-C11-C12-C13+C14</f>
        <v/>
      </c>
      <c r="D15" s="35">
        <f>D7-D9-D10-D11-D12-D13+D14</f>
        <v/>
      </c>
      <c r="E15" s="35">
        <f>E7-E9-E10-E11-E12-E13+E14</f>
        <v/>
      </c>
      <c r="F15" s="35">
        <f>F7-F9-F10-F11-F12-F13+F14</f>
        <v/>
      </c>
      <c r="G15" s="35">
        <f>G7-G9-G10-G11-G12-G13+G14</f>
        <v/>
      </c>
      <c r="H15" s="35">
        <f>H7-H9-H10-H11-H12-H13+H14</f>
        <v/>
      </c>
      <c r="I15" s="35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-0.6</v>
      </c>
      <c r="C16" s="25" t="n">
        <v>-6.3</v>
      </c>
      <c r="D16" s="25" t="n">
        <v>-12.6</v>
      </c>
      <c r="E16" s="26">
        <f>Assumptions!C$36</f>
        <v/>
      </c>
      <c r="F16" s="26">
        <f>Assumptions!D$36</f>
        <v/>
      </c>
      <c r="G16" s="26">
        <f>Assumptions!E$36</f>
        <v/>
      </c>
      <c r="H16" s="26">
        <f>Assumptions!F$36</f>
        <v/>
      </c>
      <c r="I16" s="26">
        <f>Assumptions!G$36</f>
        <v/>
      </c>
      <c r="J16" s="11" t="inlineStr">
        <is>
          <t>2025A -12.6百万</t>
        </is>
      </c>
    </row>
    <row r="17">
      <c r="A17" s="3" t="inlineStr">
        <is>
          <t>利润总额</t>
        </is>
      </c>
      <c r="B17" s="35">
        <f>B15+B16</f>
        <v/>
      </c>
      <c r="C17" s="35">
        <f>C15+C16</f>
        <v/>
      </c>
      <c r="D17" s="35">
        <f>D15+D16</f>
        <v/>
      </c>
      <c r="E17" s="35">
        <f>E15+E16</f>
        <v/>
      </c>
      <c r="F17" s="35">
        <f>F15+F16</f>
        <v/>
      </c>
      <c r="G17" s="35">
        <f>G15+G16</f>
        <v/>
      </c>
      <c r="H17" s="35">
        <f>H15+H16</f>
        <v/>
      </c>
      <c r="I17" s="35">
        <f>I15+I16</f>
        <v/>
      </c>
      <c r="J17" s="11" t="inlineStr"/>
    </row>
    <row r="18">
      <c r="A18" s="4" t="inlineStr">
        <is>
          <t>所得税</t>
        </is>
      </c>
      <c r="B18" s="25" t="n">
        <v>215.8</v>
      </c>
      <c r="C18" s="25" t="n">
        <v>383.4</v>
      </c>
      <c r="D18" s="25" t="n">
        <v>579.5</v>
      </c>
      <c r="E18" s="26">
        <f>E17*Assumptions!C$37</f>
        <v/>
      </c>
      <c r="F18" s="26">
        <f>F17*Assumptions!D$37</f>
        <v/>
      </c>
      <c r="G18" s="26">
        <f>G17*Assumptions!E$37</f>
        <v/>
      </c>
      <c r="H18" s="26">
        <f>H17*Assumptions!F$37</f>
        <v/>
      </c>
      <c r="I18" s="26">
        <f>I17*Assumptions!G$37</f>
        <v/>
      </c>
      <c r="J18" s="11" t="inlineStr">
        <is>
          <t>预测=利润总额×13.2%</t>
        </is>
      </c>
    </row>
    <row r="19">
      <c r="A19" s="3" t="inlineStr">
        <is>
          <t>净利润</t>
        </is>
      </c>
      <c r="B19" s="35">
        <f>B17-B18</f>
        <v/>
      </c>
      <c r="C19" s="35">
        <f>C17-C18</f>
        <v/>
      </c>
      <c r="D19" s="35">
        <f>D17-D18</f>
        <v/>
      </c>
      <c r="E19" s="35">
        <f>E17-E18</f>
        <v/>
      </c>
      <c r="F19" s="35">
        <f>F17-F18</f>
        <v/>
      </c>
      <c r="G19" s="35">
        <f>G17-G18</f>
        <v/>
      </c>
      <c r="H19" s="35">
        <f>H17-H18</f>
        <v/>
      </c>
      <c r="I19" s="35">
        <f>I17-I18</f>
        <v/>
      </c>
      <c r="J19" s="11" t="inlineStr">
        <is>
          <t>合并口径(含少数股东损益)</t>
        </is>
      </c>
    </row>
    <row r="20">
      <c r="A20" s="3" t="inlineStr">
        <is>
          <t>归母净利润</t>
        </is>
      </c>
      <c r="B20" s="36" t="n">
        <v>1512.5</v>
      </c>
      <c r="C20" s="36" t="n">
        <v>2587.2</v>
      </c>
      <c r="D20" s="36" t="n">
        <v>3822.3</v>
      </c>
      <c r="E20" s="35">
        <f>E19*(1-Assumptions!C$38)</f>
        <v/>
      </c>
      <c r="F20" s="35">
        <f>F19*(1-Assumptions!D$38)</f>
        <v/>
      </c>
      <c r="G20" s="35">
        <f>G19*(1-Assumptions!E$38)</f>
        <v/>
      </c>
      <c r="H20" s="35">
        <f>H19*(1-Assumptions!F$38)</f>
        <v/>
      </c>
      <c r="I20" s="35">
        <f>I19*(1-Assumptions!G$38)</f>
        <v/>
      </c>
      <c r="J20" s="11" t="inlineStr">
        <is>
          <t>历史: 2023A 15.1亿/2024A 25.9亿/2025A 38.2亿 (config硬数, 归母口径=hist.cf.np); 预测=净利润×(1-少数股东损益占比)</t>
        </is>
      </c>
    </row>
    <row r="21">
      <c r="A21" s="4" t="inlineStr">
        <is>
          <t>少数股东损益</t>
        </is>
      </c>
      <c r="B21" s="26">
        <f>B19-B20</f>
        <v/>
      </c>
      <c r="C21" s="26">
        <f>C19-C20</f>
        <v/>
      </c>
      <c r="D21" s="26">
        <f>D19-D20</f>
        <v/>
      </c>
      <c r="E21" s="26">
        <f>E19-E20</f>
        <v/>
      </c>
      <c r="F21" s="26">
        <f>F19-F20</f>
        <v/>
      </c>
      <c r="G21" s="26">
        <f>G19-G20</f>
        <v/>
      </c>
      <c r="H21" s="26">
        <f>H19-H20</f>
        <v/>
      </c>
      <c r="I21" s="26">
        <f>I19-I20</f>
        <v/>
      </c>
      <c r="J21" s="11" t="inlineStr">
        <is>
          <t>＝净利润-归母净利润; 历史为合并与归母口径差(倒挤), 预测=净利润×mi_share</t>
        </is>
      </c>
    </row>
    <row r="22">
      <c r="A22" s="4" t="inlineStr">
        <is>
          <t xml:space="preserve">  归母净利率</t>
        </is>
      </c>
      <c r="B22" s="16">
        <f>B20/B4</f>
        <v/>
      </c>
      <c r="C22" s="16">
        <f>C20/C4</f>
        <v/>
      </c>
      <c r="D22" s="16">
        <f>D20/D4</f>
        <v/>
      </c>
      <c r="E22" s="16">
        <f>E20/E4</f>
        <v/>
      </c>
      <c r="F22" s="16">
        <f>F20/F4</f>
        <v/>
      </c>
      <c r="G22" s="16">
        <f>G20/G4</f>
        <v/>
      </c>
      <c r="H22" s="16">
        <f>H20/H4</f>
        <v/>
      </c>
      <c r="I22" s="16">
        <f>I20/I4</f>
        <v/>
      </c>
      <c r="J22" s="11" t="inlineStr">
        <is>
          <t>2025A 20.2%</t>
        </is>
      </c>
    </row>
    <row r="23">
      <c r="A23" s="4" t="inlineStr">
        <is>
          <t>EPS(元/股)</t>
        </is>
      </c>
      <c r="B23" s="14">
        <f>B20/Equity_Roll!$C$21</f>
        <v/>
      </c>
      <c r="C23" s="14">
        <f>C20/Equity_Roll!$C$21</f>
        <v/>
      </c>
      <c r="D23" s="14">
        <f>D20/Equity_Roll!$C$21</f>
        <v/>
      </c>
      <c r="E23" s="14">
        <f>E20/Equity_Roll!$C$21</f>
        <v/>
      </c>
      <c r="F23" s="14">
        <f>F20/Equity_Roll!$C$21</f>
        <v/>
      </c>
      <c r="G23" s="14">
        <f>G20/Equity_Roll!$C$21</f>
        <v/>
      </c>
      <c r="H23" s="14">
        <f>H20/Equity_Roll!$C$21</f>
        <v/>
      </c>
      <c r="I23" s="14">
        <f>I20/Equity_Roll!$C$21</f>
        <v/>
      </c>
      <c r="J23" s="11" t="inlineStr">
        <is>
          <t>＝归母/稀释股数(Equity_Roll页, 现=19.24亿股)</t>
        </is>
      </c>
    </row>
    <row r="24">
      <c r="A24" s="3" t="inlineStr">
        <is>
          <t>EBIT (利润总额+财务费用)</t>
        </is>
      </c>
      <c r="B24" s="35">
        <f>B17+B13</f>
        <v/>
      </c>
      <c r="C24" s="35">
        <f>C17+C13</f>
        <v/>
      </c>
      <c r="D24" s="35">
        <f>D17+D13</f>
        <v/>
      </c>
      <c r="E24" s="35">
        <f>E17+E13</f>
        <v/>
      </c>
      <c r="F24" s="35">
        <f>F17+F13</f>
        <v/>
      </c>
      <c r="G24" s="35">
        <f>G17+G13</f>
        <v/>
      </c>
      <c r="H24" s="35">
        <f>H17+H13</f>
        <v/>
      </c>
      <c r="I24" s="35">
        <f>I17+I13</f>
        <v/>
      </c>
      <c r="J24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BS 资产负债表 (2023A-2030E)</t>
        </is>
      </c>
    </row>
    <row r="2" ht="14" customHeight="1">
      <c r="A2" s="11" t="inlineStr">
        <is>
          <t>单位: 人民币百万元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2097.9</v>
      </c>
      <c r="C4" s="25" t="n">
        <v>1542.7</v>
      </c>
      <c r="D4" s="25" t="n">
        <v>2579.1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50.2</v>
      </c>
      <c r="C5" s="25" t="n">
        <v>0</v>
      </c>
      <c r="D5" s="25" t="n">
        <v>0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2693.4</v>
      </c>
      <c r="C6" s="25" t="n">
        <v>4043.7</v>
      </c>
      <c r="D6" s="25" t="n">
        <v>5507.2</v>
      </c>
      <c r="E6" s="26">
        <f>Assumptions!C$42/365*IS!E4</f>
        <v/>
      </c>
      <c r="F6" s="26">
        <f>Assumptions!D$42/365*IS!F4</f>
        <v/>
      </c>
      <c r="G6" s="26">
        <f>Assumptions!E$42/365*IS!G4</f>
        <v/>
      </c>
      <c r="H6" s="26">
        <f>Assumptions!F$42/365*IS!H4</f>
        <v/>
      </c>
      <c r="I6" s="26">
        <f>Assumptions!G$42/365*IS!I4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16.4</v>
      </c>
      <c r="C7" s="25" t="n">
        <v>41.1</v>
      </c>
      <c r="D7" s="25" t="n">
        <v>98.7</v>
      </c>
      <c r="E7" s="26">
        <f>IS!E4*Assumptions!C$45</f>
        <v/>
      </c>
      <c r="F7" s="26">
        <f>IS!F4*Assumptions!D$45</f>
        <v/>
      </c>
      <c r="G7" s="26">
        <f>IS!G4*Assumptions!E$45</f>
        <v/>
      </c>
      <c r="H7" s="26">
        <f>IS!H4*Assumptions!F$45</f>
        <v/>
      </c>
      <c r="I7" s="26">
        <f>IS!I4*Assumptions!G$45</f>
        <v/>
      </c>
      <c r="J7" s="11" t="inlineStr">
        <is>
          <t>预测=收入×0.5%</t>
        </is>
      </c>
    </row>
    <row r="8">
      <c r="A8" s="4" t="inlineStr">
        <is>
          <t>其他应收款</t>
        </is>
      </c>
      <c r="B8" s="25" t="n">
        <v>23.3</v>
      </c>
      <c r="C8" s="25" t="n">
        <v>450.8</v>
      </c>
      <c r="D8" s="25" t="n">
        <v>471.6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1749.2</v>
      </c>
      <c r="C9" s="25" t="n">
        <v>2436.1</v>
      </c>
      <c r="D9" s="25" t="n">
        <v>4245.9</v>
      </c>
      <c r="E9" s="26">
        <f>Assumptions!C$43/365*IS!E6</f>
        <v/>
      </c>
      <c r="F9" s="26">
        <f>Assumptions!D$43/365*IS!F6</f>
        <v/>
      </c>
      <c r="G9" s="26">
        <f>Assumptions!E$43/365*IS!G6</f>
        <v/>
      </c>
      <c r="H9" s="26">
        <f>Assumptions!F$43/365*IS!H6</f>
        <v/>
      </c>
      <c r="I9" s="26">
        <f>Assumptions!G$43/365*IS!I6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1210.5</v>
      </c>
      <c r="C10" s="25" t="n">
        <v>1163.3</v>
      </c>
      <c r="D10" s="25" t="n">
        <v>3072.6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4">
        <f>B4+B5+B6+B7+B8+B9+B10</f>
        <v/>
      </c>
      <c r="C11" s="34">
        <f>C4+C5+C6+C7+C8+C9+C10</f>
        <v/>
      </c>
      <c r="D11" s="34">
        <f>D4+D5+D6+D7+D8+D9+D10</f>
        <v/>
      </c>
      <c r="E11" s="34">
        <f>E4+E5+E6+E7+E8+E9+E10</f>
        <v/>
      </c>
      <c r="F11" s="34">
        <f>F4+F5+F6+F7+F8+F9+F10</f>
        <v/>
      </c>
      <c r="G11" s="34">
        <f>G4+G5+G6+G7+G8+G9+G10</f>
        <v/>
      </c>
      <c r="H11" s="34">
        <f>H4+H5+H6+H7+H8+H9+H10</f>
        <v/>
      </c>
      <c r="I11" s="34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4259.5</v>
      </c>
      <c r="C12" s="25" t="n">
        <v>6081.3</v>
      </c>
      <c r="D12" s="25" t="n">
        <v>8166.3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2025A固资57.1亿+在建24.6亿</t>
        </is>
      </c>
    </row>
    <row r="13">
      <c r="A13" s="4" t="inlineStr">
        <is>
          <t>使用权资产</t>
        </is>
      </c>
      <c r="B13" s="25" t="n">
        <v>0.1</v>
      </c>
      <c r="C13" s="25" t="n">
        <v>0</v>
      </c>
      <c r="D13" s="25" t="n">
        <v>19.4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374.9</v>
      </c>
      <c r="C14" s="25" t="n">
        <v>365.4</v>
      </c>
      <c r="D14" s="25" t="n">
        <v>388.7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3.6</v>
      </c>
      <c r="C16" s="25" t="n">
        <v>4</v>
      </c>
      <c r="D16" s="25" t="n">
        <v>4.2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90.09999999999999</v>
      </c>
      <c r="C17" s="25" t="n">
        <v>166.4</v>
      </c>
      <c r="D17" s="25" t="n">
        <v>322.1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210.9</v>
      </c>
      <c r="C18" s="25" t="n">
        <v>430.3</v>
      </c>
      <c r="D18" s="25" t="n">
        <v>486.8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2025A末4.9亿已计入DCF的EV→Equity桥</t>
        </is>
      </c>
    </row>
    <row r="19">
      <c r="A19" s="4" t="inlineStr">
        <is>
          <t>其他非流动资产</t>
        </is>
      </c>
      <c r="B19" s="25" t="n">
        <v>3255.6</v>
      </c>
      <c r="C19" s="25" t="n">
        <v>4454.9</v>
      </c>
      <c r="D19" s="25" t="n">
        <v>2891.7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历史为轧差, 预测持平</t>
        </is>
      </c>
    </row>
    <row r="20">
      <c r="A20" s="3" t="inlineStr">
        <is>
          <t>非流动资产合计</t>
        </is>
      </c>
      <c r="B20" s="34">
        <f>B12+B13+B14+B15+B16+B17+B18+B19</f>
        <v/>
      </c>
      <c r="C20" s="34">
        <f>C12+C13+C14+C15+C16+C17+C18+C19</f>
        <v/>
      </c>
      <c r="D20" s="34">
        <f>D12+D13+D14+D15+D16+D17+D18+D19</f>
        <v/>
      </c>
      <c r="E20" s="34">
        <f>E12+E13+E14+E15+E16+E17+E18+E19</f>
        <v/>
      </c>
      <c r="F20" s="34">
        <f>F12+F13+F14+F15+F16+F17+F18+F19</f>
        <v/>
      </c>
      <c r="G20" s="34">
        <f>G12+G13+G14+G15+G16+G17+G18+G19</f>
        <v/>
      </c>
      <c r="H20" s="34">
        <f>H12+H13+H14+H15+H16+H17+H18+H19</f>
        <v/>
      </c>
      <c r="I20" s="34">
        <f>I12+I13+I14+I15+I16+I17+I18+I19</f>
        <v/>
      </c>
      <c r="J20" s="11" t="inlineStr"/>
    </row>
    <row r="21">
      <c r="A21" s="3" t="inlineStr">
        <is>
          <t>资产总计</t>
        </is>
      </c>
      <c r="B21" s="34">
        <f>B11+B20</f>
        <v/>
      </c>
      <c r="C21" s="34">
        <f>C11+C20</f>
        <v/>
      </c>
      <c r="D21" s="34">
        <f>D11+D20</f>
        <v/>
      </c>
      <c r="E21" s="34">
        <f>E11+E20</f>
        <v/>
      </c>
      <c r="F21" s="34">
        <f>F11+F20</f>
        <v/>
      </c>
      <c r="G21" s="34">
        <f>G11+G20</f>
        <v/>
      </c>
      <c r="H21" s="34">
        <f>H11+H20</f>
        <v/>
      </c>
      <c r="I21" s="34">
        <f>I11+I20</f>
        <v/>
      </c>
      <c r="J21" s="11" t="inlineStr">
        <is>
          <t>2025A 282.5亿</t>
        </is>
      </c>
    </row>
    <row r="22">
      <c r="A22" s="4" t="inlineStr">
        <is>
          <t>短期借款</t>
        </is>
      </c>
      <c r="B22" s="25" t="n">
        <v>1434.5</v>
      </c>
      <c r="C22" s="25" t="n">
        <v>1654.5</v>
      </c>
      <c r="D22" s="25" t="n">
        <v>2169.9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2623.7</v>
      </c>
      <c r="C23" s="25" t="n">
        <v>4236.9</v>
      </c>
      <c r="D23" s="25" t="n">
        <v>6629.6</v>
      </c>
      <c r="E23" s="26">
        <f>Assumptions!C$44/365*IS!E6</f>
        <v/>
      </c>
      <c r="F23" s="26">
        <f>Assumptions!D$44/365*IS!F6</f>
        <v/>
      </c>
      <c r="G23" s="26">
        <f>Assumptions!E$44/365*IS!G6</f>
        <v/>
      </c>
      <c r="H23" s="26">
        <f>Assumptions!F$44/365*IS!H6</f>
        <v/>
      </c>
      <c r="I23" s="26">
        <f>Assumptions!G$44/365*IS!I6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22.6</v>
      </c>
      <c r="C24" s="25" t="n">
        <v>28.9</v>
      </c>
      <c r="D24" s="25" t="n">
        <v>65.8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296.5</v>
      </c>
      <c r="C25" s="25" t="n">
        <v>477.1</v>
      </c>
      <c r="D25" s="25" t="n">
        <v>530.2</v>
      </c>
      <c r="E25" s="26">
        <f>IS!E4*Assumptions!C$46</f>
        <v/>
      </c>
      <c r="F25" s="26">
        <f>IS!F4*Assumptions!D$46</f>
        <v/>
      </c>
      <c r="G25" s="26">
        <f>IS!G4*Assumptions!E$46</f>
        <v/>
      </c>
      <c r="H25" s="26">
        <f>IS!H4*Assumptions!F$46</f>
        <v/>
      </c>
      <c r="I25" s="26">
        <f>IS!I4*Assumptions!G$46</f>
        <v/>
      </c>
      <c r="J25" s="11" t="inlineStr">
        <is>
          <t>预测=收入×2.8%</t>
        </is>
      </c>
    </row>
    <row r="26">
      <c r="A26" s="4" t="inlineStr">
        <is>
          <t>应交税费</t>
        </is>
      </c>
      <c r="B26" s="25" t="n">
        <v>92.3</v>
      </c>
      <c r="C26" s="25" t="n">
        <v>136.5</v>
      </c>
      <c r="D26" s="25" t="n">
        <v>274.2</v>
      </c>
      <c r="E26" s="26">
        <f>IS!E4*Assumptions!C$47</f>
        <v/>
      </c>
      <c r="F26" s="26">
        <f>IS!F4*Assumptions!D$47</f>
        <v/>
      </c>
      <c r="G26" s="26">
        <f>IS!G4*Assumptions!E$47</f>
        <v/>
      </c>
      <c r="H26" s="26">
        <f>IS!H4*Assumptions!F$47</f>
        <v/>
      </c>
      <c r="I26" s="26">
        <f>IS!I4*Assumptions!G$47</f>
        <v/>
      </c>
      <c r="J26" s="11" t="inlineStr">
        <is>
          <t>预测=收入×1.5%</t>
        </is>
      </c>
    </row>
    <row r="27">
      <c r="A27" s="4" t="inlineStr">
        <is>
          <t>其他应付款</t>
        </is>
      </c>
      <c r="B27" s="25" t="n">
        <v>228.8</v>
      </c>
      <c r="C27" s="25" t="n">
        <v>380.7</v>
      </c>
      <c r="D27" s="25" t="n">
        <v>554.1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324.4</v>
      </c>
      <c r="C28" s="25" t="n">
        <v>662</v>
      </c>
      <c r="D28" s="25" t="n">
        <v>500.1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0</v>
      </c>
      <c r="C29" s="25" t="n">
        <v>0</v>
      </c>
      <c r="D29" s="25" t="n">
        <v>0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4">
        <f>B22+B23+B24+B25+B26+B27+B28+B29</f>
        <v/>
      </c>
      <c r="C30" s="34">
        <f>C22+C23+C24+C25+C26+C27+C28+C29</f>
        <v/>
      </c>
      <c r="D30" s="34">
        <f>D22+D23+D24+D25+D26+D27+D28+D29</f>
        <v/>
      </c>
      <c r="E30" s="34">
        <f>E22+E23+E24+E25+E26+E27+E28+E29</f>
        <v/>
      </c>
      <c r="F30" s="34">
        <f>F22+F23+F24+F25+F26+F27+F28+F29</f>
        <v/>
      </c>
      <c r="G30" s="34">
        <f>G22+G23+G24+G25+G26+G27+G28+G29</f>
        <v/>
      </c>
      <c r="H30" s="34">
        <f>H22+H23+H24+H25+H26+H27+H28+H29</f>
        <v/>
      </c>
      <c r="I30" s="34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846.5</v>
      </c>
      <c r="C31" s="25" t="n">
        <v>1309.9</v>
      </c>
      <c r="D31" s="25" t="n">
        <v>1885.7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0</v>
      </c>
      <c r="C32" s="25" t="n">
        <v>0</v>
      </c>
      <c r="D32" s="25" t="n">
        <v>11.8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329</v>
      </c>
      <c r="C33" s="25" t="n">
        <v>392</v>
      </c>
      <c r="D33" s="25" t="n">
        <v>504.6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4">
        <f>B31+B32+B33</f>
        <v/>
      </c>
      <c r="C34" s="34">
        <f>C31+C32+C33</f>
        <v/>
      </c>
      <c r="D34" s="34">
        <f>D31+D32+D33</f>
        <v/>
      </c>
      <c r="E34" s="34">
        <f>E31+E32+E33</f>
        <v/>
      </c>
      <c r="F34" s="34">
        <f>F31+F32+F33</f>
        <v/>
      </c>
      <c r="G34" s="34">
        <f>G31+G32+G33</f>
        <v/>
      </c>
      <c r="H34" s="34">
        <f>H31+H32+H33</f>
        <v/>
      </c>
      <c r="I34" s="34">
        <f>I31+I32+I33</f>
        <v/>
      </c>
      <c r="J34" s="11" t="inlineStr"/>
    </row>
    <row r="35">
      <c r="A35" s="3" t="inlineStr">
        <is>
          <t>负债合计</t>
        </is>
      </c>
      <c r="B35" s="34">
        <f>B30+B34</f>
        <v/>
      </c>
      <c r="C35" s="34">
        <f>C30+C34</f>
        <v/>
      </c>
      <c r="D35" s="34">
        <f>D30+D34</f>
        <v/>
      </c>
      <c r="E35" s="34">
        <f>E30+E34</f>
        <v/>
      </c>
      <c r="F35" s="34">
        <f>F30+F34</f>
        <v/>
      </c>
      <c r="G35" s="34">
        <f>G30+G34</f>
        <v/>
      </c>
      <c r="H35" s="34">
        <f>H30+H34</f>
        <v/>
      </c>
      <c r="I35" s="34">
        <f>I30+I34</f>
        <v/>
      </c>
    </row>
    <row r="36">
      <c r="A36" s="4" t="inlineStr">
        <is>
          <t>股本</t>
        </is>
      </c>
      <c r="B36" s="25" t="n">
        <v>1908.6</v>
      </c>
      <c r="C36" s="25" t="n">
        <v>1918.6</v>
      </c>
      <c r="D36" s="25" t="n">
        <v>1924.4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556.8</v>
      </c>
      <c r="C37" s="25" t="n">
        <v>762.8</v>
      </c>
      <c r="D37" s="25" t="n">
        <v>1070.2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0</v>
      </c>
      <c r="C38" s="25" t="n">
        <v>0</v>
      </c>
      <c r="D38" s="25" t="n">
        <v>0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100.4</v>
      </c>
      <c r="C39" s="25" t="n">
        <v>310</v>
      </c>
      <c r="D39" s="25" t="n">
        <v>408.2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908.8</v>
      </c>
      <c r="C40" s="25" t="n">
        <v>1164.8</v>
      </c>
      <c r="D40" s="25" t="n">
        <v>1164.8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预测=Equity_Roll(期初+归母×10%)</t>
        </is>
      </c>
    </row>
    <row r="41">
      <c r="A41" s="4" t="inlineStr">
        <is>
          <t>未分配利润</t>
        </is>
      </c>
      <c r="B41" s="25" t="n">
        <v>6310.1</v>
      </c>
      <c r="C41" s="25" t="n">
        <v>7684.5</v>
      </c>
      <c r="D41" s="25" t="n">
        <v>10545.1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0.1</v>
      </c>
      <c r="C42" s="25" t="n">
        <v>0.2</v>
      </c>
      <c r="D42" s="25" t="n">
        <v>0.2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4">
        <f>B36+B37-B38+B39+B40+B41+B42</f>
        <v/>
      </c>
      <c r="C43" s="34">
        <f>C36+C37-C38+C39+C40+C41+C42</f>
        <v/>
      </c>
      <c r="D43" s="34">
        <f>D36+D37-D38+D39+D40+D41+D42</f>
        <v/>
      </c>
      <c r="E43" s="34">
        <f>E36+E37-E38+E39+E40+E41+E42</f>
        <v/>
      </c>
      <c r="F43" s="34">
        <f>F36+F37-F38+F39+F40+F41+F42</f>
        <v/>
      </c>
      <c r="G43" s="34">
        <f>G36+G37-G38+G39+G40+G41+G42</f>
        <v/>
      </c>
      <c r="H43" s="34">
        <f>H36+H37-H38+H39+H40+H41+H42</f>
        <v/>
      </c>
      <c r="I43" s="34">
        <f>I36+I37-I38+I39+I40+I41+I42</f>
        <v/>
      </c>
    </row>
    <row r="44">
      <c r="A44" s="4" t="inlineStr">
        <is>
          <t>少数股东权益</t>
        </is>
      </c>
      <c r="B44" s="25" t="n">
        <v>52.5</v>
      </c>
      <c r="C44" s="25" t="n">
        <v>60.6</v>
      </c>
      <c r="D44" s="25" t="n">
        <v>15.4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预测持平</t>
        </is>
      </c>
    </row>
    <row r="45">
      <c r="A45" s="3" t="inlineStr">
        <is>
          <t>所有者权益合计</t>
        </is>
      </c>
      <c r="B45" s="35">
        <f>B43+B44</f>
        <v/>
      </c>
      <c r="C45" s="35">
        <f>C43+C44</f>
        <v/>
      </c>
      <c r="D45" s="35">
        <f>D43+D44</f>
        <v/>
      </c>
      <c r="E45" s="35">
        <f>E43+E44</f>
        <v/>
      </c>
      <c r="F45" s="35">
        <f>F43+F44</f>
        <v/>
      </c>
      <c r="G45" s="35">
        <f>G43+G44</f>
        <v/>
      </c>
      <c r="H45" s="35">
        <f>H43+H44</f>
        <v/>
      </c>
      <c r="I45" s="35">
        <f>I43+I44</f>
        <v/>
      </c>
    </row>
    <row r="46">
      <c r="A46" s="3" t="inlineStr">
        <is>
          <t>负债和所有者权益总计</t>
        </is>
      </c>
      <c r="B46" s="34">
        <f>B35+B45</f>
        <v/>
      </c>
      <c r="C46" s="34">
        <f>C35+C45</f>
        <v/>
      </c>
      <c r="D46" s="34">
        <f>D35+D45</f>
        <v/>
      </c>
      <c r="E46" s="34">
        <f>E35+E45</f>
        <v/>
      </c>
      <c r="F46" s="34">
        <f>F35+F45</f>
        <v/>
      </c>
      <c r="G46" s="34">
        <f>G35+G45</f>
        <v/>
      </c>
      <c r="H46" s="34">
        <f>H35+H45</f>
        <v/>
      </c>
      <c r="I46" s="34">
        <f>I35+I45</f>
        <v/>
      </c>
    </row>
    <row r="47">
      <c r="A47" s="32" t="inlineStr">
        <is>
          <t>配平差额检查(资产-负债权益)</t>
        </is>
      </c>
      <c r="B47" s="37">
        <f>B21-B46</f>
        <v/>
      </c>
      <c r="C47" s="37">
        <f>C21-C46</f>
        <v/>
      </c>
      <c r="D47" s="37">
        <f>D21-D46</f>
        <v/>
      </c>
      <c r="E47" s="37">
        <f>E21-E46</f>
        <v/>
      </c>
      <c r="F47" s="37">
        <f>F21-F46</f>
        <v/>
      </c>
      <c r="G47" s="37">
        <f>G21-G46</f>
        <v/>
      </c>
      <c r="H47" s="37">
        <f>H21-H46</f>
        <v/>
      </c>
      <c r="I47" s="37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CF 现金流量表 (间接法, 2023A-2030E)</t>
        </is>
      </c>
    </row>
    <row r="2" ht="14" customHeight="1">
      <c r="A2" s="11" t="inlineStr">
        <is>
          <t>单位: 人民币百万元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1512.5</v>
      </c>
      <c r="C4" s="25" t="n">
        <v>2587.2</v>
      </c>
      <c r="D4" s="25" t="n">
        <v>3822.3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415.8</v>
      </c>
      <c r="C5" s="25" t="n">
        <v>490.2</v>
      </c>
      <c r="D5" s="25" t="n">
        <v>601.1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6" t="n">
        <v>2243.3</v>
      </c>
      <c r="C8" s="36" t="n">
        <v>2325.2</v>
      </c>
      <c r="D8" s="36" t="n">
        <v>3872</v>
      </c>
      <c r="E8" s="35">
        <f>E4+E5+E6+E7</f>
        <v/>
      </c>
      <c r="F8" s="35">
        <f>F4+F5+F6+F7</f>
        <v/>
      </c>
      <c r="G8" s="35">
        <f>G4+G5+G6+G7</f>
        <v/>
      </c>
      <c r="H8" s="35">
        <f>H4+H5+H6+H7</f>
        <v/>
      </c>
      <c r="I8" s="35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-810.5</v>
      </c>
      <c r="C9" s="25" t="n">
        <v>-2147.8</v>
      </c>
      <c r="D9" s="25" t="n">
        <v>-3198.5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6" t="n">
        <v>-1870</v>
      </c>
      <c r="C12" s="36" t="n">
        <v>-3034.9</v>
      </c>
      <c r="D12" s="36" t="n">
        <v>-2655.1</v>
      </c>
      <c r="E12" s="35">
        <f>E9+E10+E11</f>
        <v/>
      </c>
      <c r="F12" s="35">
        <f>F9+F10+F11</f>
        <v/>
      </c>
      <c r="G12" s="35">
        <f>G9+G10+G11</f>
        <v/>
      </c>
      <c r="H12" s="35">
        <f>H9+H10+H11</f>
        <v/>
      </c>
      <c r="I12" s="35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6" t="n">
        <v>428.3</v>
      </c>
      <c r="C16" s="36" t="n">
        <v>71.40000000000001</v>
      </c>
      <c r="D16" s="36" t="n">
        <v>-209.7</v>
      </c>
      <c r="E16" s="35">
        <f>E13+E14+E15</f>
        <v/>
      </c>
      <c r="F16" s="35">
        <f>F13+F14+F15</f>
        <v/>
      </c>
      <c r="G16" s="35">
        <f>G13+G14+G15</f>
        <v/>
      </c>
      <c r="H16" s="35">
        <f>H13+H14+H15</f>
        <v/>
      </c>
      <c r="I16" s="35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5">
        <f>E8+E12+E16</f>
        <v/>
      </c>
      <c r="F17" s="35">
        <f>F8+F12+F16</f>
        <v/>
      </c>
      <c r="G17" s="35">
        <f>G8+G12+G16</f>
        <v/>
      </c>
      <c r="H17" s="35">
        <f>H8+H12+H16</f>
        <v/>
      </c>
      <c r="I17" s="35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6" t="n">
        <v>2097.9</v>
      </c>
      <c r="C19" s="36" t="n">
        <v>1542.7</v>
      </c>
      <c r="D19" s="36" t="n">
        <v>2579.1</v>
      </c>
      <c r="E19" s="35">
        <f>E18+E17</f>
        <v/>
      </c>
      <c r="F19" s="35">
        <f>F18+F17</f>
        <v/>
      </c>
      <c r="G19" s="35">
        <f>G18+G17</f>
        <v/>
      </c>
      <c r="H19" s="35">
        <f>H18+H17</f>
        <v/>
      </c>
      <c r="I19" s="35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Schedules 营运资本 / 无形资产 / 股利</t>
        </is>
      </c>
    </row>
    <row r="2" ht="14" customHeight="1">
      <c r="A2" s="11" t="inlineStr">
        <is>
          <t>单位: 人民币百万元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E21*Assumptions!$C$55</f>
        <v/>
      </c>
      <c r="F22" s="26">
        <f>F21*Assumptions!$C$55</f>
        <v/>
      </c>
      <c r="G22" s="26">
        <f>G21*Assumptions!$C$55</f>
        <v/>
      </c>
      <c r="H22" s="26">
        <f>H21*Assumptions!$C$55</f>
        <v/>
      </c>
      <c r="I22" s="26">
        <f>I21*Assumptions!$C$55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IS!D20*Assumptions!C$58</f>
        <v/>
      </c>
      <c r="F26" s="26">
        <f>IS!E20*Assumptions!D$58</f>
        <v/>
      </c>
      <c r="G26" s="26">
        <f>IS!F20*Assumptions!E$58</f>
        <v/>
      </c>
      <c r="H26" s="26">
        <f>IS!G20*Assumptions!F$58</f>
        <v/>
      </c>
      <c r="I26" s="26">
        <f>IS!H20*Assumptions!G$58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PP&amp;E 固定资产/在建工程滚动</t>
        </is>
      </c>
    </row>
    <row r="2" ht="14" customHeight="1">
      <c r="A2" s="11" t="inlineStr">
        <is>
          <t>单位: 人民币百万元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5706.3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2026期初=2025A固定资产57.1亿(绿色输入, 2025年报)</t>
        </is>
      </c>
    </row>
    <row r="7">
      <c r="A7" s="4" t="inlineStr">
        <is>
          <t>加: 在建工程转入</t>
        </is>
      </c>
      <c r="E7" s="26">
        <f>(E13+E14)*Assumptions!$C$51</f>
        <v/>
      </c>
      <c r="F7" s="26">
        <f>(F13+F14)*Assumptions!$C$51</f>
        <v/>
      </c>
      <c r="G7" s="26">
        <f>(G13+G14)*Assumptions!$C$51</f>
        <v/>
      </c>
      <c r="H7" s="26">
        <f>(H13+H14)*Assumptions!$C$51</f>
        <v/>
      </c>
      <c r="I7" s="26">
        <f>(I13+I14)*Assumptions!$C$51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E6*Assumptions!$C$52+E7*Assumptions!$C$53</f>
        <v/>
      </c>
      <c r="F8" s="26">
        <f>F6*Assumptions!$C$52+F7*Assumptions!$C$53</f>
        <v/>
      </c>
      <c r="G8" s="26">
        <f>G6*Assumptions!$C$52+G7*Assumptions!$C$53</f>
        <v/>
      </c>
      <c r="H8" s="26">
        <f>H6*Assumptions!$C$52+H7*Assumptions!$C$53</f>
        <v/>
      </c>
      <c r="I8" s="26">
        <f>I6*Assumptions!$C$52+I7*Assumptions!$C$53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E6*Assumptions!$C$54</f>
        <v/>
      </c>
      <c r="F9" s="26">
        <f>F6*Assumptions!$C$54</f>
        <v/>
      </c>
      <c r="G9" s="26">
        <f>G6*Assumptions!$C$54</f>
        <v/>
      </c>
      <c r="H9" s="26">
        <f>H6*Assumptions!$C$54</f>
        <v/>
      </c>
      <c r="I9" s="26">
        <f>I6*Assumptions!$C$54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2460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2026期初=2025A在建工程24.6亿(绿色输入); 5706.3+2460.0=8166.3与BS一致</t>
        </is>
      </c>
    </row>
    <row r="14">
      <c r="A14" s="4" t="inlineStr">
        <is>
          <t>加: 资本开支 Capex</t>
        </is>
      </c>
      <c r="E14" s="26">
        <f>IS!E4*Assumptions!C$50</f>
        <v/>
      </c>
      <c r="F14" s="26">
        <f>IS!F4*Assumptions!D$50</f>
        <v/>
      </c>
      <c r="G14" s="26">
        <f>IS!G4*Assumptions!E$50</f>
        <v/>
      </c>
      <c r="H14" s="26">
        <f>IS!H4*Assumptions!F$50</f>
        <v/>
      </c>
      <c r="I14" s="26">
        <f>IS!I4*Assumptions!G$50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2025A合计81.7亿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8">
        <f>E6/E8</f>
        <v/>
      </c>
      <c r="F21" s="38">
        <f>F6/F8</f>
        <v/>
      </c>
      <c r="G21" s="38">
        <f>G6/G8</f>
        <v/>
      </c>
      <c r="H21" s="38">
        <f>H6/H8</f>
        <v/>
      </c>
      <c r="I21" s="38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沪电股份 — FIN 债务与融资调度 (迭代展开·无循环引用)</t>
        </is>
      </c>
    </row>
    <row r="2" ht="14" customHeight="1">
      <c r="A2" s="11" t="inlineStr">
        <is>
          <t>单位: 人民币百万元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IS!E4*Assumptions!$C$62</f>
        <v/>
      </c>
      <c r="F13" s="26">
        <f>IS!F4*Assumptions!$C$62</f>
        <v/>
      </c>
      <c r="G13" s="26">
        <f>IS!G4*Assumptions!$C$62</f>
        <v/>
      </c>
      <c r="H13" s="26">
        <f>IS!H4*Assumptions!$C$62</f>
        <v/>
      </c>
      <c r="I13" s="26">
        <f>IS!I4*Assumptions!$C$62</f>
        <v/>
      </c>
      <c r="J13" s="11" t="inlineStr">
        <is>
          <t>＝收入×2%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Assumptions!C$63</f>
        <v/>
      </c>
      <c r="F19" s="26">
        <f>Assumptions!D$63</f>
        <v/>
      </c>
      <c r="G19" s="26">
        <f>Assumptions!E$63</f>
        <v/>
      </c>
      <c r="H19" s="26">
        <f>Assumptions!F$63</f>
        <v/>
      </c>
      <c r="I19" s="26">
        <f>Assumptions!G$63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E25*Assumptions!$C$67</f>
        <v/>
      </c>
      <c r="F26" s="26">
        <f>F25*Assumptions!$C$67</f>
        <v/>
      </c>
      <c r="G26" s="26">
        <f>G25*Assumptions!$C$67</f>
        <v/>
      </c>
      <c r="H26" s="26">
        <f>H25*Assumptions!$C$67</f>
        <v/>
      </c>
      <c r="I26" s="26">
        <f>I25*Assumptions!$C$67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Assumptions!C$64</f>
        <v/>
      </c>
      <c r="F30" s="26">
        <f>Assumptions!D$64</f>
        <v/>
      </c>
      <c r="G30" s="26">
        <f>Assumptions!E$64</f>
        <v/>
      </c>
      <c r="H30" s="26">
        <f>Assumptions!F$64</f>
        <v/>
      </c>
      <c r="I30" s="26">
        <f>Assumptions!G$64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E33*Assumptions!$C$68</f>
        <v/>
      </c>
      <c r="F34" s="26">
        <f>F33*Assumptions!$C$68</f>
        <v/>
      </c>
      <c r="G34" s="26">
        <f>G33*Assumptions!$C$68</f>
        <v/>
      </c>
      <c r="H34" s="26">
        <f>H33*Assumptions!$C$68</f>
        <v/>
      </c>
      <c r="I34" s="26">
        <f>I33*Assumptions!$C$68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Assumptions!C$65</f>
        <v/>
      </c>
      <c r="F38" s="26">
        <f>Assumptions!D$65</f>
        <v/>
      </c>
      <c r="G38" s="26">
        <f>Assumptions!E$65</f>
        <v/>
      </c>
      <c r="H38" s="26">
        <f>Assumptions!F$65</f>
        <v/>
      </c>
      <c r="I38" s="26">
        <f>Assumptions!G$65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E43*Assumptions!$C$69</f>
        <v/>
      </c>
      <c r="F44" s="26">
        <f>F43*Assumptions!$C$69</f>
        <v/>
      </c>
      <c r="G44" s="26">
        <f>G43*Assumptions!$C$69</f>
        <v/>
      </c>
      <c r="H44" s="26">
        <f>H43*Assumptions!$C$69</f>
        <v/>
      </c>
      <c r="I44" s="26">
        <f>I43*Assumptions!$C$69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Assumptions!C$66</f>
        <v/>
      </c>
      <c r="F48" s="26">
        <f>Assumptions!D$66</f>
        <v/>
      </c>
      <c r="G48" s="26">
        <f>Assumptions!E$66</f>
        <v/>
      </c>
      <c r="H48" s="26">
        <f>Assumptions!F$66</f>
        <v/>
      </c>
      <c r="I48" s="26">
        <f>Assumptions!G$66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E51*Assumptions!$C$70</f>
        <v/>
      </c>
      <c r="F52" s="26">
        <f>F51*Assumptions!$C$70</f>
        <v/>
      </c>
      <c r="G52" s="26">
        <f>G51*Assumptions!$C$70</f>
        <v/>
      </c>
      <c r="H52" s="26">
        <f>H51*Assumptions!$C$70</f>
        <v/>
      </c>
      <c r="I52" s="26">
        <f>I51*Assumptions!$C$70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2026=2025A末0.00亿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Assumptions!$C$72</f>
        <v/>
      </c>
      <c r="F66" s="26">
        <f>Assumptions!$C$72</f>
        <v/>
      </c>
      <c r="G66" s="26">
        <f>Assumptions!$C$72</f>
        <v/>
      </c>
      <c r="H66" s="26">
        <f>Assumptions!$C$72</f>
        <v/>
      </c>
      <c r="I66" s="26">
        <f>Assumptions!$C$72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E18*Assumptions!$C$67+E29*Assumptions!$C$68+E37*Assumptions!$C$69+E47*Assumptions!$C$70</f>
        <v/>
      </c>
      <c r="F72" s="26">
        <f>F18*Assumptions!$C$67+F29*Assumptions!$C$68+F37*Assumptions!$C$69+F47*Assumptions!$C$70</f>
        <v/>
      </c>
      <c r="G72" s="26">
        <f>G18*Assumptions!$C$67+G29*Assumptions!$C$68+G37*Assumptions!$C$69+G47*Assumptions!$C$70</f>
        <v/>
      </c>
      <c r="H72" s="26">
        <f>H18*Assumptions!$C$67+H29*Assumptions!$C$68+H37*Assumptions!$C$69+H47*Assumptions!$C$70</f>
        <v/>
      </c>
      <c r="I72" s="26">
        <f>I18*Assumptions!$C$67+I29*Assumptions!$C$68+I37*Assumptions!$C$69+I47*Assumptions!$C$70</f>
        <v/>
      </c>
    </row>
    <row r="73">
      <c r="A73" s="4" t="inlineStr">
        <is>
          <t>iter1: 采用利息收入 (=期初现金×收益率)</t>
        </is>
      </c>
      <c r="E73" s="26">
        <f>E6*Assumptions!$C$71</f>
        <v/>
      </c>
      <c r="F73" s="26">
        <f>F6*Assumptions!$C$71</f>
        <v/>
      </c>
      <c r="G73" s="26">
        <f>G6*Assumptions!$C$71</f>
        <v/>
      </c>
      <c r="H73" s="26">
        <f>H6*Assumptions!$C$71</f>
        <v/>
      </c>
      <c r="I73" s="26">
        <f>I6*Assumptions!$C$71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(IS!E7-IS!E9-IS!E10-IS!E11-IS!E12+IS!E14+IS!E16-E74)*(1-Assumptions!C$37)*(1-Assumptions!C$38)</f>
        <v/>
      </c>
      <c r="F75" s="26">
        <f>(IS!F7-IS!F9-IS!F10-IS!F11-IS!F12+IS!F14+IS!F16-F74)*(1-Assumptions!D$37)*(1-Assumptions!D$38)</f>
        <v/>
      </c>
      <c r="G75" s="26">
        <f>(IS!G7-IS!G9-IS!G10-IS!G11-IS!G12+IS!G14+IS!G16-G74)*(1-Assumptions!E$37)*(1-Assumptions!E$38)</f>
        <v/>
      </c>
      <c r="H75" s="26">
        <f>(IS!H7-IS!H9-IS!H10-IS!H11-IS!H12+IS!H14+IS!H16-H74)*(1-Assumptions!F$37)*(1-Assumptions!F$38)</f>
        <v/>
      </c>
      <c r="I75" s="26">
        <f>(IS!I7-IS!I9-IS!I10-IS!I11-IS!I12+IS!I14+IS!I16-I74)*(1-Assumptions!G$37)*(1-Assumptions!G$38)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(E18+E80)/2*Assumptions!$C$67+(E29+E32)/2*Assumptions!$C$68+(E37+E81)/2*Assumptions!$C$69+(E47+E50)/2*Assumptions!$C$70</f>
        <v/>
      </c>
      <c r="F82" s="26">
        <f>(F18+F80)/2*Assumptions!$C$67+(F29+F32)/2*Assumptions!$C$68+(F37+F81)/2*Assumptions!$C$69+(F47+F50)/2*Assumptions!$C$70</f>
        <v/>
      </c>
      <c r="G82" s="26">
        <f>(G18+G80)/2*Assumptions!$C$67+(G29+G32)/2*Assumptions!$C$68+(G37+G81)/2*Assumptions!$C$69+(G47+G50)/2*Assumptions!$C$70</f>
        <v/>
      </c>
      <c r="H82" s="26">
        <f>(H18+H80)/2*Assumptions!$C$67+(H29+H32)/2*Assumptions!$C$68+(H37+H81)/2*Assumptions!$C$69+(H47+H50)/2*Assumptions!$C$70</f>
        <v/>
      </c>
      <c r="I82" s="26">
        <f>(I18+I80)/2*Assumptions!$C$67+(I29+I32)/2*Assumptions!$C$68+(I37+I81)/2*Assumptions!$C$69+(I47+I50)/2*Assumptions!$C$70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(E6+E83)/2*Assumptions!$C$71</f>
        <v/>
      </c>
      <c r="F84" s="26">
        <f>(F6+F83)/2*Assumptions!$C$71</f>
        <v/>
      </c>
      <c r="G84" s="26">
        <f>(G6+G83)/2*Assumptions!$C$71</f>
        <v/>
      </c>
      <c r="H84" s="26">
        <f>(H6+H83)/2*Assumptions!$C$71</f>
        <v/>
      </c>
      <c r="I84" s="26">
        <f>(I6+I83)/2*Assumptions!$C$71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39">
        <f>ABS(E82-E72)+ABS(E84-E73)</f>
        <v/>
      </c>
      <c r="F86" s="39">
        <f>ABS(F82-F72)+ABS(F84-F73)</f>
        <v/>
      </c>
      <c r="G86" s="39">
        <f>ABS(G82-G72)+ABS(G84-G73)</f>
        <v/>
      </c>
      <c r="H86" s="39">
        <f>ABS(H82-H72)+ABS(H84-H73)</f>
        <v/>
      </c>
      <c r="I86" s="39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(IS!E7-IS!E9-IS!E10-IS!E11-IS!E12+IS!E14+IS!E16-E90)*(1-Assumptions!C$37)*(1-Assumptions!C$38)</f>
        <v/>
      </c>
      <c r="F91" s="26">
        <f>(IS!F7-IS!F9-IS!F10-IS!F11-IS!F12+IS!F14+IS!F16-F90)*(1-Assumptions!D$37)*(1-Assumptions!D$38)</f>
        <v/>
      </c>
      <c r="G91" s="26">
        <f>(IS!G7-IS!G9-IS!G10-IS!G11-IS!G12+IS!G14+IS!G16-G90)*(1-Assumptions!E$37)*(1-Assumptions!E$38)</f>
        <v/>
      </c>
      <c r="H91" s="26">
        <f>(IS!H7-IS!H9-IS!H10-IS!H11-IS!H12+IS!H14+IS!H16-H90)*(1-Assumptions!F$37)*(1-Assumptions!F$38)</f>
        <v/>
      </c>
      <c r="I91" s="26">
        <f>(IS!I7-IS!I9-IS!I10-IS!I11-IS!I12+IS!I14+IS!I16-I90)*(1-Assumptions!G$37)*(1-Assumptions!G$38)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(E18+E96)/2*Assumptions!$C$67+(E29+E32)/2*Assumptions!$C$68+(E37+E97)/2*Assumptions!$C$69+(E47+E50)/2*Assumptions!$C$70</f>
        <v/>
      </c>
      <c r="F98" s="26">
        <f>(F18+F96)/2*Assumptions!$C$67+(F29+F32)/2*Assumptions!$C$68+(F37+F97)/2*Assumptions!$C$69+(F47+F50)/2*Assumptions!$C$70</f>
        <v/>
      </c>
      <c r="G98" s="26">
        <f>(G18+G96)/2*Assumptions!$C$67+(G29+G32)/2*Assumptions!$C$68+(G37+G97)/2*Assumptions!$C$69+(G47+G50)/2*Assumptions!$C$70</f>
        <v/>
      </c>
      <c r="H98" s="26">
        <f>(H18+H96)/2*Assumptions!$C$67+(H29+H32)/2*Assumptions!$C$68+(H37+H97)/2*Assumptions!$C$69+(H47+H50)/2*Assumptions!$C$70</f>
        <v/>
      </c>
      <c r="I98" s="26">
        <f>(I18+I96)/2*Assumptions!$C$67+(I29+I32)/2*Assumptions!$C$68+(I37+I97)/2*Assumptions!$C$69+(I47+I50)/2*Assumptions!$C$70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(E6+E99)/2*Assumptions!$C$71</f>
        <v/>
      </c>
      <c r="F100" s="26">
        <f>(F6+F99)/2*Assumptions!$C$71</f>
        <v/>
      </c>
      <c r="G100" s="26">
        <f>(G6+G99)/2*Assumptions!$C$71</f>
        <v/>
      </c>
      <c r="H100" s="26">
        <f>(H6+H99)/2*Assumptions!$C$71</f>
        <v/>
      </c>
      <c r="I100" s="26">
        <f>(I6+I99)/2*Assumptions!$C$71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39">
        <f>ABS(E98-E88)+ABS(E100-E89)</f>
        <v/>
      </c>
      <c r="F102" s="39">
        <f>ABS(F98-F88)+ABS(F100-F89)</f>
        <v/>
      </c>
      <c r="G102" s="39">
        <f>ABS(G98-G88)+ABS(G100-G89)</f>
        <v/>
      </c>
      <c r="H102" s="39">
        <f>ABS(H98-H88)+ABS(H100-H89)</f>
        <v/>
      </c>
      <c r="I102" s="39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(IS!E7-IS!E9-IS!E10-IS!E11-IS!E12+IS!E14+IS!E16-E106)*(1-Assumptions!C$37)*(1-Assumptions!C$38)</f>
        <v/>
      </c>
      <c r="F107" s="26">
        <f>(IS!F7-IS!F9-IS!F10-IS!F11-IS!F12+IS!F14+IS!F16-F106)*(1-Assumptions!D$37)*(1-Assumptions!D$38)</f>
        <v/>
      </c>
      <c r="G107" s="26">
        <f>(IS!G7-IS!G9-IS!G10-IS!G11-IS!G12+IS!G14+IS!G16-G106)*(1-Assumptions!E$37)*(1-Assumptions!E$38)</f>
        <v/>
      </c>
      <c r="H107" s="26">
        <f>(IS!H7-IS!H9-IS!H10-IS!H11-IS!H12+IS!H14+IS!H16-H106)*(1-Assumptions!F$37)*(1-Assumptions!F$38)</f>
        <v/>
      </c>
      <c r="I107" s="26">
        <f>(IS!I7-IS!I9-IS!I10-IS!I11-IS!I12+IS!I14+IS!I16-I106)*(1-Assumptions!G$37)*(1-Assumptions!G$38)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(E18+E112)/2*Assumptions!$C$67+(E29+E32)/2*Assumptions!$C$68+(E37+E113)/2*Assumptions!$C$69+(E47+E50)/2*Assumptions!$C$70</f>
        <v/>
      </c>
      <c r="F114" s="26">
        <f>(F18+F112)/2*Assumptions!$C$67+(F29+F32)/2*Assumptions!$C$68+(F37+F113)/2*Assumptions!$C$69+(F47+F50)/2*Assumptions!$C$70</f>
        <v/>
      </c>
      <c r="G114" s="26">
        <f>(G18+G112)/2*Assumptions!$C$67+(G29+G32)/2*Assumptions!$C$68+(G37+G113)/2*Assumptions!$C$69+(G47+G50)/2*Assumptions!$C$70</f>
        <v/>
      </c>
      <c r="H114" s="26">
        <f>(H18+H112)/2*Assumptions!$C$67+(H29+H32)/2*Assumptions!$C$68+(H37+H113)/2*Assumptions!$C$69+(H47+H50)/2*Assumptions!$C$70</f>
        <v/>
      </c>
      <c r="I114" s="26">
        <f>(I18+I112)/2*Assumptions!$C$67+(I29+I32)/2*Assumptions!$C$68+(I37+I113)/2*Assumptions!$C$69+(I47+I50)/2*Assumptions!$C$70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(E6+E115)/2*Assumptions!$C$71</f>
        <v/>
      </c>
      <c r="F116" s="26">
        <f>(F6+F115)/2*Assumptions!$C$71</f>
        <v/>
      </c>
      <c r="G116" s="26">
        <f>(G6+G115)/2*Assumptions!$C$71</f>
        <v/>
      </c>
      <c r="H116" s="26">
        <f>(H6+H115)/2*Assumptions!$C$71</f>
        <v/>
      </c>
      <c r="I116" s="26">
        <f>(I6+I115)/2*Assumptions!$C$71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39">
        <f>ABS(E114-E104)+ABS(E116-E105)</f>
        <v/>
      </c>
      <c r="F118" s="39">
        <f>ABS(F114-F104)+ABS(F116-F105)</f>
        <v/>
      </c>
      <c r="G118" s="39">
        <f>ABS(G114-G104)+ABS(G116-G105)</f>
        <v/>
      </c>
      <c r="H118" s="39">
        <f>ABS(H114-H104)+ABS(H116-H105)</f>
        <v/>
      </c>
      <c r="I118" s="39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(IS!E7-IS!E9-IS!E10-IS!E11-IS!E12+IS!E14+IS!E16-E122)*(1-Assumptions!C$37)*(1-Assumptions!C$38)</f>
        <v/>
      </c>
      <c r="F123" s="26">
        <f>(IS!F7-IS!F9-IS!F10-IS!F11-IS!F12+IS!F14+IS!F16-F122)*(1-Assumptions!D$37)*(1-Assumptions!D$38)</f>
        <v/>
      </c>
      <c r="G123" s="26">
        <f>(IS!G7-IS!G9-IS!G10-IS!G11-IS!G12+IS!G14+IS!G16-G122)*(1-Assumptions!E$37)*(1-Assumptions!E$38)</f>
        <v/>
      </c>
      <c r="H123" s="26">
        <f>(IS!H7-IS!H9-IS!H10-IS!H11-IS!H12+IS!H14+IS!H16-H122)*(1-Assumptions!F$37)*(1-Assumptions!F$38)</f>
        <v/>
      </c>
      <c r="I123" s="26">
        <f>(IS!I7-IS!I9-IS!I10-IS!I11-IS!I12+IS!I14+IS!I16-I122)*(1-Assumptions!G$37)*(1-Assumptions!G$38)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(E18+E128)/2*Assumptions!$C$67+(E29+E32)/2*Assumptions!$C$68+(E37+E129)/2*Assumptions!$C$69+(E47+E50)/2*Assumptions!$C$70</f>
        <v/>
      </c>
      <c r="F130" s="26">
        <f>(F18+F128)/2*Assumptions!$C$67+(F29+F32)/2*Assumptions!$C$68+(F37+F129)/2*Assumptions!$C$69+(F47+F50)/2*Assumptions!$C$70</f>
        <v/>
      </c>
      <c r="G130" s="26">
        <f>(G18+G128)/2*Assumptions!$C$67+(G29+G32)/2*Assumptions!$C$68+(G37+G129)/2*Assumptions!$C$69+(G47+G50)/2*Assumptions!$C$70</f>
        <v/>
      </c>
      <c r="H130" s="26">
        <f>(H18+H128)/2*Assumptions!$C$67+(H29+H32)/2*Assumptions!$C$68+(H37+H129)/2*Assumptions!$C$69+(H47+H50)/2*Assumptions!$C$70</f>
        <v/>
      </c>
      <c r="I130" s="26">
        <f>(I18+I128)/2*Assumptions!$C$67+(I29+I32)/2*Assumptions!$C$68+(I37+I129)/2*Assumptions!$C$69+(I47+I50)/2*Assumptions!$C$70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(E6+E131)/2*Assumptions!$C$71</f>
        <v/>
      </c>
      <c r="F132" s="26">
        <f>(F6+F131)/2*Assumptions!$C$71</f>
        <v/>
      </c>
      <c r="G132" s="26">
        <f>(G6+G131)/2*Assumptions!$C$71</f>
        <v/>
      </c>
      <c r="H132" s="26">
        <f>(H6+H131)/2*Assumptions!$C$71</f>
        <v/>
      </c>
      <c r="I132" s="26">
        <f>(I6+I131)/2*Assumptions!$C$71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39">
        <f>ABS(E130-E120)+ABS(E132-E121)</f>
        <v/>
      </c>
      <c r="F134" s="39">
        <f>ABS(F130-F120)+ABS(F132-F121)</f>
        <v/>
      </c>
      <c r="G134" s="39">
        <f>ABS(G130-G120)+ABS(G132-G121)</f>
        <v/>
      </c>
      <c r="H134" s="39">
        <f>ABS(H130-H120)+ABS(H132-H121)</f>
        <v/>
      </c>
      <c r="I134" s="39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39">
        <f>ABS(E64-(E26+E34+E44+E52))</f>
        <v/>
      </c>
      <c r="F137" s="39">
        <f>ABS(F64-(F26+F34+F44+F52))</f>
        <v/>
      </c>
      <c r="G137" s="39">
        <f>ABS(G64-(G26+G34+G44+G52))</f>
        <v/>
      </c>
      <c r="H137" s="39">
        <f>ABS(H64-(H26+H34+H44+H52))</f>
        <v/>
      </c>
      <c r="I137" s="39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39">
        <f>ABS(E65-(E6+E63)/2*Assumptions!$C$71)</f>
        <v/>
      </c>
      <c r="F138" s="39">
        <f>ABS(F65-(F6+F63)/2*Assumptions!$C$71)</f>
        <v/>
      </c>
      <c r="G138" s="39">
        <f>ABS(G65-(G6+G63)/2*Assumptions!$C$71)</f>
        <v/>
      </c>
      <c r="H138" s="39">
        <f>ABS(H65-(H6+H63)/2*Assumptions!$C$71)</f>
        <v/>
      </c>
      <c r="I138" s="39">
        <f>ABS(I65-(I6+I63)/2*Assumptions!$C$71)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0">
        <f>MAX(E137,E138)</f>
        <v/>
      </c>
      <c r="F139" s="40">
        <f>MAX(F137,F138)</f>
        <v/>
      </c>
      <c r="G139" s="40">
        <f>MAX(G137,G138)</f>
        <v/>
      </c>
      <c r="H139" s="40">
        <f>MAX(H137,H138)</f>
        <v/>
      </c>
      <c r="I139" s="40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Equity_Roll 所有者权益滚动</t>
        </is>
      </c>
    </row>
    <row r="2" ht="14" customHeight="1">
      <c r="A2" s="11" t="inlineStr">
        <is>
          <t>单位: 人民币百万元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1908.6</v>
      </c>
      <c r="C5" s="25" t="n">
        <v>1918.6</v>
      </c>
      <c r="D5" s="25" t="n">
        <v>1924.4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556.8</v>
      </c>
      <c r="C6" s="25" t="n">
        <v>762.8</v>
      </c>
      <c r="D6" s="25" t="n">
        <v>1070.2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0</v>
      </c>
      <c r="C7" s="25" t="n">
        <v>0</v>
      </c>
      <c r="D7" s="25" t="n">
        <v>0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100.4</v>
      </c>
      <c r="C8" s="25" t="n">
        <v>310</v>
      </c>
      <c r="D8" s="25" t="n">
        <v>408.2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IS!E20*Assumptions!$C$59</f>
        <v/>
      </c>
      <c r="F9" s="26">
        <f>IS!F20*Assumptions!$C$59</f>
        <v/>
      </c>
      <c r="G9" s="26">
        <f>IS!G20*Assumptions!$C$59</f>
        <v/>
      </c>
      <c r="H9" s="26">
        <f>IS!H20*Assumptions!$C$59</f>
        <v/>
      </c>
      <c r="I9" s="26">
        <f>IS!I20*Assumptions!$C$59</f>
        <v/>
      </c>
      <c r="J9" s="11" t="inlineStr">
        <is>
          <t>＝当年归母×10% (Assumptions)</t>
        </is>
      </c>
    </row>
    <row r="10">
      <c r="A10" s="4" t="inlineStr">
        <is>
          <t>盈余公积(期末)</t>
        </is>
      </c>
      <c r="B10" s="25" t="n">
        <v>908.8</v>
      </c>
      <c r="C10" s="25" t="n">
        <v>1164.8</v>
      </c>
      <c r="D10" s="25" t="n">
        <v>1164.8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6310.1</v>
      </c>
      <c r="C12" s="25" t="n">
        <v>7684.5</v>
      </c>
      <c r="D12" s="25" t="n">
        <v>10545.1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0.1</v>
      </c>
      <c r="C13" s="25" t="n">
        <v>0.2</v>
      </c>
      <c r="D13" s="25" t="n">
        <v>0.2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4">
        <f>B5+B6-B7+B8+B10+B12+B13</f>
        <v/>
      </c>
      <c r="C14" s="34">
        <f>C5+C6-C7+C8+C10+C12+C13</f>
        <v/>
      </c>
      <c r="D14" s="34">
        <f>D5+D6-D7+D8+D10+D12+D13</f>
        <v/>
      </c>
      <c r="E14" s="34">
        <f>E5+E6-E7+E8+E10+E12+E13</f>
        <v/>
      </c>
      <c r="F14" s="34">
        <f>F5+F6-F7+F8+F10+F12+F13</f>
        <v/>
      </c>
      <c r="G14" s="34">
        <f>G5+G6-G7+G8+G10+G12+G13</f>
        <v/>
      </c>
      <c r="H14" s="34">
        <f>H5+H6-H7+H8+H10+H12+H13</f>
        <v/>
      </c>
      <c r="I14" s="34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52.5</v>
      </c>
      <c r="C15" s="25" t="n">
        <v>60.6</v>
      </c>
      <c r="D15" s="25" t="n">
        <v>15.4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5">
        <f>B14+B15</f>
        <v/>
      </c>
      <c r="C16" s="35">
        <f>C14+C15</f>
        <v/>
      </c>
      <c r="D16" s="35">
        <f>D14+D15</f>
        <v/>
      </c>
      <c r="E16" s="35">
        <f>E14+E15</f>
        <v/>
      </c>
      <c r="F16" s="35">
        <f>F14+F15</f>
        <v/>
      </c>
      <c r="G16" s="35">
        <f>G14+G15</f>
        <v/>
      </c>
      <c r="H16" s="35">
        <f>H14+H15</f>
        <v/>
      </c>
      <c r="I16" s="35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＝Assumptions总股本19.24亿股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7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DCF 绝对估值 (FCFF, 显性期2026-2030 + Gordon终值)</t>
        </is>
      </c>
    </row>
    <row r="2" ht="14" customHeight="1">
      <c r="A2" s="11" t="inlineStr">
        <is>
          <t>单位: 人民币百万元 | 估值基准日2026-08-17,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IS!E24</f>
        <v/>
      </c>
      <c r="F4" s="26">
        <f>IS!F24</f>
        <v/>
      </c>
      <c r="G4" s="26">
        <f>IS!G24</f>
        <v/>
      </c>
      <c r="H4" s="26">
        <f>IS!H24</f>
        <v/>
      </c>
      <c r="I4" s="26">
        <f>IS!I24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Assumptions!C$37</f>
        <v/>
      </c>
      <c r="F5" s="16">
        <f>Assumptions!D$37</f>
        <v/>
      </c>
      <c r="G5" s="16">
        <f>Assumptions!E$37</f>
        <v/>
      </c>
      <c r="H5" s="16">
        <f>Assumptions!F$37</f>
        <v/>
      </c>
      <c r="I5" s="16">
        <f>Assumptions!G$37</f>
        <v/>
      </c>
      <c r="J5" s="11" t="inlineStr"/>
    </row>
    <row r="6">
      <c r="A6" s="3" t="inlineStr">
        <is>
          <t>NOPAT = EBIT×(1-t)</t>
        </is>
      </c>
      <c r="E6" s="35">
        <f>E4*(1-E5)</f>
        <v/>
      </c>
      <c r="F6" s="35">
        <f>F4*(1-F5)</f>
        <v/>
      </c>
      <c r="G6" s="35">
        <f>G4*(1-G5)</f>
        <v/>
      </c>
      <c r="H6" s="35">
        <f>H4*(1-H5)</f>
        <v/>
      </c>
      <c r="I6" s="35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5">
        <f>E6+E7-E8-E9</f>
        <v/>
      </c>
      <c r="F10" s="35">
        <f>F6+F7-F8-F9</f>
        <v/>
      </c>
      <c r="G10" s="35">
        <f>G6+G7-G8-G9</f>
        <v/>
      </c>
      <c r="H10" s="35">
        <f>H6+H7-H8-H9</f>
        <v/>
      </c>
      <c r="I10" s="35">
        <f>I6+I7-I8-I9</f>
        <v/>
      </c>
      <c r="J10" s="11" t="inlineStr"/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年中折现(mid-year); 基准日2026-08-17, 近似年中收到现金流</t>
        </is>
      </c>
    </row>
    <row r="12">
      <c r="A12" s="4" t="inlineStr">
        <is>
          <t>折现因子</t>
        </is>
      </c>
      <c r="E12" s="31">
        <f>1/(1+Assumptions!$C$87)^E11</f>
        <v/>
      </c>
      <c r="F12" s="31">
        <f>1/(1+Assumptions!$C$87)^F11</f>
        <v/>
      </c>
      <c r="G12" s="31">
        <f>1/(1+Assumptions!$C$87)^G11</f>
        <v/>
      </c>
      <c r="H12" s="31">
        <f>1/(1+Assumptions!$C$87)^H11</f>
        <v/>
      </c>
      <c r="I12" s="31">
        <f>1/(1+Assumptions!$C$87)^I11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I10*(1+Assumptions!$C$88)/(Assumptions!$C$87-Assumptions!$C$88)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5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2025A末4.9亿,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减: 少数股东权益(2025A末)</t>
        </is>
      </c>
      <c r="D23" s="26">
        <f>-BS!D44</f>
        <v/>
      </c>
      <c r="J23" s="11" t="inlineStr">
        <is>
          <t>EV桥得归母口径股权价值须扣少数股东权益(账面值); 无少数股东权益的标的为0, 不影响结果</t>
        </is>
      </c>
    </row>
    <row r="24">
      <c r="A24" s="4" t="inlineStr">
        <is>
          <t>净现金调整合计</t>
        </is>
      </c>
      <c r="D24" s="26">
        <f>D19+D20+D21+D22+D23</f>
        <v/>
      </c>
      <c r="J24" s="11" t="inlineStr">
        <is>
          <t>供Sensitivity/Scenarios页引用</t>
        </is>
      </c>
    </row>
    <row r="25">
      <c r="A25" s="3" t="inlineStr">
        <is>
          <t>股权价值</t>
        </is>
      </c>
      <c r="D25" s="35">
        <f>D18+D24</f>
        <v/>
      </c>
      <c r="J25" s="11" t="inlineStr"/>
    </row>
    <row r="26">
      <c r="A26" s="3" t="inlineStr">
        <is>
          <t>每股价值 (元)</t>
        </is>
      </c>
      <c r="D26" s="15">
        <f>D25/Equity_Roll!$C$21</f>
        <v/>
      </c>
      <c r="J26" s="11" t="inlineStr">
        <is>
          <t>＝股权价值/稀释股数(Equity_Roll页)</t>
        </is>
      </c>
    </row>
    <row r="27">
      <c r="A27" s="4" t="inlineStr">
        <is>
          <t>现价 (2026-08-17)</t>
        </is>
      </c>
      <c r="D27" s="14">
        <f>Assumptions!$C$7</f>
        <v/>
      </c>
      <c r="J27" s="11" t="inlineStr"/>
    </row>
    <row r="28">
      <c r="A28" s="3" t="inlineStr">
        <is>
          <t>隐含涨跌幅</t>
        </is>
      </c>
      <c r="D28" s="42">
        <f>D26/D27-1</f>
        <v/>
      </c>
      <c r="J28" s="11" t="inlineStr"/>
    </row>
    <row r="29">
      <c r="A29" s="4" t="inlineStr">
        <is>
          <t>隐含2026E P/E</t>
        </is>
      </c>
      <c r="D29" s="43">
        <f>D25/IS!E20</f>
        <v/>
      </c>
      <c r="J29" s="11" t="inlineStr">
        <is>
          <t>＝股权价值/2026E归母</t>
        </is>
      </c>
    </row>
    <row r="30">
      <c r="A30" s="4" t="inlineStr">
        <is>
          <t>隐含2026E EV/EBITDA</t>
        </is>
      </c>
      <c r="D30" s="43">
        <f>D18/(IS!E24+PPE!E19)</f>
        <v/>
      </c>
      <c r="J30" s="11" t="inlineStr"/>
    </row>
    <row r="31">
      <c r="A31" s="11" t="inlineStr">
        <is>
          <t>注: 估值基准日2026-08-17, 与2026财年现金流起点存在时间错位; 年中折现(t=0.5起)为该错位的标准近似处理, 不再单独做stub调整</t>
        </is>
      </c>
    </row>
  </sheetData>
  <mergeCells count="3">
    <mergeCell ref="A1:J1"/>
    <mergeCell ref="A31:J3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FCFE 股权自由现金流估值 (Ke折现, 与FCFF双视图)</t>
        </is>
      </c>
    </row>
    <row r="2" ht="14" customHeight="1">
      <c r="A2" s="11" t="inlineStr">
        <is>
          <t>单位: 人民币百万元 | FCFE=归母净利+D&amp;A-ΔNWC-Capex+净新增借款(FIN页调度); 按股权成本Ke折现(年中口径与DCF页一致), 直接得归母股权价值(少数股东权益见DCF页EV→Equity桥); 终值取正常化FCFE(净新增借款按D×g稳态正常化)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4" t="inlineStr">
        <is>
          <t>理财净变动(勾稽参考, 不计入FCFE)</t>
        </is>
      </c>
      <c r="E9" s="26">
        <f>-FIN!E62</f>
        <v/>
      </c>
      <c r="F9" s="26">
        <f>-FIN!F62</f>
        <v/>
      </c>
      <c r="G9" s="26">
        <f>-FIN!G62</f>
        <v/>
      </c>
      <c r="H9" s="26">
        <f>-FIN!H62</f>
        <v/>
      </c>
      <c r="I9" s="26">
        <f>-FIN!I62</f>
        <v/>
      </c>
      <c r="J9" s="11" t="inlineStr">
        <is>
          <t>＝-FIN理财净变动: sweep溢出购买理财为现金↔理财的形态转换(资产仍在表内归属股东), 故不计入FCFE; 显性列示供FCFE↔FCFF差异勾稽(FCFF也未扣理财购买, 两法在此口径一致)</t>
        </is>
      </c>
    </row>
    <row r="10">
      <c r="A10" s="3" t="inlineStr">
        <is>
          <t>FCFE</t>
        </is>
      </c>
      <c r="E10" s="35">
        <f>E4+E5-E6-E7+E8</f>
        <v/>
      </c>
      <c r="F10" s="35">
        <f>F4+F5-F6-F7+F8</f>
        <v/>
      </c>
      <c r="G10" s="35">
        <f>G4+G5-G6-G7+G8</f>
        <v/>
      </c>
      <c r="H10" s="35">
        <f>H4+H5-H6-H7+H8</f>
        <v/>
      </c>
      <c r="I10" s="35">
        <f>I4+I5-I6-I7+I8</f>
        <v/>
      </c>
      <c r="J10" s="11" t="inlineStr">
        <is>
          <t>＝归母+D&amp;A-ΔNWC-Capex+净新增借款</t>
        </is>
      </c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年中折现, 与DCF页同口径</t>
        </is>
      </c>
    </row>
    <row r="12">
      <c r="A12" s="4" t="inlineStr">
        <is>
          <t>折现因子 (Ke)</t>
        </is>
      </c>
      <c r="E12" s="31">
        <f>1/(1+KE)^E11</f>
        <v/>
      </c>
      <c r="F12" s="31">
        <f>1/(1+KE)^F11</f>
        <v/>
      </c>
      <c r="G12" s="31">
        <f>1/(1+KE)^G11</f>
        <v/>
      </c>
      <c r="H12" s="31">
        <f>1/(1+KE)^H11</f>
        <v/>
      </c>
      <c r="I12" s="31">
        <f>1/(1+KE)^I11</f>
        <v/>
      </c>
      <c r="J12" s="11" t="inlineStr">
        <is>
          <t>＝1/(1+Ke)^t; Ke为named range(Assumptions股权成本)</t>
        </is>
      </c>
    </row>
    <row r="13">
      <c r="A13" s="4" t="inlineStr">
        <is>
          <t>PV(FCFE)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正常化FCFE (2030E, 终值口径)</t>
        </is>
      </c>
      <c r="D16" s="26">
        <f>I10-I8+FIN!I56*TERM_G</f>
        <v/>
      </c>
      <c r="J16" s="11" t="inlineStr">
        <is>
          <t>终值净借款按D×g稳态正常化: 终值年净新增借款=2030E期末有息负债×g(替代实际调度值, 对称防止显性期末大额净融资/净偿还被Gordon公式永续外推)</t>
        </is>
      </c>
    </row>
    <row r="17">
      <c r="A17" s="4" t="inlineStr">
        <is>
          <t>终值 TV (Gordon, 正常化FCFE)</t>
        </is>
      </c>
      <c r="D17" s="26">
        <f>D16*(1+TERM_G)/(KE-TERM_G)</f>
        <v/>
      </c>
      <c r="J17" s="11" t="inlineStr">
        <is>
          <t>＝正常化FCFE2030×(1+g)/(Ke-g); Ke/g均为named range</t>
        </is>
      </c>
    </row>
    <row r="18">
      <c r="A18" s="4" t="inlineStr">
        <is>
          <t>PV(终值)</t>
        </is>
      </c>
      <c r="D18" s="26">
        <f>D17*I12</f>
        <v/>
      </c>
      <c r="J18" s="11" t="inlineStr">
        <is>
          <t>终值按t=4.5折现(与DCF页一致)</t>
        </is>
      </c>
    </row>
    <row r="19">
      <c r="A19" s="3" t="inlineStr">
        <is>
          <t>股权价值 (FCFE口径)</t>
        </is>
      </c>
      <c r="D19" s="35">
        <f>D15+D18</f>
        <v/>
      </c>
      <c r="J19" s="11" t="inlineStr">
        <is>
          <t>FCFE直接折现为股权价值, 无需净现金桥</t>
        </is>
      </c>
    </row>
    <row r="20">
      <c r="A20" s="3" t="inlineStr">
        <is>
          <t>每股价值 (元)</t>
        </is>
      </c>
      <c r="D20" s="15">
        <f>D19/SHARES_DIL</f>
        <v/>
      </c>
      <c r="J20" s="11" t="inlineStr">
        <is>
          <t>＝股权价值/稀释股数(named range)</t>
        </is>
      </c>
    </row>
    <row r="21">
      <c r="A21" s="4" t="inlineStr">
        <is>
          <t>对照: FCFF口径每股价值 (元)</t>
        </is>
      </c>
      <c r="D21" s="14">
        <f>DCF!D26</f>
        <v/>
      </c>
      <c r="J21" s="11" t="inlineStr">
        <is>
          <t>＝DCF页主输出</t>
        </is>
      </c>
    </row>
    <row r="22">
      <c r="A22" s="3" t="inlineStr">
        <is>
          <t>两法差异 (FCFE/FCFF-1)</t>
        </is>
      </c>
      <c r="D22" s="42">
        <f>D20/D21-1</f>
        <v/>
      </c>
      <c r="J22" s="11" t="inlineStr">
        <is>
          <t xml:space="preserve"> Checks页含一致性信息行</t>
        </is>
      </c>
    </row>
    <row r="23" ht="52" customHeight="1">
      <c r="A23" s="3" t="inlineStr">
        <is>
          <t>两法差异原因</t>
        </is>
      </c>
      <c r="B23" s="9" t="inlineStr">
        <is>
          <t>①折现率不同: FCFF按WACC(全资本成本, 税盾在分母)折现, FCFE按Ke(纯股权成本)折现; ②口径不同: FCFF为企业自由现金流, 须经EV→Equity桥加回净现金/扣有息负债/扣少数股东权益, FCFE基于归母净利折现、直接对应归母股权价值, 少数股东权益已在DCF页EV→Equity桥扣除, 本页无需再扣; ③杠杆路径不同: FCFE逐年反映FIN页revolver/sweep实际债务调度(资本结构动态变化), FCFF隐含目标结构(Wd)恒定; ④理财净变动(上行勾稽参考行)为现金形态转换, 两法均未计入, 不构成差异来源; ⑤两法在"恒定资本结构+一致税盾处理"下理论等价, 实务差异主要来自债务调度时点、净现金桥与折现率差; 差异幅度大时应复查融资假设</t>
        </is>
      </c>
    </row>
  </sheetData>
  <mergeCells count="3">
    <mergeCell ref="B23:J23"/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沪电股份 — Relative_Val 可比公司相对估值 + Beta unlever/relever</t>
        </is>
      </c>
    </row>
    <row r="2" ht="14" customHeight="1">
      <c r="A2" s="11" t="inlineStr">
        <is>
          <t>市值/PE-TTM为2026-08-17收盘(腾讯行情);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4" t="inlineStr">
        <is>
          <t>深南电路</t>
        </is>
      </c>
      <c r="B5" s="21" t="inlineStr">
        <is>
          <t>002916.SZ</t>
        </is>
      </c>
      <c r="C5" s="25" t="n">
        <v>2616.22</v>
      </c>
      <c r="D5" s="44" t="n">
        <v>71.98</v>
      </c>
      <c r="E5" s="25" t="n">
        <v>47.01</v>
      </c>
      <c r="F5" s="43">
        <f>C5/E5</f>
        <v/>
      </c>
      <c r="G5" s="25" t="n">
        <v>61.89</v>
      </c>
      <c r="H5" s="43">
        <f>C5/G5</f>
        <v/>
      </c>
      <c r="I5" s="16">
        <f>G5/E5-1</f>
        <v/>
      </c>
      <c r="J5" s="14">
        <f>F5/(I5*100)</f>
        <v/>
      </c>
      <c r="K5" s="9" t="inlineStr">
        <is>
          <t>市值/PE: 腾讯行情2026-08-17; 一致预期: 虎嗅引券商(2025-12)/同花顺</t>
        </is>
      </c>
      <c r="L5" s="45" t="n">
        <v>1.25</v>
      </c>
      <c r="M5" s="28" t="n">
        <v>0.3</v>
      </c>
      <c r="N5" s="28" t="n">
        <v>0.15</v>
      </c>
      <c r="O5" s="31">
        <f>L5/(1+(1-N5)*M5)</f>
        <v/>
      </c>
    </row>
    <row r="6">
      <c r="A6" s="4" t="inlineStr">
        <is>
          <t>生益电子</t>
        </is>
      </c>
      <c r="B6" s="21" t="inlineStr">
        <is>
          <t>688183.SH</t>
        </is>
      </c>
      <c r="C6" s="25" t="n">
        <v>973.28</v>
      </c>
      <c r="D6" s="44" t="n">
        <v>47.4</v>
      </c>
      <c r="E6" s="25" t="n">
        <v>18</v>
      </c>
      <c r="F6" s="43">
        <f>C6/E6</f>
        <v/>
      </c>
      <c r="G6" s="25" t="n">
        <v>23</v>
      </c>
      <c r="H6" s="43">
        <f>C6/G6</f>
        <v/>
      </c>
      <c r="I6" s="16">
        <f>G6/E6-1</f>
        <v/>
      </c>
      <c r="J6" s="14">
        <f>F6/(I6*100)</f>
        <v/>
      </c>
      <c r="K6" s="9" t="inlineStr">
        <is>
          <t>市值/PE: 腾讯行情2026-08-17; 2026E/2027E归母为估算(2026Q1归母4.45亿年化外推), 绿色待核</t>
        </is>
      </c>
      <c r="L6" s="45" t="n">
        <v>1.35</v>
      </c>
      <c r="M6" s="28" t="n">
        <v>0.45</v>
      </c>
      <c r="N6" s="28" t="n">
        <v>0.15</v>
      </c>
      <c r="O6" s="31">
        <f>L6/(1+(1-N6)*M6)</f>
        <v/>
      </c>
    </row>
    <row r="7">
      <c r="A7" s="4" t="inlineStr">
        <is>
          <t>胜宏科技</t>
        </is>
      </c>
      <c r="B7" s="21" t="inlineStr">
        <is>
          <t>300476.SZ</t>
        </is>
      </c>
      <c r="C7" s="25" t="n">
        <v>2662.66</v>
      </c>
      <c r="D7" s="44" t="n">
        <v>56.9</v>
      </c>
      <c r="E7" s="25" t="n">
        <v>91.2</v>
      </c>
      <c r="F7" s="43">
        <f>C7/E7</f>
        <v/>
      </c>
      <c r="G7" s="25" t="n">
        <v>154.1</v>
      </c>
      <c r="H7" s="43">
        <f>C7/G7</f>
        <v/>
      </c>
      <c r="I7" s="16">
        <f>G7/E7-1</f>
        <v/>
      </c>
      <c r="J7" s="14">
        <f>F7/(I7*100)</f>
        <v/>
      </c>
      <c r="K7" s="9" t="inlineStr">
        <is>
          <t>市值/PE: 腾讯行情2026-08-17; 一致预期: gildata/聚源(2026-08)</t>
        </is>
      </c>
      <c r="L7" s="45" t="n">
        <v>1.3</v>
      </c>
      <c r="M7" s="28" t="n">
        <v>0.03</v>
      </c>
      <c r="N7" s="28" t="n">
        <v>0.15</v>
      </c>
      <c r="O7" s="31">
        <f>L7/(1+(1-N7)*M7)</f>
        <v/>
      </c>
    </row>
    <row r="8">
      <c r="A8" s="4" t="inlineStr">
        <is>
          <t>广合科技</t>
        </is>
      </c>
      <c r="B8" s="21" t="inlineStr">
        <is>
          <t>001389.SZ</t>
        </is>
      </c>
      <c r="C8" s="25" t="n">
        <v>803.09</v>
      </c>
      <c r="D8" s="44" t="n">
        <v>54.27</v>
      </c>
      <c r="E8" s="25" t="n">
        <v>13</v>
      </c>
      <c r="F8" s="43">
        <f>C8/E8</f>
        <v/>
      </c>
      <c r="G8" s="25" t="n">
        <v>17</v>
      </c>
      <c r="H8" s="43">
        <f>C8/G8</f>
        <v/>
      </c>
      <c r="I8" s="16">
        <f>G8/E8-1</f>
        <v/>
      </c>
      <c r="J8" s="14">
        <f>F8/(I8*100)</f>
        <v/>
      </c>
      <c r="K8" s="9" t="inlineStr">
        <is>
          <t>市值/PE: 腾讯行情2026-08-17; 2026E/2027E归母为估算(服务器PCB高增), 绿色待核</t>
        </is>
      </c>
      <c r="L8" s="45" t="n">
        <v>1.2</v>
      </c>
      <c r="M8" s="28" t="n">
        <v>0.2</v>
      </c>
      <c r="N8" s="28" t="n">
        <v>0.15</v>
      </c>
      <c r="O8" s="31">
        <f>L8/(1+(1-N8)*M8)</f>
        <v/>
      </c>
    </row>
    <row r="9">
      <c r="A9" s="3" t="inlineStr">
        <is>
          <t>可比中位数(A股4家)</t>
        </is>
      </c>
      <c r="F9" s="46">
        <f>MEDIAN(F5:F8)</f>
        <v/>
      </c>
      <c r="H9" s="46">
        <f>MEDIAN(H5:H8)</f>
        <v/>
      </c>
      <c r="J9" s="15">
        <f>MEDIAN(J5:J8)</f>
        <v/>
      </c>
      <c r="K9" s="9" t="inlineStr">
        <is>
          <t>βu中位数→Assumptions WACC区relever; βl/D/E为分析师输入(参考行情终端β与各公司最新年报杠杆), 可按终端数据更新</t>
        </is>
      </c>
      <c r="O9" s="47">
        <f>MEDIAN(O5:O8)</f>
        <v/>
      </c>
    </row>
    <row r="10">
      <c r="A10" s="3" t="inlineStr">
        <is>
          <t>沪电股份(现价)</t>
        </is>
      </c>
      <c r="B10" s="21" t="inlineStr">
        <is>
          <t>002463.SZ</t>
        </is>
      </c>
      <c r="C10" s="26">
        <f>Assumptions!$C$9/100</f>
        <v/>
      </c>
      <c r="D10" s="44" t="n">
        <v>55.26</v>
      </c>
      <c r="E10" s="26">
        <f>Assumptions!$C$13/100</f>
        <v/>
      </c>
      <c r="F10" s="46">
        <f>C10/E10</f>
        <v/>
      </c>
      <c r="G10" s="26">
        <f>Assumptions!$C$15/100</f>
        <v/>
      </c>
      <c r="H10" s="43">
        <f>C10/G10</f>
        <v/>
      </c>
      <c r="K10" s="9" t="inlineStr">
        <is>
          <t>2026E/2027E归母=一致预期; 腾讯行情PE-TTM(2026-08-17)</t>
        </is>
      </c>
    </row>
    <row r="12" ht="16" customHeight="1">
      <c r="A12" s="19" t="inlineStr">
        <is>
          <t>沪电股份定价 (基于模型基准2026E归母)</t>
        </is>
      </c>
    </row>
    <row r="13">
      <c r="A13" s="4" t="inlineStr">
        <is>
          <t>目标PE下限</t>
        </is>
      </c>
      <c r="C13" s="48" t="n">
        <v>30</v>
      </c>
      <c r="K13" s="11" t="inlineStr">
        <is>
          <t>较可比中位数折让, 反映高基数与CCL成本风险</t>
        </is>
      </c>
    </row>
    <row r="14">
      <c r="A14" s="4" t="inlineStr">
        <is>
          <t>目标PE上限</t>
        </is>
      </c>
      <c r="C14" s="43">
        <f>F9</f>
        <v/>
      </c>
      <c r="K14" s="11" t="inlineStr">
        <is>
          <t>＝A股可比2026E PE中位数(公式)</t>
        </is>
      </c>
    </row>
    <row r="15">
      <c r="A15" s="4" t="inlineStr">
        <is>
          <t>模型基准2026E归母(百万)</t>
        </is>
      </c>
      <c r="C15" s="26">
        <f>IS!E20</f>
        <v/>
      </c>
    </row>
    <row r="16">
      <c r="A16" s="3" t="inlineStr">
        <is>
          <t>对应股价下限(元)</t>
        </is>
      </c>
      <c r="C16" s="15">
        <f>C13*C15/Equity_Roll!$C$21</f>
        <v/>
      </c>
    </row>
    <row r="17">
      <c r="A17" s="3" t="inlineStr">
        <is>
          <t>对应股价上限(元)</t>
        </is>
      </c>
      <c r="C17" s="15">
        <f>C14*C15/Equity_Roll!$C$21</f>
        <v/>
      </c>
    </row>
    <row r="18">
      <c r="A18" s="4" t="inlineStr">
        <is>
          <t>以一致预期2026E归母57.4亿计股价区间(元)</t>
        </is>
      </c>
      <c r="C18" s="14">
        <f>C13*Assumptions!$C$13/Equity_Roll!$C$21</f>
        <v/>
      </c>
      <c r="D18" s="14">
        <f>C14*Assumptions!$C$13/Equity_Roll!$C$21</f>
        <v/>
      </c>
      <c r="K18" s="11" t="inlineStr">
        <is>
          <t>左=PE下限, 右=PE上限</t>
        </is>
      </c>
    </row>
    <row r="19">
      <c r="A19" s="4" t="inlineStr">
        <is>
          <t>相对现价123.53元空间</t>
        </is>
      </c>
      <c r="C19" s="16">
        <f>C16/Assumptions!$C$7-1</f>
        <v/>
      </c>
      <c r="D19" s="16">
        <f>C17/Assumptions!$C$7-1</f>
        <v/>
      </c>
    </row>
  </sheetData>
  <mergeCells count="3">
    <mergeCell ref="A1:O1"/>
    <mergeCell ref="A2:O2"/>
    <mergeCell ref="A12:O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沪电股份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2">
        <f>Assumptions!$C$88-0.0100</f>
        <v/>
      </c>
      <c r="D5" s="42">
        <f>Assumptions!$C$88-0.0050</f>
        <v/>
      </c>
      <c r="E5" s="42">
        <f>Assumptions!$C$88</f>
        <v/>
      </c>
      <c r="F5" s="42">
        <f>Assumptions!$C$88+0.0050</f>
        <v/>
      </c>
      <c r="G5" s="42">
        <f>Assumptions!$C$88+0.0100</f>
        <v/>
      </c>
    </row>
    <row r="6">
      <c r="B6" s="42">
        <f>Assumptions!$C$87-0.0100</f>
        <v/>
      </c>
      <c r="C6" s="14">
        <f>(DCF!$E$10/(1+$B6)^0.5+DCF!$F$10/(1+$B6)^1.5+DCF!$G$10/(1+$B6)^2.5+DCF!$H$10/(1+$B6)^3.5+DCF!$I$10/(1+$B6)^4.5+DCF!$I$10*(1+C$5)/($B6-C$5)/(1+$B6)^4.5+DCF!$D$24)/Equity_Roll!$C$21</f>
        <v/>
      </c>
      <c r="D6" s="14">
        <f>(DCF!$E$10/(1+$B6)^0.5+DCF!$F$10/(1+$B6)^1.5+DCF!$G$10/(1+$B6)^2.5+DCF!$H$10/(1+$B6)^3.5+DCF!$I$10/(1+$B6)^4.5+DCF!$I$10*(1+D$5)/($B6-D$5)/(1+$B6)^4.5+DCF!$D$24)/Equity_Roll!$C$21</f>
        <v/>
      </c>
      <c r="E6" s="14">
        <f>(DCF!$E$10/(1+$B6)^0.5+DCF!$F$10/(1+$B6)^1.5+DCF!$G$10/(1+$B6)^2.5+DCF!$H$10/(1+$B6)^3.5+DCF!$I$10/(1+$B6)^4.5+DCF!$I$10*(1+E$5)/($B6-E$5)/(1+$B6)^4.5+DCF!$D$24)/Equity_Roll!$C$21</f>
        <v/>
      </c>
      <c r="F6" s="14">
        <f>(DCF!$E$10/(1+$B6)^0.5+DCF!$F$10/(1+$B6)^1.5+DCF!$G$10/(1+$B6)^2.5+DCF!$H$10/(1+$B6)^3.5+DCF!$I$10/(1+$B6)^4.5+DCF!$I$10*(1+F$5)/($B6-F$5)/(1+$B6)^4.5+DCF!$D$24)/Equity_Roll!$C$21</f>
        <v/>
      </c>
      <c r="G6" s="14">
        <f>(DCF!$E$10/(1+$B6)^0.5+DCF!$F$10/(1+$B6)^1.5+DCF!$G$10/(1+$B6)^2.5+DCF!$H$10/(1+$B6)^3.5+DCF!$I$10/(1+$B6)^4.5+DCF!$I$10*(1+G$5)/($B6-G$5)/(1+$B6)^4.5+DCF!$D$24)/Equity_Roll!$C$21</f>
        <v/>
      </c>
    </row>
    <row r="7">
      <c r="B7" s="42">
        <f>Assumptions!$C$87-0.0050</f>
        <v/>
      </c>
      <c r="C7" s="14">
        <f>(DCF!$E$10/(1+$B7)^0.5+DCF!$F$10/(1+$B7)^1.5+DCF!$G$10/(1+$B7)^2.5+DCF!$H$10/(1+$B7)^3.5+DCF!$I$10/(1+$B7)^4.5+DCF!$I$10*(1+C$5)/($B7-C$5)/(1+$B7)^4.5+DCF!$D$24)/Equity_Roll!$C$21</f>
        <v/>
      </c>
      <c r="D7" s="14">
        <f>(DCF!$E$10/(1+$B7)^0.5+DCF!$F$10/(1+$B7)^1.5+DCF!$G$10/(1+$B7)^2.5+DCF!$H$10/(1+$B7)^3.5+DCF!$I$10/(1+$B7)^4.5+DCF!$I$10*(1+D$5)/($B7-D$5)/(1+$B7)^4.5+DCF!$D$24)/Equity_Roll!$C$21</f>
        <v/>
      </c>
      <c r="E7" s="14">
        <f>(DCF!$E$10/(1+$B7)^0.5+DCF!$F$10/(1+$B7)^1.5+DCF!$G$10/(1+$B7)^2.5+DCF!$H$10/(1+$B7)^3.5+DCF!$I$10/(1+$B7)^4.5+DCF!$I$10*(1+E$5)/($B7-E$5)/(1+$B7)^4.5+DCF!$D$24)/Equity_Roll!$C$21</f>
        <v/>
      </c>
      <c r="F7" s="14">
        <f>(DCF!$E$10/(1+$B7)^0.5+DCF!$F$10/(1+$B7)^1.5+DCF!$G$10/(1+$B7)^2.5+DCF!$H$10/(1+$B7)^3.5+DCF!$I$10/(1+$B7)^4.5+DCF!$I$10*(1+F$5)/($B7-F$5)/(1+$B7)^4.5+DCF!$D$24)/Equity_Roll!$C$21</f>
        <v/>
      </c>
      <c r="G7" s="14">
        <f>(DCF!$E$10/(1+$B7)^0.5+DCF!$F$10/(1+$B7)^1.5+DCF!$G$10/(1+$B7)^2.5+DCF!$H$10/(1+$B7)^3.5+DCF!$I$10/(1+$B7)^4.5+DCF!$I$10*(1+G$5)/($B7-G$5)/(1+$B7)^4.5+DCF!$D$24)/Equity_Roll!$C$21</f>
        <v/>
      </c>
    </row>
    <row r="8">
      <c r="B8" s="42">
        <f>Assumptions!$C$87</f>
        <v/>
      </c>
      <c r="C8" s="14">
        <f>(DCF!$E$10/(1+$B8)^0.5+DCF!$F$10/(1+$B8)^1.5+DCF!$G$10/(1+$B8)^2.5+DCF!$H$10/(1+$B8)^3.5+DCF!$I$10/(1+$B8)^4.5+DCF!$I$10*(1+C$5)/($B8-C$5)/(1+$B8)^4.5+DCF!$D$24)/Equity_Roll!$C$21</f>
        <v/>
      </c>
      <c r="D8" s="14">
        <f>(DCF!$E$10/(1+$B8)^0.5+DCF!$F$10/(1+$B8)^1.5+DCF!$G$10/(1+$B8)^2.5+DCF!$H$10/(1+$B8)^3.5+DCF!$I$10/(1+$B8)^4.5+DCF!$I$10*(1+D$5)/($B8-D$5)/(1+$B8)^4.5+DCF!$D$24)/Equity_Roll!$C$21</f>
        <v/>
      </c>
      <c r="E8" s="49">
        <f>(DCF!$E$10/(1+$B8)^0.5+DCF!$F$10/(1+$B8)^1.5+DCF!$G$10/(1+$B8)^2.5+DCF!$H$10/(1+$B8)^3.5+DCF!$I$10/(1+$B8)^4.5+DCF!$I$10*(1+E$5)/($B8-E$5)/(1+$B8)^4.5+DCF!$D$24)/Equity_Roll!$C$21</f>
        <v/>
      </c>
      <c r="F8" s="14">
        <f>(DCF!$E$10/(1+$B8)^0.5+DCF!$F$10/(1+$B8)^1.5+DCF!$G$10/(1+$B8)^2.5+DCF!$H$10/(1+$B8)^3.5+DCF!$I$10/(1+$B8)^4.5+DCF!$I$10*(1+F$5)/($B8-F$5)/(1+$B8)^4.5+DCF!$D$24)/Equity_Roll!$C$21</f>
        <v/>
      </c>
      <c r="G8" s="14">
        <f>(DCF!$E$10/(1+$B8)^0.5+DCF!$F$10/(1+$B8)^1.5+DCF!$G$10/(1+$B8)^2.5+DCF!$H$10/(1+$B8)^3.5+DCF!$I$10/(1+$B8)^4.5+DCF!$I$10*(1+G$5)/($B8-G$5)/(1+$B8)^4.5+DCF!$D$24)/Equity_Roll!$C$21</f>
        <v/>
      </c>
    </row>
    <row r="9">
      <c r="B9" s="42">
        <f>Assumptions!$C$87+0.0050</f>
        <v/>
      </c>
      <c r="C9" s="14">
        <f>(DCF!$E$10/(1+$B9)^0.5+DCF!$F$10/(1+$B9)^1.5+DCF!$G$10/(1+$B9)^2.5+DCF!$H$10/(1+$B9)^3.5+DCF!$I$10/(1+$B9)^4.5+DCF!$I$10*(1+C$5)/($B9-C$5)/(1+$B9)^4.5+DCF!$D$24)/Equity_Roll!$C$21</f>
        <v/>
      </c>
      <c r="D9" s="14">
        <f>(DCF!$E$10/(1+$B9)^0.5+DCF!$F$10/(1+$B9)^1.5+DCF!$G$10/(1+$B9)^2.5+DCF!$H$10/(1+$B9)^3.5+DCF!$I$10/(1+$B9)^4.5+DCF!$I$10*(1+D$5)/($B9-D$5)/(1+$B9)^4.5+DCF!$D$24)/Equity_Roll!$C$21</f>
        <v/>
      </c>
      <c r="E9" s="14">
        <f>(DCF!$E$10/(1+$B9)^0.5+DCF!$F$10/(1+$B9)^1.5+DCF!$G$10/(1+$B9)^2.5+DCF!$H$10/(1+$B9)^3.5+DCF!$I$10/(1+$B9)^4.5+DCF!$I$10*(1+E$5)/($B9-E$5)/(1+$B9)^4.5+DCF!$D$24)/Equity_Roll!$C$21</f>
        <v/>
      </c>
      <c r="F9" s="14">
        <f>(DCF!$E$10/(1+$B9)^0.5+DCF!$F$10/(1+$B9)^1.5+DCF!$G$10/(1+$B9)^2.5+DCF!$H$10/(1+$B9)^3.5+DCF!$I$10/(1+$B9)^4.5+DCF!$I$10*(1+F$5)/($B9-F$5)/(1+$B9)^4.5+DCF!$D$24)/Equity_Roll!$C$21</f>
        <v/>
      </c>
      <c r="G9" s="14">
        <f>(DCF!$E$10/(1+$B9)^0.5+DCF!$F$10/(1+$B9)^1.5+DCF!$G$10/(1+$B9)^2.5+DCF!$H$10/(1+$B9)^3.5+DCF!$I$10/(1+$B9)^4.5+DCF!$I$10*(1+G$5)/($B9-G$5)/(1+$B9)^4.5+DCF!$D$24)/Equity_Roll!$C$21</f>
        <v/>
      </c>
    </row>
    <row r="10">
      <c r="B10" s="42">
        <f>Assumptions!$C$87+0.0100</f>
        <v/>
      </c>
      <c r="C10" s="14">
        <f>(DCF!$E$10/(1+$B10)^0.5+DCF!$F$10/(1+$B10)^1.5+DCF!$G$10/(1+$B10)^2.5+DCF!$H$10/(1+$B10)^3.5+DCF!$I$10/(1+$B10)^4.5+DCF!$I$10*(1+C$5)/($B10-C$5)/(1+$B10)^4.5+DCF!$D$24)/Equity_Roll!$C$21</f>
        <v/>
      </c>
      <c r="D10" s="14">
        <f>(DCF!$E$10/(1+$B10)^0.5+DCF!$F$10/(1+$B10)^1.5+DCF!$G$10/(1+$B10)^2.5+DCF!$H$10/(1+$B10)^3.5+DCF!$I$10/(1+$B10)^4.5+DCF!$I$10*(1+D$5)/($B10-D$5)/(1+$B10)^4.5+DCF!$D$24)/Equity_Roll!$C$21</f>
        <v/>
      </c>
      <c r="E10" s="14">
        <f>(DCF!$E$10/(1+$B10)^0.5+DCF!$F$10/(1+$B10)^1.5+DCF!$G$10/(1+$B10)^2.5+DCF!$H$10/(1+$B10)^3.5+DCF!$I$10/(1+$B10)^4.5+DCF!$I$10*(1+E$5)/($B10-E$5)/(1+$B10)^4.5+DCF!$D$24)/Equity_Roll!$C$21</f>
        <v/>
      </c>
      <c r="F10" s="14">
        <f>(DCF!$E$10/(1+$B10)^0.5+DCF!$F$10/(1+$B10)^1.5+DCF!$G$10/(1+$B10)^2.5+DCF!$H$10/(1+$B10)^3.5+DCF!$I$10/(1+$B10)^4.5+DCF!$I$10*(1+F$5)/($B10-F$5)/(1+$B10)^4.5+DCF!$D$24)/Equity_Roll!$C$21</f>
        <v/>
      </c>
      <c r="G10" s="14">
        <f>(DCF!$E$10/(1+$B10)^0.5+DCF!$F$10/(1+$B10)^1.5+DCF!$G$10/(1+$B10)^2.5+DCF!$H$10/(1+$B10)^3.5+DCF!$I$10/(1+$B10)^4.5+DCF!$I$10*(1+G$5)/($B10-G$5)/(1+$B10)^4.5+DCF!$D$24)/Equity_Roll!$C$21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(2025A归母3822百万为基数)</t>
        </is>
      </c>
    </row>
    <row r="14">
      <c r="A14" s="27" t="inlineStr">
        <is>
          <t>2026E归母增速 \ PE</t>
        </is>
      </c>
      <c r="C14" s="50" t="n">
        <v>25</v>
      </c>
      <c r="D14" s="50" t="n">
        <v>30</v>
      </c>
      <c r="E14" s="50" t="n">
        <v>35</v>
      </c>
      <c r="F14" s="50" t="n">
        <v>40</v>
      </c>
      <c r="G14" s="50" t="n">
        <v>45</v>
      </c>
      <c r="H14" s="50" t="n">
        <v>50</v>
      </c>
    </row>
    <row r="15">
      <c r="B15" s="51" t="n">
        <v>0.2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1" t="n">
        <v>0.35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1" t="n">
        <v>0.5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49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1" t="n">
        <v>0.65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1" t="n">
        <v>0.8</v>
      </c>
      <c r="C19" s="14">
        <f>IS!$D$20*(1+$B19)*C$14/Equity_Roll!$C$21</f>
        <v/>
      </c>
      <c r="D19" s="14">
        <f>IS!$D$20*(1+$B19)*D$14/Equity_Roll!$C$21</f>
        <v/>
      </c>
      <c r="E19" s="14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A20" s="11" t="inlineStr">
        <is>
          <t>高亮行≈一致预期增速50.2%; 矩阵与DCF独立, 供交叉验证</t>
        </is>
      </c>
    </row>
    <row r="22" ht="16" customHeight="1">
      <c r="A22" s="19" t="inlineStr">
        <is>
          <t>矩阵三: DPO单维敏感性 — 应付天数变动 × DCF每股价值</t>
        </is>
      </c>
    </row>
    <row r="23">
      <c r="A23" s="27" t="inlineStr">
        <is>
          <t>DPO变动(天) \ 每股价值</t>
        </is>
      </c>
      <c r="C23" s="27" t="inlineStr">
        <is>
          <t>每股价值(元)</t>
        </is>
      </c>
      <c r="D23" s="27" t="inlineStr">
        <is>
          <t>vs基准</t>
        </is>
      </c>
      <c r="I23" s="9" t="inlineStr">
        <is>
          <t>机制: DPO变动δ→应付变动→ΔNWC变动→FCFF一阶调整; 首年按全额COGS重定价, 以后年按ΔCOGS; 未反映利息二阶效应(金额小); δ=0格=DCF基准</t>
        </is>
      </c>
    </row>
    <row r="24">
      <c r="B24" s="52" t="n">
        <v>-40</v>
      </c>
      <c r="C24" s="14">
        <f>((DCF!E$10+$B24/365*(IS!E$6))/(1+Assumptions!$C$87)^0.5+(DCF!F$10+$B24/365*(IS!F$6-IS!E$6))/(1+Assumptions!$C$87)^1.5+(DCF!G$10+$B24/365*(IS!G$6-IS!F$6))/(1+Assumptions!$C$87)^2.5+(DCF!H$10+$B24/365*(IS!H$6-IS!G$6))/(1+Assumptions!$C$87)^3.5+(DCF!I$10+$B24/365*(IS!I$6-IS!H$6))/(1+Assumptions!$C$87)^4.5+(DCF!$I$10+$B24/365*(IS!I$6-IS!H$6))*(1+Assumptions!$C$88)/(Assumptions!$C$87-Assumptions!$C$88)/(1+Assumptions!$C$87)^4.5+DCF!$D$24)/Equity_Roll!$C$21</f>
        <v/>
      </c>
      <c r="D24" s="16">
        <f>C24/DCF!$D$26-1</f>
        <v/>
      </c>
    </row>
    <row r="25">
      <c r="B25" s="52" t="n">
        <v>-20</v>
      </c>
      <c r="C25" s="14">
        <f>((DCF!E$10+$B25/365*(IS!E$6))/(1+Assumptions!$C$87)^0.5+(DCF!F$10+$B25/365*(IS!F$6-IS!E$6))/(1+Assumptions!$C$87)^1.5+(DCF!G$10+$B25/365*(IS!G$6-IS!F$6))/(1+Assumptions!$C$87)^2.5+(DCF!H$10+$B25/365*(IS!H$6-IS!G$6))/(1+Assumptions!$C$87)^3.5+(DCF!I$10+$B25/365*(IS!I$6-IS!H$6))/(1+Assumptions!$C$87)^4.5+(DCF!$I$10+$B25/365*(IS!I$6-IS!H$6))*(1+Assumptions!$C$88)/(Assumptions!$C$87-Assumptions!$C$88)/(1+Assumptions!$C$87)^4.5+DCF!$D$24)/Equity_Roll!$C$21</f>
        <v/>
      </c>
      <c r="D25" s="16">
        <f>C25/DCF!$D$26-1</f>
        <v/>
      </c>
    </row>
    <row r="26">
      <c r="B26" s="52" t="n">
        <v>0</v>
      </c>
      <c r="C26" s="49">
        <f>((DCF!E$10+$B26/365*(IS!E$6))/(1+Assumptions!$C$87)^0.5+(DCF!F$10+$B26/365*(IS!F$6-IS!E$6))/(1+Assumptions!$C$87)^1.5+(DCF!G$10+$B26/365*(IS!G$6-IS!F$6))/(1+Assumptions!$C$87)^2.5+(DCF!H$10+$B26/365*(IS!H$6-IS!G$6))/(1+Assumptions!$C$87)^3.5+(DCF!I$10+$B26/365*(IS!I$6-IS!H$6))/(1+Assumptions!$C$87)^4.5+(DCF!$I$10+$B26/365*(IS!I$6-IS!H$6))*(1+Assumptions!$C$88)/(Assumptions!$C$87-Assumptions!$C$88)/(1+Assumptions!$C$87)^4.5+DCF!$D$24)/Equity_Roll!$C$21</f>
        <v/>
      </c>
      <c r="D26" s="16">
        <f>C26/DCF!$D$26-1</f>
        <v/>
      </c>
    </row>
    <row r="27">
      <c r="B27" s="52" t="n">
        <v>20</v>
      </c>
      <c r="C27" s="14">
        <f>((DCF!E$10+$B27/365*(IS!E$6))/(1+Assumptions!$C$87)^0.5+(DCF!F$10+$B27/365*(IS!F$6-IS!E$6))/(1+Assumptions!$C$87)^1.5+(DCF!G$10+$B27/365*(IS!G$6-IS!F$6))/(1+Assumptions!$C$87)^2.5+(DCF!H$10+$B27/365*(IS!H$6-IS!G$6))/(1+Assumptions!$C$87)^3.5+(DCF!I$10+$B27/365*(IS!I$6-IS!H$6))/(1+Assumptions!$C$87)^4.5+(DCF!$I$10+$B27/365*(IS!I$6-IS!H$6))*(1+Assumptions!$C$88)/(Assumptions!$C$87-Assumptions!$C$88)/(1+Assumptions!$C$87)^4.5+DCF!$D$24)/Equity_Roll!$C$21</f>
        <v/>
      </c>
      <c r="D27" s="16">
        <f>C27/DCF!$D$26-1</f>
        <v/>
      </c>
    </row>
    <row r="28">
      <c r="B28" s="52" t="n">
        <v>40</v>
      </c>
      <c r="C28" s="14">
        <f>((DCF!E$10+$B28/365*(IS!E$6))/(1+Assumptions!$C$87)^0.5+(DCF!F$10+$B28/365*(IS!F$6-IS!E$6))/(1+Assumptions!$C$87)^1.5+(DCF!G$10+$B28/365*(IS!G$6-IS!F$6))/(1+Assumptions!$C$87)^2.5+(DCF!H$10+$B28/365*(IS!H$6-IS!G$6))/(1+Assumptions!$C$87)^3.5+(DCF!I$10+$B28/365*(IS!I$6-IS!H$6))/(1+Assumptions!$C$87)^4.5+(DCF!$I$10+$B28/365*(IS!I$6-IS!H$6))*(1+Assumptions!$C$88)/(Assumptions!$C$87-Assumptions!$C$88)/(1+Assumptions!$C$87)^4.5+DCF!$D$24)/Equity_Roll!$C$21</f>
        <v/>
      </c>
      <c r="D28" s="16">
        <f>C28/DCF!$D$26-1</f>
        <v/>
      </c>
    </row>
    <row r="29">
      <c r="A29" s="11" t="inlineStr">
        <is>
          <t>DPO每±20天: 首年≈FCFF±(营业成本×20/365), 以后年≈±(Δ营业成本×20/365); 基准DPO路径见Assumptions(198→198天)</t>
        </is>
      </c>
    </row>
  </sheetData>
  <mergeCells count="5">
    <mergeCell ref="A1:J1"/>
    <mergeCell ref="A2:J2"/>
    <mergeCell ref="A13:I13"/>
    <mergeCell ref="A22:I2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沪电股份 — Scenarios 熊/基/牛三情景估值</t>
        </is>
      </c>
    </row>
    <row r="2" ht="14" customHeight="1">
      <c r="A2" s="11" t="inlineStr">
        <is>
          <t>单位: 人民币百万元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3">
        <f>Assumptions!$C$5</f>
        <v/>
      </c>
      <c r="C3" s="54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收入增速调整/净利率调整引用Assumptions第92行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IS!D4*(1+Revenue_Segments!E29+Assumptions!$C$92)</f>
        <v/>
      </c>
      <c r="F8" s="26">
        <f>E8*(1+Revenue_Segments!F29+Assumptions!$C$92)</f>
        <v/>
      </c>
      <c r="G8" s="26">
        <f>F8*(1+Revenue_Segments!G29+Assumptions!$C$92)</f>
        <v/>
      </c>
      <c r="H8" s="26">
        <f>G8*(1+Revenue_Segments!H29+Assumptions!$C$92)</f>
        <v/>
      </c>
      <c r="I8" s="26">
        <f>H8*(1+Revenue_Segments!I29+Assumptions!$C$92)</f>
        <v/>
      </c>
    </row>
    <row r="9">
      <c r="A9" s="4" t="inlineStr">
        <is>
          <t>归母净利率</t>
        </is>
      </c>
      <c r="E9" s="16">
        <f>(Revenue_Segments!E30+Assumptions!$D$92-Assumptions!C$31-Assumptions!C$32-Assumptions!C$33-Assumptions!C$34-Assumptions!$C$39)*(1-Assumptions!C$37)*(1-Assumptions!C$38)</f>
        <v/>
      </c>
      <c r="F9" s="16">
        <f>(Revenue_Segments!F30+Assumptions!$D$92-Assumptions!D$31-Assumptions!D$32-Assumptions!D$33-Assumptions!D$34-Assumptions!$C$39)*(1-Assumptions!D$37)*(1-Assumptions!D$38)</f>
        <v/>
      </c>
      <c r="G9" s="16">
        <f>(Revenue_Segments!G30+Assumptions!$D$92-Assumptions!E$31-Assumptions!E$32-Assumptions!E$33-Assumptions!E$34-Assumptions!$C$39)*(1-Assumptions!E$37)*(1-Assumptions!E$38)</f>
        <v/>
      </c>
      <c r="H9" s="16">
        <f>(Revenue_Segments!H30+Assumptions!$D$92-Assumptions!F$31-Assumptions!F$32-Assumptions!F$33-Assumptions!F$34-Assumptions!$C$39)*(1-Assumptions!F$37)*(1-Assumptions!F$38)</f>
        <v/>
      </c>
      <c r="I9" s="16">
        <f>(Revenue_Segments!I30+Assumptions!$D$92-Assumptions!G$31-Assumptions!G$32-Assumptions!G$33-Assumptions!G$34-Assumptions!$C$39)*(1-Assumptions!G$37)*(1-Assumptions!G$38)</f>
        <v/>
      </c>
    </row>
    <row r="10">
      <c r="A10" s="4" t="inlineStr">
        <is>
          <t>归母净利润</t>
        </is>
      </c>
      <c r="E10" s="35">
        <f>E8*E9</f>
        <v/>
      </c>
      <c r="F10" s="35">
        <f>F8*F9</f>
        <v/>
      </c>
      <c r="G10" s="35">
        <f>G8*G9</f>
        <v/>
      </c>
      <c r="H10" s="35">
        <f>H8*H9</f>
        <v/>
      </c>
      <c r="I10" s="35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(E11/(1+Assumptions!$C$87)^0.5+F11/(1+Assumptions!$C$87)^1.5+G11/(1+Assumptions!$C$87)^2.5+H11/(1+Assumptions!$C$87)^3.5+I11/(1+Assumptions!$C$87)^4.5+I11*(1+Assumptions!$C$88)/(Assumptions!$C$87-Assumptions!$C$88)/(1+Assumptions!$C$87)^4.5+DCF!$D$24)/Equity_Roll!$C$21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E10*Relative_Val!$F$9/Equity_Roll!$C$21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收入增速调整/净利率调整引用Assumptions第93行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IS!D4*(1+Revenue_Segments!E29+Assumptions!$C$93)</f>
        <v/>
      </c>
      <c r="F17" s="26">
        <f>E17*(1+Revenue_Segments!F29+Assumptions!$C$93)</f>
        <v/>
      </c>
      <c r="G17" s="26">
        <f>F17*(1+Revenue_Segments!G29+Assumptions!$C$93)</f>
        <v/>
      </c>
      <c r="H17" s="26">
        <f>G17*(1+Revenue_Segments!H29+Assumptions!$C$93)</f>
        <v/>
      </c>
      <c r="I17" s="26">
        <f>H17*(1+Revenue_Segments!I29+Assumptions!$C$93)</f>
        <v/>
      </c>
    </row>
    <row r="18">
      <c r="A18" s="4" t="inlineStr">
        <is>
          <t>归母净利率</t>
        </is>
      </c>
      <c r="E18" s="16">
        <f>(Revenue_Segments!E30+Assumptions!$D$93-Assumptions!C$31-Assumptions!C$32-Assumptions!C$33-Assumptions!C$34-Assumptions!$C$39)*(1-Assumptions!C$37)*(1-Assumptions!C$38)</f>
        <v/>
      </c>
      <c r="F18" s="16">
        <f>(Revenue_Segments!F30+Assumptions!$D$93-Assumptions!D$31-Assumptions!D$32-Assumptions!D$33-Assumptions!D$34-Assumptions!$C$39)*(1-Assumptions!D$37)*(1-Assumptions!D$38)</f>
        <v/>
      </c>
      <c r="G18" s="16">
        <f>(Revenue_Segments!G30+Assumptions!$D$93-Assumptions!E$31-Assumptions!E$32-Assumptions!E$33-Assumptions!E$34-Assumptions!$C$39)*(1-Assumptions!E$37)*(1-Assumptions!E$38)</f>
        <v/>
      </c>
      <c r="H18" s="16">
        <f>(Revenue_Segments!H30+Assumptions!$D$93-Assumptions!F$31-Assumptions!F$32-Assumptions!F$33-Assumptions!F$34-Assumptions!$C$39)*(1-Assumptions!F$37)*(1-Assumptions!F$38)</f>
        <v/>
      </c>
      <c r="I18" s="16">
        <f>(Revenue_Segments!I30+Assumptions!$D$93-Assumptions!G$31-Assumptions!G$32-Assumptions!G$33-Assumptions!G$34-Assumptions!$C$39)*(1-Assumptions!G$37)*(1-Assumptions!G$38)</f>
        <v/>
      </c>
    </row>
    <row r="19">
      <c r="A19" s="4" t="inlineStr">
        <is>
          <t>归母净利润</t>
        </is>
      </c>
      <c r="E19" s="35">
        <f>E17*E18</f>
        <v/>
      </c>
      <c r="F19" s="35">
        <f>F17*F18</f>
        <v/>
      </c>
      <c r="G19" s="35">
        <f>G17*G18</f>
        <v/>
      </c>
      <c r="H19" s="35">
        <f>H17*H18</f>
        <v/>
      </c>
      <c r="I19" s="35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DCF!D26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IS!E20*Relative_Val!$F$9/Equity_Roll!$C$21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收入增速调整/净利率调整引用Assumptions第94行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IS!D4*(1+Revenue_Segments!E29+Assumptions!$C$94)</f>
        <v/>
      </c>
      <c r="F27" s="26">
        <f>E27*(1+Revenue_Segments!F29+Assumptions!$C$94)</f>
        <v/>
      </c>
      <c r="G27" s="26">
        <f>F27*(1+Revenue_Segments!G29+Assumptions!$C$94)</f>
        <v/>
      </c>
      <c r="H27" s="26">
        <f>G27*(1+Revenue_Segments!H29+Assumptions!$C$94)</f>
        <v/>
      </c>
      <c r="I27" s="26">
        <f>H27*(1+Revenue_Segments!I29+Assumptions!$C$94)</f>
        <v/>
      </c>
    </row>
    <row r="28">
      <c r="A28" s="4" t="inlineStr">
        <is>
          <t>归母净利率</t>
        </is>
      </c>
      <c r="E28" s="16">
        <f>(Revenue_Segments!E30+Assumptions!$D$94-Assumptions!C$31-Assumptions!C$32-Assumptions!C$33-Assumptions!C$34-Assumptions!$C$39)*(1-Assumptions!C$37)*(1-Assumptions!C$38)</f>
        <v/>
      </c>
      <c r="F28" s="16">
        <f>(Revenue_Segments!F30+Assumptions!$D$94-Assumptions!D$31-Assumptions!D$32-Assumptions!D$33-Assumptions!D$34-Assumptions!$C$39)*(1-Assumptions!D$37)*(1-Assumptions!D$38)</f>
        <v/>
      </c>
      <c r="G28" s="16">
        <f>(Revenue_Segments!G30+Assumptions!$D$94-Assumptions!E$31-Assumptions!E$32-Assumptions!E$33-Assumptions!E$34-Assumptions!$C$39)*(1-Assumptions!E$37)*(1-Assumptions!E$38)</f>
        <v/>
      </c>
      <c r="H28" s="16">
        <f>(Revenue_Segments!H30+Assumptions!$D$94-Assumptions!F$31-Assumptions!F$32-Assumptions!F$33-Assumptions!F$34-Assumptions!$C$39)*(1-Assumptions!F$37)*(1-Assumptions!F$38)</f>
        <v/>
      </c>
      <c r="I28" s="16">
        <f>(Revenue_Segments!I30+Assumptions!$D$94-Assumptions!G$31-Assumptions!G$32-Assumptions!G$33-Assumptions!G$34-Assumptions!$C$39)*(1-Assumptions!G$37)*(1-Assumptions!G$38)</f>
        <v/>
      </c>
    </row>
    <row r="29">
      <c r="A29" s="4" t="inlineStr">
        <is>
          <t>归母净利润</t>
        </is>
      </c>
      <c r="E29" s="35">
        <f>E27*E28</f>
        <v/>
      </c>
      <c r="F29" s="35">
        <f>F27*F28</f>
        <v/>
      </c>
      <c r="G29" s="35">
        <f>G27*G28</f>
        <v/>
      </c>
      <c r="H29" s="35">
        <f>H27*H28</f>
        <v/>
      </c>
      <c r="I29" s="35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(E30/(1+Assumptions!$C$87)^0.5+F30/(1+Assumptions!$C$87)^1.5+G30/(1+Assumptions!$C$87)^2.5+H30/(1+Assumptions!$C$87)^3.5+I30/(1+Assumptions!$C$87)^4.5+I30*(1+Assumptions!$C$88)/(Assumptions!$C$87-Assumptions!$C$88)/(1+Assumptions!$C$87)^4.5+DCF!$D$24)/Equity_Roll!$C$21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E29*Relative_Val!$F$9/Equity_Roll!$C$21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沪电股份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4">
        <f>ABS(BS!B47)&lt;0.01</f>
        <v/>
      </c>
      <c r="C4" s="54">
        <f>ABS(BS!C47)&lt;0.01</f>
        <v/>
      </c>
      <c r="D4" s="54">
        <f>ABS(BS!D47)&lt;0.01</f>
        <v/>
      </c>
      <c r="E4" s="54">
        <f>ABS(BS!E47)&lt;0.01</f>
        <v/>
      </c>
      <c r="F4" s="54">
        <f>ABS(BS!F47)&lt;0.01</f>
        <v/>
      </c>
      <c r="G4" s="54">
        <f>ABS(BS!G47)&lt;0.01</f>
        <v/>
      </c>
      <c r="H4" s="54">
        <f>ABS(BS!H47)&lt;0.01</f>
        <v/>
      </c>
      <c r="I4" s="54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4">
        <f>ABS(CF!E19-BS!E4)&lt;0.01</f>
        <v/>
      </c>
      <c r="F5" s="54">
        <f>ABS(CF!F19-BS!F4)&lt;0.01</f>
        <v/>
      </c>
      <c r="G5" s="54">
        <f>ABS(CF!G19-BS!G4)&lt;0.01</f>
        <v/>
      </c>
      <c r="H5" s="54">
        <f>ABS(CF!H19-BS!H4)&lt;0.01</f>
        <v/>
      </c>
      <c r="I5" s="54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4">
        <f>ABS(BS!E41-BS!D41-IS!E20+Schedules!E26+Equity_Roll!E9)&lt;0.01</f>
        <v/>
      </c>
      <c r="F6" s="54">
        <f>ABS(BS!F41-BS!E41-IS!F20+Schedules!F26+Equity_Roll!F9)&lt;0.01</f>
        <v/>
      </c>
      <c r="G6" s="54">
        <f>ABS(BS!G41-BS!F41-IS!G20+Schedules!G26+Equity_Roll!G9)&lt;0.01</f>
        <v/>
      </c>
      <c r="H6" s="54">
        <f>ABS(BS!H41-BS!G41-IS!H20+Schedules!H26+Equity_Roll!H9)&lt;0.01</f>
        <v/>
      </c>
      <c r="I6" s="54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4">
        <f>ABS(IS!B4-Revenue_Segments!B20)&lt;0.01</f>
        <v/>
      </c>
      <c r="C7" s="54">
        <f>ABS(IS!C4-Revenue_Segments!C20)&lt;0.01</f>
        <v/>
      </c>
      <c r="D7" s="54">
        <f>ABS(IS!D4-Revenue_Segments!D20)&lt;0.01</f>
        <v/>
      </c>
      <c r="E7" s="54">
        <f>ABS(IS!E4-Revenue_Segments!E20)&lt;0.01</f>
        <v/>
      </c>
      <c r="F7" s="54">
        <f>ABS(IS!F4-Revenue_Segments!F20)&lt;0.01</f>
        <v/>
      </c>
      <c r="G7" s="54">
        <f>ABS(IS!G4-Revenue_Segments!G20)&lt;0.01</f>
        <v/>
      </c>
      <c r="H7" s="54">
        <f>ABS(IS!H4-Revenue_Segments!H20)&lt;0.01</f>
        <v/>
      </c>
      <c r="I7" s="54">
        <f>ABS(IS!I4-Revenue_Segments!I20)&lt;0.01</f>
        <v/>
      </c>
      <c r="J7" s="11" t="inlineStr">
        <is>
          <t>分部合计自动汇总进IS</t>
        </is>
      </c>
    </row>
    <row r="8">
      <c r="A8" s="4" t="inlineStr">
        <is>
          <t>5. 信息项(不闸门): 毛利率处于(0%,60%)区间</t>
        </is>
      </c>
      <c r="B8" s="54">
        <f>AND(IS!B8&gt;0,IS!B8&lt;0.6)</f>
        <v/>
      </c>
      <c r="C8" s="54">
        <f>AND(IS!C8&gt;0,IS!C8&lt;0.6)</f>
        <v/>
      </c>
      <c r="D8" s="54">
        <f>AND(IS!D8&gt;0,IS!D8&lt;0.6)</f>
        <v/>
      </c>
      <c r="E8" s="54">
        <f>AND(IS!E8&gt;0,IS!E8&lt;0.6)</f>
        <v/>
      </c>
      <c r="F8" s="54">
        <f>AND(IS!F8&gt;0,IS!F8&lt;0.6)</f>
        <v/>
      </c>
      <c r="G8" s="54">
        <f>AND(IS!G8&gt;0,IS!G8&lt;0.6)</f>
        <v/>
      </c>
      <c r="H8" s="54">
        <f>AND(IS!H8&gt;0,IS!H8&lt;0.6)</f>
        <v/>
      </c>
      <c r="I8" s="54">
        <f>AND(IS!I8&gt;0,IS!I8&lt;0.6)</f>
        <v/>
      </c>
      <c r="J8" s="11" t="inlineStr">
        <is>
          <t>信息行, 不参与布尔汇总; 越界仅提示复核毛利率假设; 区间可经checks.gm_band配置</t>
        </is>
      </c>
    </row>
    <row r="9">
      <c r="A9" s="4" t="inlineStr">
        <is>
          <t>6. DCF每股价值&gt;0</t>
        </is>
      </c>
      <c r="B9" s="54">
        <f>DCF!D26&gt;0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4">
        <f>ABS(Sensitivity!E8-DCF!D26)&lt;0.01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4">
        <f>OR(ABS(Assumptions!C87-Assumptions!C85)&lt;0.000001,Assumptions!C86&lt;&gt;"")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4">
        <f>BS!E4&gt;0.01</f>
        <v/>
      </c>
      <c r="F12" s="54">
        <f>BS!F4&gt;0.01</f>
        <v/>
      </c>
      <c r="G12" s="54">
        <f>BS!G4&gt;0.01</f>
        <v/>
      </c>
      <c r="H12" s="54">
        <f>BS!H4&gt;0.01</f>
        <v/>
      </c>
      <c r="I12" s="54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4">
        <f>MIN(FIN!E24,FIN!E32,FIN!E42,FIN!E50)&gt;=-0.01</f>
        <v/>
      </c>
      <c r="F13" s="54">
        <f>MIN(FIN!F24,FIN!F32,FIN!F42,FIN!F50)&gt;=-0.01</f>
        <v/>
      </c>
      <c r="G13" s="54">
        <f>MIN(FIN!G24,FIN!G32,FIN!G42,FIN!G50)&gt;=-0.01</f>
        <v/>
      </c>
      <c r="H13" s="54">
        <f>MIN(FIN!H24,FIN!H32,FIN!H42,FIN!H50)&gt;=-0.01</f>
        <v/>
      </c>
      <c r="I13" s="54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4">
        <f>FIN!E139&lt;0.01</f>
        <v/>
      </c>
      <c r="F14" s="54">
        <f>FIN!F139&lt;0.01</f>
        <v/>
      </c>
      <c r="G14" s="54">
        <f>FIN!G139&lt;0.01</f>
        <v/>
      </c>
      <c r="H14" s="54">
        <f>FIN!H139&lt;0.01</f>
        <v/>
      </c>
      <c r="I14" s="54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4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5">
        <f>PPE!E20</f>
        <v/>
      </c>
      <c r="F17" s="55">
        <f>PPE!F20</f>
        <v/>
      </c>
      <c r="G17" s="55">
        <f>PPE!G20</f>
        <v/>
      </c>
      <c r="H17" s="55">
        <f>PPE!H20</f>
        <v/>
      </c>
      <c r="I17" s="55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Assumptions!C85</f>
        <v/>
      </c>
      <c r="C20" s="16">
        <f>Assumptions!C87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FCFE!D20/DCF!D26</f>
        <v/>
      </c>
      <c r="C21" s="14">
        <f>FCFE!D20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6" t="inlineStr">
        <is>
          <t xml:space="preserve">汇总: 全部通过 = </t>
        </is>
      </c>
      <c r="F24" s="57">
        <f>IF(AND(B4:I4,E5:I5,E6:I6,B7:I7,B9,B10,B11,E12:I12,E13:I13,E14:I14,B15),"全部通过=TRUE","存在未通过=FALSE")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2026-08-17T23:28:07Z</dcterms:created>
  <dcterms:modified xmlns:dcterms="http://purl.org/dc/terms/" xmlns:xsi="http://www.w3.org/2001/XMLSchema-instance" xsi:type="dcterms:W3CDTF">2026-08-17T23:28:07Z</dcterms:modified>
</cp:coreProperties>
</file>