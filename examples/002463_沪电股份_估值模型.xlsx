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_Segments" sheetId="4" state="visible" r:id="rId6"/>
    <sheet name="IS" sheetId="5" state="visible" r:id="rId7"/>
    <sheet name="BS" sheetId="6" state="visible" r:id="rId8"/>
    <sheet name="CF" sheetId="7" state="visible" r:id="rId9"/>
    <sheet name="Schedules" sheetId="8" state="visible" r:id="rId10"/>
    <sheet name="PPE" sheetId="9" state="visible" r:id="rId11"/>
    <sheet name="FIN" sheetId="10" state="visible" r:id="rId12"/>
    <sheet name="Equity_Roll" sheetId="11" state="visible" r:id="rId13"/>
    <sheet name="DCF" sheetId="12" state="visible" r:id="rId14"/>
    <sheet name="FCFE" sheetId="13" state="visible" r:id="rId15"/>
    <sheet name="Relative_Val" sheetId="14" state="visible" r:id="rId16"/>
    <sheet name="Sensitivity" sheetId="15" state="visible" r:id="rId17"/>
    <sheet name="Scenarios" sheetId="16" state="visible" r:id="rId18"/>
    <sheet name="Checks" sheetId="17" state="visible" r:id="rId19"/>
  </sheets>
  <definedNames>
    <definedName function="false" hidden="false" name="BETA_U" vbProcedure="false">Assumptions!$C$78</definedName>
    <definedName function="false" hidden="false" name="DCF_PS" vbProcedure="false">DCF!$D$26</definedName>
    <definedName function="false" hidden="false" name="ERP" vbProcedure="false">Assumptions!$C$77</definedName>
    <definedName function="false" hidden="false" name="FCFE_PS" vbProcedure="false">FCFE!$D$20</definedName>
    <definedName function="false" hidden="false" name="KD" vbProcedure="false">Assumptions!$C$84</definedName>
    <definedName function="false" hidden="false" name="KE" vbProcedure="false">Assumptions!$C$83</definedName>
    <definedName function="false" hidden="false" name="MIN_CASH_PCT" vbProcedure="false">Assumptions!$C$62</definedName>
    <definedName function="false" hidden="false" name="PAYOUT_Y1" vbProcedure="false">Assumptions!$C$58</definedName>
    <definedName function="false" hidden="false" name="RF_RATE" vbProcedure="false">Assumptions!$C$76</definedName>
    <definedName function="false" hidden="false" name="SCEN_SWITCH" vbProcedure="false">Assumptions!$C$5</definedName>
    <definedName function="false" hidden="false" name="SHARES_DIL" vbProcedure="false">Equity_Roll!$C$21</definedName>
    <definedName function="false" hidden="false" name="TAX_RATE_Y1" vbProcedure="false">Assumptions!$C$37</definedName>
    <definedName function="false" hidden="false" name="TERM_G" vbProcedure="false">Assumptions!$C$88</definedName>
    <definedName function="false" hidden="false" name="WACC_CALC" vbProcedure="false">Assumptions!$C$85</definedName>
    <definedName function="false" hidden="false" name="WACC_USED" vbProcedure="false">Assumptions!$C$87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<sst xmlns="http://schemas.openxmlformats.org/spreadsheetml/2006/main" count="1181" uniqueCount="864">
  <si>
    <r>
      <rPr>
        <b val="true"/>
        <sz val="20"/>
        <color rgb="FF1F3864"/>
        <rFont val="Arial Unicode MS"/>
        <family val="2"/>
      </rPr>
      <t xml:space="preserve">沪电股份 </t>
    </r>
    <r>
      <rPr>
        <b val="true"/>
        <sz val="20"/>
        <color rgb="FF1F3864"/>
        <rFont val="Microsoft YaHei"/>
        <family val="0"/>
        <charset val="1"/>
      </rPr>
      <t xml:space="preserve">(002463.SZ) — </t>
    </r>
    <r>
      <rPr>
        <b val="true"/>
        <sz val="20"/>
        <color rgb="FF1F3864"/>
        <rFont val="Arial Unicode MS"/>
        <family val="2"/>
      </rPr>
      <t xml:space="preserve">机构级估值模型</t>
    </r>
  </si>
  <si>
    <r>
      <rPr>
        <sz val="11"/>
        <color rgb="FF7F7F7F"/>
        <rFont val="Microsoft YaHei"/>
        <family val="0"/>
        <charset val="1"/>
      </rPr>
      <t xml:space="preserve">AI</t>
    </r>
    <r>
      <rPr>
        <sz val="11"/>
        <color rgb="FF7F7F7F"/>
        <rFont val="Arial Unicode MS"/>
        <family val="2"/>
      </rPr>
      <t xml:space="preserve">服务器</t>
    </r>
    <r>
      <rPr>
        <sz val="11"/>
        <color rgb="FF7F7F7F"/>
        <rFont val="Microsoft YaHei"/>
        <family val="0"/>
        <charset val="1"/>
      </rPr>
      <t xml:space="preserve">/</t>
    </r>
    <r>
      <rPr>
        <sz val="11"/>
        <color rgb="FF7F7F7F"/>
        <rFont val="Arial Unicode MS"/>
        <family val="2"/>
      </rPr>
      <t xml:space="preserve">交换机</t>
    </r>
    <r>
      <rPr>
        <sz val="11"/>
        <color rgb="FF7F7F7F"/>
        <rFont val="Microsoft YaHei"/>
        <family val="0"/>
        <charset val="1"/>
      </rPr>
      <t xml:space="preserve">PCB</t>
    </r>
    <r>
      <rPr>
        <sz val="11"/>
        <color rgb="FF7F7F7F"/>
        <rFont val="Arial Unicode MS"/>
        <family val="2"/>
      </rPr>
      <t xml:space="preserve">核心供应商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企业通讯板</t>
    </r>
    <r>
      <rPr>
        <sz val="11"/>
        <color rgb="FF7F7F7F"/>
        <rFont val="Microsoft YaHei"/>
        <family val="0"/>
        <charset val="1"/>
      </rPr>
      <t xml:space="preserve">+</t>
    </r>
    <r>
      <rPr>
        <sz val="11"/>
        <color rgb="FF7F7F7F"/>
        <rFont val="Arial Unicode MS"/>
        <family val="2"/>
      </rPr>
      <t xml:space="preserve">汽车板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外销为主</t>
    </r>
    <r>
      <rPr>
        <sz val="11"/>
        <color rgb="FF7F7F7F"/>
        <rFont val="Microsoft YaHei"/>
        <family val="0"/>
        <charset val="1"/>
      </rPr>
      <t xml:space="preserve">(82%)</t>
    </r>
  </si>
  <si>
    <t xml:space="preserve">模型构建日期</t>
  </si>
  <si>
    <r>
      <rPr>
        <sz val="10"/>
        <color rgb="FF000000"/>
        <rFont val="Microsoft YaHei"/>
        <family val="0"/>
        <charset val="1"/>
      </rPr>
      <t xml:space="preserve">2026-08-17 (</t>
    </r>
    <r>
      <rPr>
        <sz val="10"/>
        <color rgb="FF000000"/>
        <rFont val="Arial Unicode MS"/>
        <family val="2"/>
      </rPr>
      <t xml:space="preserve">行情基准日</t>
    </r>
    <r>
      <rPr>
        <sz val="10"/>
        <color rgb="FF000000"/>
        <rFont val="Microsoft YaHei"/>
        <family val="0"/>
        <charset val="1"/>
      </rPr>
      <t xml:space="preserve">: 2026-08-17</t>
    </r>
    <r>
      <rPr>
        <sz val="10"/>
        <color rgb="FF000000"/>
        <rFont val="Arial Unicode MS"/>
        <family val="2"/>
      </rPr>
      <t xml:space="preserve">收盘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调度</t>
    </r>
    <r>
      <rPr>
        <sz val="10"/>
        <color rgb="FF000000"/>
        <rFont val="Microsoft YaHei"/>
        <family val="0"/>
        <charset val="1"/>
      </rPr>
      <t xml:space="preserve">/WACC</t>
    </r>
    <r>
      <rPr>
        <sz val="10"/>
        <color rgb="FF000000"/>
        <rFont val="Arial Unicode MS"/>
        <family val="2"/>
      </rPr>
      <t xml:space="preserve">做实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年中折现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迭代展开消除循环引用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</si>
  <si>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经营货币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单位</t>
    </r>
  </si>
  <si>
    <r>
      <rPr>
        <sz val="10"/>
        <color rgb="FF000000"/>
        <rFont val="Arial Unicode MS"/>
        <family val="2"/>
      </rPr>
      <t xml:space="preserve">人民币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百万元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每股数据为元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</si>
  <si>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颜色规范</t>
  </si>
  <si>
    <r>
      <rPr>
        <sz val="10"/>
        <color rgb="FF000000"/>
        <rFont val="Arial Unicode MS"/>
        <family val="2"/>
      </rPr>
      <t xml:space="preserve">蓝色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假设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黑色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公式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绿色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外部数据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链接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红色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警告</t>
    </r>
  </si>
  <si>
    <r>
      <rPr>
        <b val="true"/>
        <sz val="10"/>
        <color rgb="FF000000"/>
        <rFont val="Arial Unicode MS"/>
        <family val="2"/>
      </rPr>
      <t xml:space="preserve">✓ 迭代展开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无循环引用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</si>
  <si>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CC0000"/>
        <rFont val="Arial Unicode MS"/>
        <family val="2"/>
      </rPr>
      <t xml:space="preserve">原循环链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利息</t>
    </r>
    <r>
      <rPr>
        <sz val="9"/>
        <color rgb="FFCC0000"/>
        <rFont val="Microsoft YaHei"/>
        <family val="0"/>
        <charset val="1"/>
      </rPr>
      <t xml:space="preserve">=</t>
    </r>
    <r>
      <rPr>
        <sz val="9"/>
        <color rgb="FFCC0000"/>
        <rFont val="Arial Unicode MS"/>
        <family val="2"/>
      </rPr>
      <t xml:space="preserve">平均债务余额</t>
    </r>
    <r>
      <rPr>
        <sz val="9"/>
        <color rgb="FFCC0000"/>
        <rFont val="Microsoft YaHei"/>
        <family val="0"/>
        <charset val="1"/>
      </rPr>
      <t xml:space="preserve">×</t>
    </r>
    <r>
      <rPr>
        <sz val="9"/>
        <color rgb="FFCC0000"/>
        <rFont val="Arial Unicode MS"/>
        <family val="2"/>
      </rPr>
      <t xml:space="preserve">利率→净利→现金流→</t>
    </r>
    <r>
      <rPr>
        <sz val="9"/>
        <color rgb="FFCC0000"/>
        <rFont val="Microsoft YaHei"/>
        <family val="0"/>
        <charset val="1"/>
      </rPr>
      <t xml:space="preserve">sweep→</t>
    </r>
    <r>
      <rPr>
        <sz val="9"/>
        <color rgb="FFCC0000"/>
        <rFont val="Arial Unicode MS"/>
        <family val="2"/>
      </rPr>
      <t xml:space="preserve">债务余额→利息</t>
    </r>
    <r>
      <rPr>
        <sz val="9"/>
        <color rgb="FFCC0000"/>
        <rFont val="Microsoft YaHei"/>
        <family val="0"/>
        <charset val="1"/>
      </rPr>
      <t xml:space="preserve">)</t>
    </r>
    <r>
      <rPr>
        <sz val="9"/>
        <color rgb="FFCC0000"/>
        <rFont val="Arial Unicode MS"/>
        <family val="2"/>
      </rPr>
      <t xml:space="preserve">已在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页表内显式展开</t>
    </r>
    <r>
      <rPr>
        <sz val="9"/>
        <color rgb="FFCC0000"/>
        <rFont val="Microsoft YaHei"/>
        <family val="0"/>
        <charset val="1"/>
      </rPr>
      <t xml:space="preserve">4</t>
    </r>
    <r>
      <rPr>
        <sz val="9"/>
        <color rgb="FFCC0000"/>
        <rFont val="Arial Unicode MS"/>
        <family val="2"/>
      </rPr>
      <t xml:space="preserve">轮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</t>
    </r>
    <r>
      <rPr>
        <sz val="9"/>
        <color rgb="FFCC0000"/>
        <rFont val="Arial Unicode MS"/>
        <family val="2"/>
      </rPr>
      <t xml:space="preserve">轮期初余额计息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k</t>
    </r>
    <r>
      <rPr>
        <sz val="9"/>
        <color rgb="FFCC0000"/>
        <rFont val="Arial Unicode MS"/>
        <family val="2"/>
      </rPr>
      <t xml:space="preserve">轮按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期初</t>
    </r>
    <r>
      <rPr>
        <sz val="9"/>
        <color rgb="FFCC0000"/>
        <rFont val="Microsoft YaHei"/>
        <family val="0"/>
        <charset val="1"/>
      </rPr>
      <t xml:space="preserve">+</t>
    </r>
    <r>
      <rPr>
        <sz val="9"/>
        <color rgb="FFCC0000"/>
        <rFont val="Arial Unicode MS"/>
        <family val="2"/>
      </rPr>
      <t xml:space="preserve">上轮期末</t>
    </r>
    <r>
      <rPr>
        <sz val="9"/>
        <color rgb="FFCC0000"/>
        <rFont val="Microsoft YaHei"/>
        <family val="0"/>
        <charset val="1"/>
      </rPr>
      <t xml:space="preserve">)/2×</t>
    </r>
    <r>
      <rPr>
        <sz val="9"/>
        <color rgb="FFCC0000"/>
        <rFont val="Arial Unicode MS"/>
        <family val="2"/>
      </rPr>
      <t xml:space="preserve">利率重算</t>
    </r>
    <r>
      <rPr>
        <sz val="9"/>
        <color rgb="FFCC0000"/>
        <rFont val="Microsoft YaHei"/>
        <family val="0"/>
        <charset val="1"/>
      </rPr>
      <t xml:space="preserve">), </t>
    </r>
    <r>
      <rPr>
        <sz val="9"/>
        <color rgb="FFCC0000"/>
        <rFont val="Arial Unicode MS"/>
        <family val="2"/>
      </rPr>
      <t xml:space="preserve">末轮输出供</t>
    </r>
    <r>
      <rPr>
        <sz val="9"/>
        <color rgb="FFCC0000"/>
        <rFont val="Microsoft YaHei"/>
        <family val="0"/>
        <charset val="1"/>
      </rPr>
      <t xml:space="preserve">IS/CF/BS</t>
    </r>
    <r>
      <rPr>
        <sz val="9"/>
        <color rgb="FFCC0000"/>
        <rFont val="Arial Unicode MS"/>
        <family val="2"/>
      </rPr>
      <t xml:space="preserve">引用。全簿无任何循环引用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无需开启迭代计算</t>
    </r>
    <r>
      <rPr>
        <sz val="9"/>
        <color rgb="FFCC0000"/>
        <rFont val="Microsoft YaHei"/>
        <family val="0"/>
        <charset val="1"/>
      </rPr>
      <t xml:space="preserve">; </t>
    </r>
    <r>
      <rPr>
        <sz val="9"/>
        <color rgb="FFCC0000"/>
        <rFont val="Arial Unicode MS"/>
        <family val="2"/>
      </rPr>
      <t xml:space="preserve">收敛残差</t>
    </r>
    <r>
      <rPr>
        <sz val="9"/>
        <color rgb="FFCC0000"/>
        <rFont val="Microsoft YaHei"/>
        <family val="0"/>
        <charset val="1"/>
      </rPr>
      <t xml:space="preserve">&lt;0.01(</t>
    </r>
    <r>
      <rPr>
        <sz val="9"/>
        <color rgb="FFCC0000"/>
        <rFont val="Arial Unicode MS"/>
        <family val="2"/>
      </rPr>
      <t xml:space="preserve">见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页残差行</t>
    </r>
    <r>
      <rPr>
        <sz val="9"/>
        <color rgb="FFCC0000"/>
        <rFont val="Microsoft YaHei"/>
        <family val="0"/>
        <charset val="1"/>
      </rPr>
      <t xml:space="preserve">/Checks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11</t>
    </r>
    <r>
      <rPr>
        <sz val="9"/>
        <color rgb="FFCC0000"/>
        <rFont val="Arial Unicode MS"/>
        <family val="2"/>
      </rPr>
      <t xml:space="preserve">项</t>
    </r>
    <r>
      <rPr>
        <sz val="9"/>
        <color rgb="FFCC0000"/>
        <rFont val="Microsoft YaHei"/>
        <family val="0"/>
        <charset val="1"/>
      </rPr>
      <t xml:space="preserve">), Excel/WPS/LibreOffice</t>
    </r>
    <r>
      <rPr>
        <sz val="9"/>
        <color rgb="FFCC0000"/>
        <rFont val="Arial Unicode MS"/>
        <family val="2"/>
      </rPr>
      <t xml:space="preserve">重算结果一致</t>
    </r>
  </si>
  <si>
    <t xml:space="preserve">—— 关键市场数据 ——</t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</si>
  <si>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</si>
  <si>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总股本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</si>
  <si>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总市值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</si>
  <si>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一致预期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一致预期 </t>
    </r>
    <r>
      <rPr>
        <b val="true"/>
        <sz val="10"/>
        <color rgb="FF000000"/>
        <rFont val="Microsoft YaHei"/>
        <family val="0"/>
        <charset val="1"/>
      </rPr>
      <t xml:space="preserve">2026E </t>
    </r>
    <r>
      <rPr>
        <b val="true"/>
        <sz val="10"/>
        <color rgb="FF000000"/>
        <rFont val="Arial Unicode MS"/>
        <family val="2"/>
      </rPr>
      <t xml:space="preserve">营收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</si>
  <si>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2"/>
        <color rgb="FF000000"/>
        <rFont val="Arial Unicode MS"/>
        <family val="2"/>
      </rPr>
      <t xml:space="preserve">—— 模型输出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随情景开关联动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</si>
  <si>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t xml:space="preserve">当前情景</t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</si>
  <si>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营收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</si>
  <si>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</si>
  <si>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WACC </t>
    </r>
    <r>
      <rPr>
        <b val="true"/>
        <sz val="10"/>
        <color rgb="FF000000"/>
        <rFont val="Arial Unicode MS"/>
        <family val="2"/>
      </rPr>
      <t xml:space="preserve">计算值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采用值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</si>
  <si>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完整主模型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</si>
  <si>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牛同引擎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</si>
  <si>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相对估值区间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</si>
  <si>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综合参考区间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, Summary</t>
    </r>
    <r>
      <rPr>
        <b val="true"/>
        <sz val="10"/>
        <color rgb="FF000000"/>
        <rFont val="Arial Unicode MS"/>
        <family val="2"/>
      </rPr>
      <t xml:space="preserve">页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</si>
  <si>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Checks</t>
    </r>
    <r>
      <rPr>
        <b val="true"/>
        <sz val="10"/>
        <color rgb="FF000000"/>
        <rFont val="Arial Unicode MS"/>
        <family val="2"/>
      </rPr>
      <t xml:space="preserve">校验</t>
    </r>
  </si>
  <si>
    <r>
      <rPr>
        <b val="true"/>
        <sz val="12"/>
        <color rgb="FF000000"/>
        <rFont val="Arial Unicode MS"/>
        <family val="2"/>
      </rPr>
      <t xml:space="preserve">—— 关键建模处理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分析师注记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</si>
  <si>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r>
      <rPr>
        <sz val="10"/>
        <color rgb="FF7F7F7F"/>
        <rFont val="Microsoft YaHei"/>
        <family val="0"/>
        <charset val="1"/>
      </rPr>
      <t xml:space="preserve">1. FIN</t>
    </r>
    <r>
      <rPr>
        <sz val="10"/>
        <color rgb="FF7F7F7F"/>
        <rFont val="Arial Unicode MS"/>
        <family val="2"/>
      </rPr>
      <t xml:space="preserve">页债务调度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资金缺口</t>
    </r>
    <r>
      <rPr>
        <sz val="10"/>
        <color rgb="FF7F7F7F"/>
        <rFont val="Microsoft YaHei"/>
        <family val="0"/>
        <charset val="1"/>
      </rPr>
      <t xml:space="preserve">=MAX(0,</t>
    </r>
    <r>
      <rPr>
        <sz val="10"/>
        <color rgb="FF7F7F7F"/>
        <rFont val="Arial Unicode MS"/>
        <family val="2"/>
      </rPr>
      <t xml:space="preserve">期初现金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经营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投资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计划分红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计划还款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-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)→revolver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超额现金先</t>
    </r>
    <r>
      <rPr>
        <sz val="10"/>
        <color rgb="FF7F7F7F"/>
        <rFont val="Microsoft YaHei"/>
        <family val="0"/>
        <charset val="1"/>
      </rPr>
      <t xml:space="preserve">sweep</t>
    </r>
    <r>
      <rPr>
        <sz val="10"/>
        <color rgb="FF7F7F7F"/>
        <rFont val="Arial Unicode MS"/>
        <family val="2"/>
      </rPr>
      <t xml:space="preserve">偿还短借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长借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债务清零后溢出购买理财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货币资金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收入</t>
    </r>
    <r>
      <rPr>
        <sz val="10"/>
        <color rgb="FF7F7F7F"/>
        <rFont val="Microsoft YaHei"/>
        <family val="0"/>
        <charset val="1"/>
      </rPr>
      <t xml:space="preserve">×2%), </t>
    </r>
    <r>
      <rPr>
        <sz val="10"/>
        <color rgb="FF7F7F7F"/>
        <rFont val="Arial Unicode MS"/>
        <family val="2"/>
      </rPr>
      <t xml:space="preserve">杜绝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高现金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高借款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并存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</si>
  <si>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2. 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四档债务各自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期末</t>
    </r>
    <r>
      <rPr>
        <sz val="10"/>
        <color rgb="FF7F7F7F"/>
        <rFont val="Microsoft YaHei"/>
        <family val="0"/>
        <charset val="1"/>
      </rPr>
      <t xml:space="preserve">)/2</t>
    </r>
    <r>
      <rPr>
        <sz val="10"/>
        <color rgb="FF7F7F7F"/>
        <rFont val="Arial Unicode MS"/>
        <family val="2"/>
      </rPr>
      <t xml:space="preserve">平均余额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分档利率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该循环依赖已在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迭代展开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区表内展开</t>
    </r>
    <r>
      <rPr>
        <sz val="10"/>
        <color rgb="FF7F7F7F"/>
        <rFont val="Microsoft YaHei"/>
        <family val="0"/>
        <charset val="1"/>
      </rPr>
      <t xml:space="preserve">4</t>
    </r>
    <r>
      <rPr>
        <sz val="10"/>
        <color rgb="FF7F7F7F"/>
        <rFont val="Arial Unicode MS"/>
        <family val="2"/>
      </rPr>
      <t xml:space="preserve">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与外部不动点法同构且实测</t>
    </r>
    <r>
      <rPr>
        <sz val="10"/>
        <color rgb="FF7F7F7F"/>
        <rFont val="Microsoft YaHei"/>
        <family val="0"/>
        <charset val="1"/>
      </rPr>
      <t xml:space="preserve">6</t>
    </r>
    <r>
      <rPr>
        <sz val="10"/>
        <color rgb="FF7F7F7F"/>
        <rFont val="Arial Unicode MS"/>
        <family val="2"/>
      </rPr>
      <t xml:space="preserve">轮内收敛至</t>
    </r>
    <r>
      <rPr>
        <sz val="10"/>
        <color rgb="FF7F7F7F"/>
        <rFont val="Microsoft YaHei"/>
        <family val="0"/>
        <charset val="1"/>
      </rPr>
      <t xml:space="preserve">1e-8, 4</t>
    </r>
    <r>
      <rPr>
        <sz val="10"/>
        <color rgb="FF7F7F7F"/>
        <rFont val="Arial Unicode MS"/>
        <family val="2"/>
      </rPr>
      <t xml:space="preserve">轮充足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末轮输出供</t>
    </r>
    <r>
      <rPr>
        <sz val="10"/>
        <color rgb="FF7F7F7F"/>
        <rFont val="Microsoft YaHei"/>
        <family val="0"/>
        <charset val="1"/>
      </rPr>
      <t xml:space="preserve">IS/CF/BS</t>
    </r>
    <r>
      <rPr>
        <sz val="10"/>
        <color rgb="FF7F7F7F"/>
        <rFont val="Arial Unicode MS"/>
        <family val="2"/>
      </rPr>
      <t xml:space="preserve">引用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全簿无循环引用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无需开启迭代计算</t>
    </r>
    <r>
      <rPr>
        <sz val="10"/>
        <color rgb="FF7F7F7F"/>
        <rFont val="Microsoft YaHei"/>
        <family val="0"/>
        <charset val="1"/>
      </rPr>
      <t xml:space="preserve">, LibreOffice headless</t>
    </r>
    <r>
      <rPr>
        <sz val="10"/>
        <color rgb="FF7F7F7F"/>
        <rFont val="Arial Unicode MS"/>
        <family val="2"/>
      </rPr>
      <t xml:space="preserve">可直接重算验收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</si>
  <si>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3. BS</t>
    </r>
    <r>
      <rPr>
        <sz val="10"/>
        <color rgb="FF7F7F7F"/>
        <rFont val="Arial Unicode MS"/>
        <family val="2"/>
      </rPr>
      <t xml:space="preserve">配平项由货币资金改为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现金</t>
    </r>
    <r>
      <rPr>
        <sz val="10"/>
        <color rgb="FF7F7F7F"/>
        <rFont val="Microsoft YaHei"/>
        <family val="0"/>
        <charset val="1"/>
      </rPr>
      <t xml:space="preserve">sweep; </t>
    </r>
    <r>
      <rPr>
        <sz val="10"/>
        <color rgb="FF7F7F7F"/>
        <rFont val="Arial Unicode MS"/>
        <family val="2"/>
      </rPr>
      <t xml:space="preserve">历史尾差已并入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其他权益项目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轧差</t>
    </r>
    <r>
      <rPr>
        <sz val="10"/>
        <color rgb="FF7F7F7F"/>
        <rFont val="Microsoft YaHei"/>
        <family val="0"/>
        <charset val="1"/>
      </rPr>
      <t xml:space="preserve">)"</t>
    </r>
    <r>
      <rPr>
        <sz val="10"/>
        <color rgb="FF7F7F7F"/>
        <rFont val="Arial Unicode MS"/>
        <family val="2"/>
      </rPr>
      <t xml:space="preserve">清零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配平差额全期恒</t>
    </r>
    <r>
      <rPr>
        <sz val="10"/>
        <color rgb="FF7F7F7F"/>
        <rFont val="Microsoft YaHei"/>
        <family val="0"/>
        <charset val="1"/>
      </rPr>
      <t xml:space="preserve">=0(</t>
    </r>
    <r>
      <rPr>
        <sz val="10"/>
        <color rgb="FF7F7F7F"/>
        <rFont val="Arial Unicode MS"/>
        <family val="2"/>
      </rPr>
      <t xml:space="preserve">容差</t>
    </r>
    <r>
      <rPr>
        <sz val="10"/>
        <color rgb="FF7F7F7F"/>
        <rFont val="Microsoft YaHei"/>
        <family val="0"/>
        <charset val="1"/>
      </rPr>
      <t xml:space="preserve">0.01);</t>
    </r>
  </si>
  <si>
    <r>
      <rPr>
        <sz val="10"/>
        <color rgb="FF7F7F7F"/>
        <rFont val="Microsoft YaHei"/>
        <family val="0"/>
        <charset val="1"/>
      </rPr>
      <t xml:space="preserve">4. WACC</t>
    </r>
    <r>
      <rPr>
        <sz val="10"/>
        <color rgb="FF7F7F7F"/>
        <rFont val="Arial Unicode MS"/>
        <family val="2"/>
      </rPr>
      <t xml:space="preserve">做实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可比公司</t>
    </r>
    <r>
      <rPr>
        <sz val="10"/>
        <color rgb="FF7F7F7F"/>
        <rFont val="Microsoft YaHei"/>
        <family val="0"/>
        <charset val="1"/>
      </rPr>
      <t xml:space="preserve">βl</t>
    </r>
    <r>
      <rPr>
        <sz val="10"/>
        <color rgb="FF7F7F7F"/>
        <rFont val="Arial Unicode MS"/>
        <family val="2"/>
      </rPr>
      <t xml:space="preserve">按各自</t>
    </r>
    <r>
      <rPr>
        <sz val="10"/>
        <color rgb="FF7F7F7F"/>
        <rFont val="Microsoft YaHei"/>
        <family val="0"/>
        <charset val="1"/>
      </rPr>
      <t xml:space="preserve">D/E</t>
    </r>
    <r>
      <rPr>
        <sz val="10"/>
        <color rgb="FF7F7F7F"/>
        <rFont val="Arial Unicode MS"/>
        <family val="2"/>
      </rPr>
      <t xml:space="preserve">与税率</t>
    </r>
    <r>
      <rPr>
        <sz val="10"/>
        <color rgb="FF7F7F7F"/>
        <rFont val="Microsoft YaHei"/>
        <family val="0"/>
        <charset val="1"/>
      </rPr>
      <t xml:space="preserve">unlever</t>
    </r>
    <r>
      <rPr>
        <sz val="10"/>
        <color rgb="FF7F7F7F"/>
        <rFont val="Arial Unicode MS"/>
        <family val="2"/>
      </rPr>
      <t xml:space="preserve">取中位数</t>
    </r>
    <r>
      <rPr>
        <sz val="10"/>
        <color rgb="FF7F7F7F"/>
        <rFont val="Microsoft YaHei"/>
        <family val="0"/>
        <charset val="1"/>
      </rPr>
      <t xml:space="preserve">(Relative_Val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L-O</t>
    </r>
    <r>
      <rPr>
        <sz val="10"/>
        <color rgb="FF7F7F7F"/>
        <rFont val="Arial Unicode MS"/>
        <family val="2"/>
      </rPr>
      <t xml:space="preserve">列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按公司市值口径目标结构</t>
    </r>
    <r>
      <rPr>
        <sz val="10"/>
        <color rgb="FF7F7F7F"/>
        <rFont val="Microsoft YaHei"/>
        <family val="0"/>
        <charset val="1"/>
      </rPr>
      <t xml:space="preserve">relever; Wd=</t>
    </r>
    <r>
      <rPr>
        <sz val="10"/>
        <color rgb="FF7F7F7F"/>
        <rFont val="Arial Unicode MS"/>
        <family val="2"/>
      </rPr>
      <t xml:space="preserve">最近年报末有息负债</t>
    </r>
    <r>
      <rPr>
        <sz val="10"/>
        <color rgb="FF7F7F7F"/>
        <rFont val="Microsoft YaHei"/>
        <family val="0"/>
        <charset val="1"/>
      </rPr>
      <t xml:space="preserve">/(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总市值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采用值</t>
    </r>
    <r>
      <rPr>
        <sz val="10"/>
        <color rgb="FF7F7F7F"/>
        <rFont val="Microsoft YaHei"/>
        <family val="0"/>
        <charset val="1"/>
      </rPr>
      <t xml:space="preserve">=IF(override="",</t>
    </r>
    <r>
      <rPr>
        <sz val="10"/>
        <color rgb="FF7F7F7F"/>
        <rFont val="Arial Unicode MS"/>
        <family val="2"/>
      </rPr>
      <t xml:space="preserve">计算值</t>
    </r>
    <r>
      <rPr>
        <sz val="10"/>
        <color rgb="FF7F7F7F"/>
        <rFont val="Microsoft YaHei"/>
        <family val="0"/>
        <charset val="1"/>
      </rPr>
      <t xml:space="preserve">,override), </t>
    </r>
    <r>
      <rPr>
        <sz val="10"/>
        <color rgb="FF7F7F7F"/>
        <rFont val="Arial Unicode MS"/>
        <family val="2"/>
      </rPr>
      <t xml:space="preserve">下游全部引用采用值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</si>
  <si>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5. DCF</t>
    </r>
    <r>
      <rPr>
        <sz val="10"/>
        <color rgb="FF7F7F7F"/>
        <rFont val="Arial Unicode MS"/>
        <family val="2"/>
      </rPr>
      <t xml:space="preserve">年中折现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估值基准日</t>
    </r>
    <r>
      <rPr>
        <sz val="10"/>
        <color rgb="FF7F7F7F"/>
        <rFont val="Microsoft YaHei"/>
        <family val="0"/>
        <charset val="1"/>
      </rPr>
      <t xml:space="preserve">2026-08-17, t=0.5/1.5/.../4.5; EV→Equity</t>
    </r>
    <r>
      <rPr>
        <sz val="10"/>
        <color rgb="FF7F7F7F"/>
        <rFont val="Arial Unicode MS"/>
        <family val="2"/>
      </rPr>
      <t xml:space="preserve">桥含货币资金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其他权益工具投资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少数股东权益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</si>
  <si>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6. CF</t>
    </r>
    <r>
      <rPr>
        <sz val="10"/>
        <color rgb="FF7F7F7F"/>
        <rFont val="Arial Unicode MS"/>
        <family val="2"/>
      </rPr>
      <t xml:space="preserve">口径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利息支出经营活动加回、筹资活动列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偿付利息</t>
    </r>
    <r>
      <rPr>
        <sz val="10"/>
        <color rgb="FF7F7F7F"/>
        <rFont val="Microsoft YaHei"/>
        <family val="0"/>
        <charset val="1"/>
      </rPr>
      <t xml:space="preserve">"; </t>
    </r>
    <r>
      <rPr>
        <sz val="10"/>
        <color rgb="FF7F7F7F"/>
        <rFont val="Arial Unicode MS"/>
        <family val="2"/>
      </rPr>
      <t xml:space="preserve">投资活动含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理财净变动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行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</si>
  <si>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7. </t>
    </r>
    <r>
      <rPr>
        <sz val="10"/>
        <color rgb="FF7F7F7F"/>
        <rFont val="Arial Unicode MS"/>
        <family val="2"/>
      </rPr>
      <t xml:space="preserve">权益滚动</t>
    </r>
    <r>
      <rPr>
        <sz val="10"/>
        <color rgb="FF7F7F7F"/>
        <rFont val="Microsoft YaHei"/>
        <family val="0"/>
        <charset val="1"/>
      </rPr>
      <t xml:space="preserve">: Equity_Roll</t>
    </r>
    <r>
      <rPr>
        <sz val="10"/>
        <color rgb="FF7F7F7F"/>
        <rFont val="Arial Unicode MS"/>
        <family val="2"/>
      </rPr>
      <t xml:space="preserve">页逐项滚动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盈余公积按归母计提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稀释股数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总股本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稀释工具占位</t>
    </r>
    <r>
      <rPr>
        <sz val="10"/>
        <color rgb="FF7F7F7F"/>
        <rFont val="Microsoft YaHei"/>
        <family val="0"/>
        <charset val="1"/>
      </rPr>
      <t xml:space="preserve">; Summary</t>
    </r>
    <r>
      <rPr>
        <sz val="10"/>
        <color rgb="FF7F7F7F"/>
        <rFont val="Arial Unicode MS"/>
        <family val="2"/>
      </rPr>
      <t xml:space="preserve">页为</t>
    </r>
    <r>
      <rPr>
        <sz val="10"/>
        <color rgb="FF7F7F7F"/>
        <rFont val="Microsoft YaHei"/>
        <family val="0"/>
        <charset val="1"/>
      </rPr>
      <t xml:space="preserve">football field</t>
    </r>
    <r>
      <rPr>
        <sz val="10"/>
        <color rgb="FF7F7F7F"/>
        <rFont val="Arial Unicode MS"/>
        <family val="2"/>
      </rPr>
      <t xml:space="preserve">区间汇总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</si>
  <si>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8. </t>
    </r>
    <r>
      <rPr>
        <sz val="10"/>
        <color rgb="FF7F7F7F"/>
        <rFont val="Arial Unicode MS"/>
        <family val="2"/>
      </rPr>
      <t xml:space="preserve">预测期资产减值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投资收益等非经常项简化为固定小额</t>
    </r>
    <r>
      <rPr>
        <sz val="10"/>
        <color rgb="FF7F7F7F"/>
        <rFont val="Microsoft YaHei"/>
        <family val="0"/>
        <charset val="1"/>
      </rPr>
      <t xml:space="preserve">(Assumptions"</t>
    </r>
    <r>
      <rPr>
        <sz val="10"/>
        <color rgb="FF7F7F7F"/>
        <rFont val="Arial Unicode MS"/>
        <family val="2"/>
      </rPr>
      <t xml:space="preserve">其他经营损益</t>
    </r>
    <r>
      <rPr>
        <sz val="10"/>
        <color rgb="FF7F7F7F"/>
        <rFont val="Microsoft YaHei"/>
        <family val="0"/>
        <charset val="1"/>
      </rPr>
      <t xml:space="preserve">"), </t>
    </r>
    <r>
      <rPr>
        <sz val="10"/>
        <color rgb="FF7F7F7F"/>
        <rFont val="Arial Unicode MS"/>
        <family val="2"/>
      </rPr>
      <t xml:space="preserve">以保证三表严格配平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</si>
  <si>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9. </t>
    </r>
    <r>
      <rPr>
        <sz val="10"/>
        <color rgb="FF7F7F7F"/>
        <rFont val="Arial Unicode MS"/>
        <family val="2"/>
      </rPr>
      <t xml:space="preserve">分产品历史收入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产品占比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总收入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预测按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量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价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驱动并受情景开关调整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预测期</t>
    </r>
    <r>
      <rPr>
        <sz val="10"/>
        <color rgb="FF7F7F7F"/>
        <rFont val="Microsoft YaHei"/>
        <family val="0"/>
        <charset val="1"/>
      </rPr>
      <t xml:space="preserve">(2026E-2030E)</t>
    </r>
    <r>
      <rPr>
        <sz val="10"/>
        <color rgb="FF7F7F7F"/>
        <rFont val="Arial Unicode MS"/>
        <family val="2"/>
      </rPr>
      <t xml:space="preserve">所有单元格均为公式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硬编码仅限历史实际值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绿色</t>
    </r>
    <r>
      <rPr>
        <sz val="10"/>
        <color rgb="FF7F7F7F"/>
        <rFont val="Microsoft YaHei"/>
        <family val="0"/>
        <charset val="1"/>
      </rPr>
      <t xml:space="preserve">)</t>
    </r>
    <r>
      <rPr>
        <sz val="10"/>
        <color rgb="FF7F7F7F"/>
        <rFont val="Arial Unicode MS"/>
        <family val="2"/>
      </rPr>
      <t xml:space="preserve">与蓝色假设输入</t>
    </r>
    <r>
      <rPr>
        <sz val="10"/>
        <color rgb="FF7F7F7F"/>
        <rFont val="Microsoft YaHei"/>
        <family val="0"/>
        <charset val="1"/>
      </rPr>
      <t xml:space="preserve">;</t>
    </r>
  </si>
  <si>
    <t xml:space="preserve">—— 数据来源 ——</t>
  </si>
  <si>
    <r>
      <rPr>
        <sz val="9"/>
        <color rgb="FF1E7A1E"/>
        <rFont val="Arial Unicode MS"/>
        <family val="2"/>
      </rPr>
      <t xml:space="preserve">历史三表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东方财富</t>
    </r>
    <r>
      <rPr>
        <sz val="9"/>
        <color rgb="FF1E7A1E"/>
        <rFont val="Microsoft YaHei"/>
        <family val="0"/>
        <charset val="1"/>
      </rPr>
      <t xml:space="preserve">F10 (2023A-2025A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分产品结构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东财</t>
    </r>
    <r>
      <rPr>
        <sz val="9"/>
        <color rgb="FF1E7A1E"/>
        <rFont val="Microsoft YaHei"/>
        <family val="0"/>
        <charset val="1"/>
      </rPr>
      <t xml:space="preserve">F10</t>
    </r>
    <r>
      <rPr>
        <sz val="9"/>
        <color rgb="FF1E7A1E"/>
        <rFont val="Arial Unicode MS"/>
        <family val="2"/>
      </rPr>
      <t xml:space="preserve">主营构成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招股书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券商深度报告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以配置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依据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字段为准</t>
    </r>
    <r>
      <rPr>
        <sz val="9"/>
        <color rgb="FF1E7A1E"/>
        <rFont val="Microsoft YaHei"/>
        <family val="0"/>
        <charset val="1"/>
      </rPr>
      <t xml:space="preserve">);</t>
    </r>
  </si>
  <si>
    <r>
      <rPr>
        <sz val="9"/>
        <color rgb="FF1E7A1E"/>
        <rFont val="Arial Unicode MS"/>
        <family val="2"/>
      </rPr>
      <t xml:space="preserve">一致预期</t>
    </r>
    <r>
      <rPr>
        <sz val="9"/>
        <color rgb="FF1E7A1E"/>
        <rFont val="Microsoft YaHei"/>
        <family val="0"/>
        <charset val="1"/>
      </rPr>
      <t xml:space="preserve">: gildata/</t>
    </r>
    <r>
      <rPr>
        <sz val="9"/>
        <color rgb="FF1E7A1E"/>
        <rFont val="Arial Unicode MS"/>
        <family val="2"/>
      </rPr>
      <t xml:space="preserve">聚源一致预期</t>
    </r>
    <r>
      <rPr>
        <sz val="9"/>
        <color rgb="FF1E7A1E"/>
        <rFont val="Microsoft YaHei"/>
        <family val="0"/>
        <charset val="1"/>
      </rPr>
      <t xml:space="preserve">(2026-08-16): 263.8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(+39.3%)/384.1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(+45.6%)/544.1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行情与可比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腾讯行情</t>
    </r>
    <r>
      <rPr>
        <sz val="9"/>
        <color rgb="FF1E7A1E"/>
        <rFont val="Microsoft YaHei"/>
        <family val="0"/>
        <charset val="1"/>
      </rPr>
      <t xml:space="preserve">(2026-08-17);</t>
    </r>
  </si>
  <si>
    <r>
      <rPr>
        <sz val="9"/>
        <color rgb="FF1E7A1E"/>
        <rFont val="Arial Unicode MS"/>
        <family val="2"/>
      </rPr>
      <t xml:space="preserve">可比公司</t>
    </r>
    <r>
      <rPr>
        <sz val="9"/>
        <color rgb="FF1E7A1E"/>
        <rFont val="Microsoft YaHei"/>
        <family val="0"/>
        <charset val="1"/>
      </rPr>
      <t xml:space="preserve">βl/D/E: </t>
    </r>
    <r>
      <rPr>
        <sz val="9"/>
        <color rgb="FF1E7A1E"/>
        <rFont val="Arial Unicode MS"/>
        <family val="2"/>
      </rPr>
      <t xml:space="preserve">分析师输入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参考行情终端</t>
    </r>
    <r>
      <rPr>
        <sz val="9"/>
        <color rgb="FF1E7A1E"/>
        <rFont val="Microsoft YaHei"/>
        <family val="0"/>
        <charset val="1"/>
      </rPr>
      <t xml:space="preserve">β</t>
    </r>
    <r>
      <rPr>
        <sz val="9"/>
        <color rgb="FF1E7A1E"/>
        <rFont val="Arial Unicode MS"/>
        <family val="2"/>
      </rPr>
      <t xml:space="preserve">区间与各公司最新年报杠杆</t>
    </r>
    <r>
      <rPr>
        <sz val="9"/>
        <color rgb="FF1E7A1E"/>
        <rFont val="Microsoft YaHei"/>
        <family val="0"/>
        <charset val="1"/>
      </rPr>
      <t xml:space="preserve">), </t>
    </r>
    <r>
      <rPr>
        <sz val="9"/>
        <color rgb="FF1E7A1E"/>
        <rFont val="Arial Unicode MS"/>
        <family val="2"/>
      </rPr>
      <t xml:space="preserve">可按终端数据更新</t>
    </r>
    <r>
      <rPr>
        <sz val="9"/>
        <color rgb="FF1E7A1E"/>
        <rFont val="Microsoft YaHei"/>
        <family val="0"/>
        <charset val="1"/>
      </rPr>
      <t xml:space="preserve">.</t>
    </r>
  </si>
  <si>
    <r>
      <rPr>
        <sz val="9"/>
        <color rgb="FF7F7F7F"/>
        <rFont val="Arial Unicode MS"/>
        <family val="2"/>
      </rPr>
      <t xml:space="preserve">免责声明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本模型仅为研究学习用途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所有预测基于公开信息与主观假设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不构成任何投资建议或证券买卖要约。历史数据虽经核对来源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仍可能存在口径差异或错误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预测存在重大不确定性。使用者应自行判断并承担风险。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</si>
  <si>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Summary </t>
    </r>
    <r>
      <rPr>
        <b val="true"/>
        <sz val="13"/>
        <color rgb="FFFFFFFF"/>
        <rFont val="Arial Unicode MS"/>
        <family val="2"/>
      </rPr>
      <t xml:space="preserve">估值结论汇总 </t>
    </r>
    <r>
      <rPr>
        <b val="true"/>
        <sz val="13"/>
        <color rgb="FFFFFFFF"/>
        <rFont val="Microsoft YaHei"/>
        <family val="0"/>
        <charset val="1"/>
      </rPr>
      <t xml:space="preserve">(Football Field)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</si>
  <si>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牛均为同一简化情景引擎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完整主模型单列桥接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自动外推不纳入经验证包络</t>
    </r>
  </si>
  <si>
    <t xml:space="preserve">估值方法</t>
  </si>
  <si>
    <t xml:space="preserve">口径</t>
  </si>
  <si>
    <r>
      <rPr>
        <b val="true"/>
        <sz val="10"/>
        <color rgb="FF000000"/>
        <rFont val="Arial Unicode MS"/>
        <family val="2"/>
      </rPr>
      <t xml:space="preserve">低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</si>
  <si>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高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</si>
  <si>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</si>
  <si>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</si>
  <si>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t xml:space="preserve">备注</t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</si>
  <si>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完整主模型 — 当前开关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</si>
  <si>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</t>
    </r>
  </si>
  <si>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FCFF+Gordon</t>
    </r>
    <r>
      <rPr>
        <sz val="9"/>
        <color rgb="FF7F7F7F"/>
        <rFont val="Arial Unicode MS"/>
        <family val="2"/>
      </rPr>
      <t xml:space="preserve">终值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与简化基准的桥接见</t>
    </r>
    <r>
      <rPr>
        <sz val="9"/>
        <color rgb="FF7F7F7F"/>
        <rFont val="Microsoft YaHei"/>
        <family val="0"/>
        <charset val="1"/>
      </rPr>
      <t xml:space="preserve">Scenarios/Checks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</si>
  <si>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熊市</t>
    </r>
  </si>
  <si>
    <t xml:space="preserve">同引擎简化法</t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</si>
  <si>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</si>
  <si>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基准</t>
    </r>
  </si>
  <si>
    <r>
      <rPr>
        <sz val="9"/>
        <color rgb="FF7F7F7F"/>
        <rFont val="Arial Unicode MS"/>
        <family val="2"/>
      </rPr>
      <t xml:space="preserve">与熊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牛完全相同的简化收入、净利率、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及折现引擎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</si>
  <si>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</si>
  <si>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</si>
  <si>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0"/>
        <color rgb="FF000000"/>
        <rFont val="Arial Unicode MS"/>
        <family val="2"/>
      </rPr>
      <t xml:space="preserve">相对估值 — 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</si>
  <si>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PE 30x ~ </t>
    </r>
    <r>
      <rPr>
        <sz val="9"/>
        <color rgb="FF7F7F7F"/>
        <rFont val="Arial Unicode MS"/>
        <family val="2"/>
      </rPr>
      <t xml:space="preserve">可比中位</t>
    </r>
  </si>
  <si>
    <r>
      <rPr>
        <sz val="9"/>
        <color rgb="FF7F7F7F"/>
        <rFont val="Arial Unicode MS"/>
        <family val="2"/>
      </rPr>
      <t xml:space="preserve">模型基准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带</t>
    </r>
  </si>
  <si>
    <r>
      <rPr>
        <b val="true"/>
        <sz val="10"/>
        <color rgb="FF000000"/>
        <rFont val="Arial Unicode MS"/>
        <family val="2"/>
      </rPr>
      <t xml:space="preserve">相对估值 — 一致预期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</si>
  <si>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57.4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已验证来源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纳入包络</t>
    </r>
  </si>
  <si>
    <r>
      <rPr>
        <b val="true"/>
        <sz val="10"/>
        <color rgb="FF000000"/>
        <rFont val="Microsoft YaHei"/>
        <family val="0"/>
        <charset val="1"/>
      </rPr>
      <t xml:space="preserve">FCFE</t>
    </r>
    <r>
      <rPr>
        <b val="true"/>
        <sz val="10"/>
        <color rgb="FF000000"/>
        <rFont val="Arial Unicode MS"/>
        <family val="2"/>
      </rPr>
      <t xml:space="preserve">股权现金流 — 基准</t>
    </r>
  </si>
  <si>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股权口径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</si>
  <si>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FCFE=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差异≥</t>
    </r>
    <r>
      <rPr>
        <sz val="9"/>
        <color rgb="FF7F7F7F"/>
        <rFont val="Microsoft YaHei"/>
        <family val="0"/>
        <charset val="1"/>
      </rPr>
      <t xml:space="preserve">30%</t>
    </r>
    <r>
      <rPr>
        <sz val="9"/>
        <color rgb="FF7F7F7F"/>
        <rFont val="Arial Unicode MS"/>
        <family val="2"/>
      </rPr>
      <t xml:space="preserve">触发下方控制警报</t>
    </r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</si>
  <si>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(2026-08-17)</t>
    </r>
  </si>
  <si>
    <r>
      <rPr>
        <b val="true"/>
        <sz val="10"/>
        <color rgb="FF000000"/>
        <rFont val="Arial Unicode MS"/>
        <family val="2"/>
      </rPr>
      <t xml:space="preserve">综合参考区间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经验证方法包络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</si>
  <si>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仅纳入完整主模型、同引擎情景、模型相对估值、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及已验证外部一致预期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自动外推排除</t>
    </r>
  </si>
  <si>
    <r>
      <rPr>
        <b val="true"/>
        <sz val="10"/>
        <color rgb="FF1F3864"/>
        <rFont val="Arial Unicode MS"/>
        <family val="2"/>
      </rPr>
      <t xml:space="preserve">区间可视化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每个▮≈</t>
    </r>
    <r>
      <rPr>
        <b val="true"/>
        <sz val="10"/>
        <color rgb="FF1F3864"/>
        <rFont val="Microsoft YaHei"/>
        <family val="0"/>
        <charset val="1"/>
      </rPr>
      <t xml:space="preserve">10</t>
    </r>
    <r>
      <rPr>
        <b val="true"/>
        <sz val="10"/>
        <color rgb="FF1F3864"/>
        <rFont val="Arial Unicode MS"/>
        <family val="2"/>
      </rPr>
      <t xml:space="preserve">元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起点</t>
    </r>
    <r>
      <rPr>
        <b val="true"/>
        <sz val="10"/>
        <color rgb="FF1F3864"/>
        <rFont val="Microsoft YaHei"/>
        <family val="0"/>
        <charset val="1"/>
      </rPr>
      <t xml:space="preserve">=</t>
    </r>
    <r>
      <rPr>
        <b val="true"/>
        <sz val="10"/>
        <color rgb="FF1F3864"/>
        <rFont val="Arial Unicode MS"/>
        <family val="2"/>
      </rPr>
      <t xml:space="preserve">区间低值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</si>
  <si>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方法</t>
  </si>
  <si>
    <r>
      <rPr>
        <b val="true"/>
        <sz val="10"/>
        <color rgb="FF000000"/>
        <rFont val="Arial Unicode MS"/>
        <family val="2"/>
      </rPr>
      <t xml:space="preserve">区间条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低→高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括号为现价相对位置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</si>
  <si>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完整主模型 — 当前开关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</si>
  <si>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熊市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</si>
  <si>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基准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</si>
  <si>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</si>
  <si>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相对估值 — 模型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</si>
  <si>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相对估值 — 一致预期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</si>
  <si>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股权现金流 — 基准</t>
    </r>
  </si>
  <si>
    <t xml:space="preserve">关键假设提示</t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</si>
  <si>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采用值与可比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联动</t>
    </r>
    <r>
      <rPr>
        <sz val="9"/>
        <color rgb="FF7F7F7F"/>
        <rFont val="Microsoft YaHei"/>
        <family val="0"/>
        <charset val="1"/>
      </rPr>
      <t xml:space="preserve">(Assumptions</t>
    </r>
    <r>
      <rPr>
        <sz val="9"/>
        <color rgb="FF7F7F7F"/>
        <rFont val="Arial Unicode MS"/>
        <family val="2"/>
      </rPr>
      <t xml:space="preserve">第十节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三情景主模型切换见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校验状态见</t>
    </r>
    <r>
      <rPr>
        <sz val="9"/>
        <color rgb="FF7F7F7F"/>
        <rFont val="Microsoft YaHei"/>
        <family val="0"/>
        <charset val="1"/>
      </rPr>
      <t xml:space="preserve">Checks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</si>
  <si>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000000"/>
        <rFont val="Microsoft YaHei"/>
        <family val="0"/>
        <charset val="1"/>
      </rPr>
      <t xml:space="preserve">FCFE/FCFF</t>
    </r>
    <r>
      <rPr>
        <b val="true"/>
        <sz val="10"/>
        <color rgb="FF000000"/>
        <rFont val="Arial Unicode MS"/>
        <family val="2"/>
      </rPr>
      <t xml:space="preserve">差异控制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阈值</t>
    </r>
    <r>
      <rPr>
        <b val="true"/>
        <sz val="10"/>
        <color rgb="FF000000"/>
        <rFont val="Microsoft YaHei"/>
        <family val="0"/>
        <charset val="1"/>
      </rPr>
      <t xml:space="preserve">30%)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</si>
  <si>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同引擎基准桥接控制</t>
    </r>
  </si>
  <si>
    <r>
      <rPr>
        <b val="true"/>
        <sz val="13"/>
        <color rgb="FFFFFFFF"/>
        <rFont val="Arial Unicode MS"/>
        <family val="2"/>
      </rPr>
      <t xml:space="preserve">沪电股份</t>
    </r>
    <r>
      <rPr>
        <b val="true"/>
        <sz val="13"/>
        <color rgb="FFFFFFFF"/>
        <rFont val="Microsoft YaHei"/>
        <family val="0"/>
        <charset val="1"/>
      </rPr>
      <t xml:space="preserve">(002463.SZ) — Assumptions </t>
    </r>
    <r>
      <rPr>
        <b val="true"/>
        <sz val="13"/>
        <color rgb="FFFFFFFF"/>
        <rFont val="Arial Unicode MS"/>
        <family val="2"/>
      </rPr>
      <t xml:space="preserve">驱动总表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</si>
  <si>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除标注外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蓝色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输入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绿色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外部数据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黑色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公式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数据日期</t>
    </r>
    <r>
      <rPr>
        <sz val="9"/>
        <color rgb="FF7F7F7F"/>
        <rFont val="Microsoft YaHei"/>
        <family val="0"/>
        <charset val="1"/>
      </rPr>
      <t xml:space="preserve">: 2026-08-17</t>
    </r>
  </si>
  <si>
    <t xml:space="preserve">一、全局与市场数据</t>
  </si>
  <si>
    <r>
      <rPr>
        <sz val="10"/>
        <color rgb="FF000000"/>
        <rFont val="Arial Unicode MS"/>
        <family val="2"/>
      </rPr>
      <t xml:space="preserve">情景开关 </t>
    </r>
    <r>
      <rPr>
        <sz val="10"/>
        <color rgb="FF000000"/>
        <rFont val="Microsoft YaHei"/>
        <family val="0"/>
        <charset val="1"/>
      </rPr>
      <t xml:space="preserve">(1=</t>
    </r>
    <r>
      <rPr>
        <sz val="10"/>
        <color rgb="FF000000"/>
        <rFont val="Arial Unicode MS"/>
        <family val="2"/>
      </rPr>
      <t xml:space="preserve">熊</t>
    </r>
    <r>
      <rPr>
        <sz val="10"/>
        <color rgb="FF000000"/>
        <rFont val="Microsoft YaHei"/>
        <family val="0"/>
        <charset val="1"/>
      </rPr>
      <t xml:space="preserve">/2=</t>
    </r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/3=</t>
    </r>
    <r>
      <rPr>
        <sz val="10"/>
        <color rgb="FF000000"/>
        <rFont val="Arial Unicode MS"/>
        <family val="2"/>
      </rPr>
      <t xml:space="preserve">牛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</si>
  <si>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-</t>
  </si>
  <si>
    <r>
      <rPr>
        <sz val="9"/>
        <color rgb="FF7F7F7F"/>
        <rFont val="Arial Unicode MS"/>
        <family val="2"/>
      </rPr>
      <t xml:space="preserve">三情景总开关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驱动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分部增速与毛利率、进而贯穿</t>
    </r>
    <r>
      <rPr>
        <sz val="9"/>
        <color rgb="FF7F7F7F"/>
        <rFont val="Microsoft YaHei"/>
        <family val="0"/>
        <charset val="1"/>
      </rPr>
      <t xml:space="preserve">IS/BS/CF/DCF; </t>
    </r>
    <r>
      <rPr>
        <sz val="9"/>
        <color rgb="FF7F7F7F"/>
        <rFont val="Arial Unicode MS"/>
        <family val="2"/>
      </rPr>
      <t xml:space="preserve">默认</t>
    </r>
    <r>
      <rPr>
        <sz val="9"/>
        <color rgb="FF7F7F7F"/>
        <rFont val="Microsoft YaHei"/>
        <family val="0"/>
        <charset val="1"/>
      </rPr>
      <t xml:space="preserve">2=</t>
    </r>
    <r>
      <rPr>
        <sz val="9"/>
        <color rgb="FF7F7F7F"/>
        <rFont val="Arial Unicode MS"/>
        <family val="2"/>
      </rPr>
      <t xml:space="preserve">基准</t>
    </r>
  </si>
  <si>
    <r>
      <rPr>
        <sz val="10"/>
        <color rgb="FF000000"/>
        <rFont val="Arial Unicode MS"/>
        <family val="2"/>
      </rPr>
      <t xml:space="preserve">估值基准日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行情数据日期</t>
    </r>
  </si>
  <si>
    <t xml:space="preserve">2026-08-17</t>
  </si>
  <si>
    <r>
      <rPr>
        <sz val="9"/>
        <color rgb="FF7F7F7F"/>
        <rFont val="Arial Unicode MS"/>
        <family val="2"/>
      </rPr>
      <t xml:space="preserve">现价与可比公司市值均为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DCF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</si>
  <si>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现价</t>
  </si>
  <si>
    <r>
      <rPr>
        <sz val="10"/>
        <color rgb="FF7F7F7F"/>
        <rFont val="Arial Unicode MS"/>
        <family val="2"/>
      </rPr>
      <t xml:space="preserve">元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股</t>
    </r>
  </si>
  <si>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(qt.gtimg.cn)</t>
    </r>
  </si>
  <si>
    <t xml:space="preserve">总股本</t>
  </si>
  <si>
    <t xml:space="preserve">百万股</t>
  </si>
  <si>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2377.2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 </t>
    </r>
    <r>
      <rPr>
        <sz val="9"/>
        <color rgb="FF7F7F7F"/>
        <rFont val="Microsoft YaHei"/>
        <family val="0"/>
        <charset val="1"/>
      </rPr>
      <t xml:space="preserve">2026-08-17)</t>
    </r>
  </si>
  <si>
    <t xml:space="preserve">总市值</t>
  </si>
  <si>
    <t xml:space="preserve">百万</t>
  </si>
  <si>
    <r>
      <rPr>
        <sz val="9"/>
        <color rgb="FF7F7F7F"/>
        <rFont val="Arial Unicode MS"/>
        <family val="2"/>
      </rPr>
      <t xml:space="preserve">＝现价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2377</t>
    </r>
    <r>
      <rPr>
        <sz val="9"/>
        <color rgb="FF7F7F7F"/>
        <rFont val="Arial Unicode MS"/>
        <family val="2"/>
      </rPr>
      <t xml:space="preserve">亿元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与行情软件一致</t>
    </r>
  </si>
  <si>
    <r>
      <rPr>
        <b val="true"/>
        <sz val="10"/>
        <color rgb="FF1F3864"/>
        <rFont val="Arial Unicode MS"/>
        <family val="2"/>
      </rPr>
      <t xml:space="preserve">二、市场一致预期与最新财报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衍生数据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绿色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</si>
  <si>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营收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</si>
  <si>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聚源一致预期</t>
    </r>
    <r>
      <rPr>
        <sz val="9"/>
        <color rgb="FF7F7F7F"/>
        <rFont val="Microsoft YaHei"/>
        <family val="0"/>
        <charset val="1"/>
      </rPr>
      <t xml:space="preserve">(2026-08-16): 263.8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(+39.3%)/384.1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(+45.6%)/544.1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</si>
  <si>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归母净利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</si>
  <si>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</t>
    </r>
    <r>
      <rPr>
        <sz val="9"/>
        <color rgb="FF7F7F7F"/>
        <rFont val="Microsoft YaHei"/>
        <family val="0"/>
        <charset val="1"/>
      </rPr>
      <t xml:space="preserve">(2026-08-16): 57.4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(+50.2%)/88.3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(+53.9%)/131.0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</si>
  <si>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</si>
  <si>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</si>
  <si>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</si>
  <si>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</si>
  <si>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实际营收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</si>
  <si>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62.14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(+53.9%)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</si>
  <si>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实际归母净利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</si>
  <si>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12.42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(+62.9%)</t>
    </r>
  </si>
  <si>
    <r>
      <rPr>
        <b val="true"/>
        <sz val="10"/>
        <color rgb="FF1F3864"/>
        <rFont val="Arial Unicode MS"/>
        <family val="2"/>
      </rPr>
      <t xml:space="preserve">三、分部收入驱动 — 量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价增速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, 2026E-2030E)</t>
    </r>
  </si>
  <si>
    <t xml:space="preserve">年份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</si>
  <si>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</si>
  <si>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</si>
  <si>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</si>
  <si>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</si>
  <si>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</si>
  <si>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r>
      <rPr>
        <b val="true"/>
        <sz val="10"/>
        <color rgb="FF000000"/>
        <rFont val="Arial Unicode MS"/>
        <family val="2"/>
      </rPr>
      <t xml:space="preserve">假设依据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</si>
  <si>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Microsoft YaHei"/>
        <family val="0"/>
        <charset val="1"/>
      </rPr>
      <t xml:space="preserve">PCB </t>
    </r>
    <r>
      <rPr>
        <sz val="10"/>
        <color rgb="FF000000"/>
        <rFont val="Arial Unicode MS"/>
        <family val="2"/>
      </rPr>
      <t xml:space="preserve">收入增速</t>
    </r>
  </si>
  <si>
    <t xml:space="preserve">%</t>
  </si>
  <si>
    <r>
      <rPr>
        <sz val="9"/>
        <color rgb="FF7F7F7F"/>
        <rFont val="Arial Unicode MS"/>
        <family val="2"/>
      </rPr>
      <t xml:space="preserve">锚定</t>
    </r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聚源一致预期</t>
    </r>
    <r>
      <rPr>
        <sz val="9"/>
        <color rgb="FF7F7F7F"/>
        <rFont val="Microsoft YaHei"/>
        <family val="0"/>
        <charset val="1"/>
      </rPr>
      <t xml:space="preserve">(2026-08-16)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: 2026E+39.3%/2027E+45.6%/2028E+41.7%; AI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交换机</t>
    </r>
    <r>
      <rPr>
        <sz val="9"/>
        <color rgb="FF7F7F7F"/>
        <rFont val="Microsoft YaHei"/>
        <family val="0"/>
        <charset val="1"/>
      </rPr>
      <t xml:space="preserve">PCB</t>
    </r>
    <r>
      <rPr>
        <sz val="9"/>
        <color rgb="FF7F7F7F"/>
        <rFont val="Arial Unicode MS"/>
        <family val="2"/>
      </rPr>
      <t xml:space="preserve">高景气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黄石扩产</t>
    </r>
    <r>
      <rPr>
        <sz val="9"/>
        <color rgb="FF7F7F7F"/>
        <rFont val="Microsoft YaHei"/>
        <family val="0"/>
        <charset val="1"/>
      </rPr>
      <t xml:space="preserve">, 2029-30E</t>
    </r>
    <r>
      <rPr>
        <sz val="9"/>
        <color rgb="FF7F7F7F"/>
        <rFont val="Arial Unicode MS"/>
        <family val="2"/>
      </rPr>
      <t xml:space="preserve">退坡</t>
    </r>
    <r>
      <rPr>
        <sz val="9"/>
        <color rgb="FF7F7F7F"/>
        <rFont val="Microsoft YaHei"/>
        <family val="0"/>
        <charset val="1"/>
      </rPr>
      <t xml:space="preserve">; 2026Q1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+53.9%</t>
    </r>
    <r>
      <rPr>
        <sz val="9"/>
        <color rgb="FF7F7F7F"/>
        <rFont val="Arial Unicode MS"/>
        <family val="2"/>
      </rPr>
      <t xml:space="preserve">验证</t>
    </r>
  </si>
  <si>
    <t xml:space="preserve">其他 收入增速</t>
  </si>
  <si>
    <r>
      <rPr>
        <sz val="9"/>
        <color rgb="FF7F7F7F"/>
        <rFont val="Arial Unicode MS"/>
        <family val="2"/>
      </rPr>
      <t xml:space="preserve">销售材料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租金等补充业务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低增长假设</t>
    </r>
  </si>
  <si>
    <r>
      <rPr>
        <b val="true"/>
        <sz val="10"/>
        <color rgb="FF1F3864"/>
        <rFont val="Arial Unicode MS"/>
        <family val="2"/>
      </rPr>
      <t xml:space="preserve">四、分部毛利率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</si>
  <si>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PCB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</si>
  <si>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Arial Unicode MS"/>
        <family val="2"/>
      </rPr>
      <t xml:space="preserve">一致预期综合毛利率</t>
    </r>
    <r>
      <rPr>
        <sz val="9"/>
        <color rgb="FF7F7F7F"/>
        <rFont val="Microsoft YaHei"/>
        <family val="0"/>
        <charset val="1"/>
      </rPr>
      <t xml:space="preserve">2026E 36.9%/2027E 37.9%/2028E 38.8%; </t>
    </r>
    <r>
      <rPr>
        <sz val="9"/>
        <color rgb="FF7F7F7F"/>
        <rFont val="Arial Unicode MS"/>
        <family val="2"/>
      </rPr>
      <t xml:space="preserve">高多层</t>
    </r>
    <r>
      <rPr>
        <sz val="9"/>
        <color rgb="FF7F7F7F"/>
        <rFont val="Microsoft YaHei"/>
        <family val="0"/>
        <charset val="1"/>
      </rPr>
      <t xml:space="preserve">/HDI</t>
    </r>
    <r>
      <rPr>
        <sz val="9"/>
        <color rgb="FF7F7F7F"/>
        <rFont val="Arial Unicode MS"/>
        <family val="2"/>
      </rPr>
      <t xml:space="preserve">结构升级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涨价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后两年竞争加剧缓降</t>
    </r>
  </si>
  <si>
    <t xml:space="preserve">其他 毛利率</t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</si>
  <si>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年报其他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补充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2.9%</t>
    </r>
    <r>
      <rPr>
        <sz val="9"/>
        <color rgb="FF7F7F7F"/>
        <rFont val="Arial Unicode MS"/>
        <family val="2"/>
      </rPr>
      <t xml:space="preserve">持平</t>
    </r>
  </si>
  <si>
    <r>
      <rPr>
        <b val="true"/>
        <sz val="10"/>
        <color rgb="FF1F3864"/>
        <rFont val="Arial Unicode MS"/>
        <family val="2"/>
      </rPr>
      <t xml:space="preserve">五、费用率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其他损益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税率</t>
    </r>
  </si>
  <si>
    <t xml:space="preserve">税金及附加率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</si>
  <si>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最近年报税金及附加率</t>
    </r>
    <r>
      <rPr>
        <sz val="9"/>
        <color rgb="FF7F7F7F"/>
        <rFont val="Microsoft YaHei"/>
        <family val="0"/>
        <charset val="1"/>
      </rPr>
      <t xml:space="preserve">0.59%</t>
    </r>
    <r>
      <rPr>
        <sz val="9"/>
        <color rgb="FF7F7F7F"/>
        <rFont val="Arial Unicode MS"/>
        <family val="2"/>
      </rPr>
      <t xml:space="preserve">持平</t>
    </r>
  </si>
  <si>
    <t xml:space="preserve">销售费用率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</si>
  <si>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最近年报销售费用率持平</t>
    </r>
  </si>
  <si>
    <t xml:space="preserve">管理费用率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</si>
  <si>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最近年报管理费用率持平</t>
    </r>
  </si>
  <si>
    <t xml:space="preserve">研发费用率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</si>
  <si>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最近年报研发费用率持平</t>
    </r>
  </si>
  <si>
    <t xml:space="preserve">其他经营损益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</si>
  <si>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最近年报其他经营损益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轧差项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持平</t>
    </r>
  </si>
  <si>
    <t xml:space="preserve">营业外收支净额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</si>
  <si>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最近年报营业外收支净额持平</t>
    </r>
  </si>
  <si>
    <t xml:space="preserve">有效税率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</si>
  <si>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最近年报有效税率</t>
    </r>
    <r>
      <rPr>
        <sz val="9"/>
        <color rgb="FF7F7F7F"/>
        <rFont val="Microsoft YaHei"/>
        <family val="0"/>
        <charset val="1"/>
      </rPr>
      <t xml:space="preserve">13.2%(</t>
    </r>
    <r>
      <rPr>
        <sz val="9"/>
        <color rgb="FF7F7F7F"/>
        <rFont val="Arial Unicode MS"/>
        <family val="2"/>
      </rPr>
      <t xml:space="preserve">截断</t>
    </r>
    <r>
      <rPr>
        <sz val="9"/>
        <color rgb="FF7F7F7F"/>
        <rFont val="Microsoft YaHei"/>
        <family val="0"/>
        <charset val="1"/>
      </rPr>
      <t xml:space="preserve">[5%,25%])</t>
    </r>
    <r>
      <rPr>
        <sz val="9"/>
        <color rgb="FF7F7F7F"/>
        <rFont val="Arial Unicode MS"/>
        <family val="2"/>
      </rPr>
      <t xml:space="preserve">持平</t>
    </r>
  </si>
  <si>
    <t xml:space="preserve">少数股东损益占净利润比</t>
  </si>
  <si>
    <r>
      <rPr>
        <sz val="9"/>
        <color rgb="FF7F7F7F"/>
        <rFont val="Arial Unicode MS"/>
        <family val="2"/>
      </rPr>
      <t xml:space="preserve">按历史均值自动推导</t>
    </r>
    <r>
      <rPr>
        <sz val="9"/>
        <color rgb="FF7F7F7F"/>
        <rFont val="Microsoft YaHei"/>
        <family val="0"/>
        <charset val="1"/>
      </rPr>
      <t xml:space="preserve">: (</t>
    </r>
    <r>
      <rPr>
        <sz val="9"/>
        <color rgb="FF7F7F7F"/>
        <rFont val="Arial Unicode MS"/>
        <family val="2"/>
      </rPr>
      <t xml:space="preserve">合并净利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)/</t>
    </r>
    <r>
      <rPr>
        <sz val="9"/>
        <color rgb="FF7F7F7F"/>
        <rFont val="Arial Unicode MS"/>
        <family val="2"/>
      </rPr>
      <t xml:space="preserve">合并净利 </t>
    </r>
    <r>
      <rPr>
        <sz val="9"/>
        <color rgb="FF7F7F7F"/>
        <rFont val="Microsoft YaHei"/>
        <family val="0"/>
        <charset val="1"/>
      </rPr>
      <t xml:space="preserve">3</t>
    </r>
    <r>
      <rPr>
        <sz val="9"/>
        <color rgb="FF7F7F7F"/>
        <rFont val="Arial Unicode MS"/>
        <family val="2"/>
      </rPr>
      <t xml:space="preserve">年均值</t>
    </r>
    <r>
      <rPr>
        <sz val="9"/>
        <color rgb="FF7F7F7F"/>
        <rFont val="Microsoft YaHei"/>
        <family val="0"/>
        <charset val="1"/>
      </rPr>
      <t xml:space="preserve">-0.82%, clamp[0,50%]→</t>
    </r>
    <r>
      <rPr>
        <sz val="9"/>
        <color rgb="FF7F7F7F"/>
        <rFont val="Arial Unicode MS"/>
        <family val="2"/>
      </rPr>
      <t xml:space="preserve">采用</t>
    </r>
    <r>
      <rPr>
        <sz val="9"/>
        <color rgb="FF7F7F7F"/>
        <rFont val="Microsoft YaHei"/>
        <family val="0"/>
        <charset val="1"/>
      </rPr>
      <t xml:space="preserve">0.00%; config</t>
    </r>
    <r>
      <rPr>
        <sz val="9"/>
        <color rgb="FF7F7F7F"/>
        <rFont val="Arial Unicode MS"/>
        <family val="2"/>
      </rPr>
      <t xml:space="preserve">可经</t>
    </r>
    <r>
      <rPr>
        <sz val="9"/>
        <color rgb="FF7F7F7F"/>
        <rFont val="Microsoft YaHei"/>
        <family val="0"/>
        <charset val="1"/>
      </rPr>
      <t xml:space="preserve">model.mi_share</t>
    </r>
    <r>
      <rPr>
        <sz val="9"/>
        <color rgb="FF7F7F7F"/>
        <rFont val="Arial Unicode MS"/>
        <family val="2"/>
      </rPr>
      <t xml:space="preserve">覆盖</t>
    </r>
  </si>
  <si>
    <r>
      <rPr>
        <sz val="10"/>
        <color rgb="FF000000"/>
        <rFont val="Arial Unicode MS"/>
        <family val="2"/>
      </rPr>
      <t xml:space="preserve">其他及财务费用率合计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情景页用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</si>
  <si>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最近年报财务费用率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页简化净利率计算</t>
    </r>
  </si>
  <si>
    <t xml:space="preserve">六、营运资本天数</t>
  </si>
  <si>
    <r>
      <rPr>
        <sz val="10"/>
        <color rgb="FF000000"/>
        <rFont val="Microsoft YaHei"/>
        <family val="0"/>
        <charset val="1"/>
      </rPr>
      <t xml:space="preserve">DSO </t>
    </r>
    <r>
      <rPr>
        <sz val="10"/>
        <color rgb="FF000000"/>
        <rFont val="Arial Unicode MS"/>
        <family val="2"/>
      </rPr>
      <t xml:space="preserve">应收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</si>
  <si>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t xml:space="preserve">天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</si>
  <si>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DSO 106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</si>
  <si>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DIO </t>
    </r>
    <r>
      <rPr>
        <sz val="10"/>
        <color rgb="FF000000"/>
        <rFont val="Arial Unicode MS"/>
        <family val="2"/>
      </rPr>
      <t xml:space="preserve">存货天数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</si>
  <si>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DIO 127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</si>
  <si>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DPO </t>
    </r>
    <r>
      <rPr>
        <sz val="10"/>
        <color rgb="FF000000"/>
        <rFont val="Arial Unicode MS"/>
        <family val="2"/>
      </rPr>
      <t xml:space="preserve">应付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</si>
  <si>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DPO 198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</si>
  <si>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Arial Unicode MS"/>
        <family val="2"/>
      </rPr>
      <t xml:space="preserve">预付款项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</si>
  <si>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最近年报预付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</si>
  <si>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应付职工薪酬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</si>
  <si>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最近年报应付职工薪酬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</si>
  <si>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应交税费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</si>
  <si>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最近年报应交税费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</si>
  <si>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b val="true"/>
        <sz val="10"/>
        <color rgb="FF1F3864"/>
        <rFont val="Arial Unicode MS"/>
        <family val="2"/>
      </rPr>
      <t xml:space="preserve">七、资本开支与折旧摊销 </t>
    </r>
    <r>
      <rPr>
        <b val="true"/>
        <sz val="10"/>
        <color rgb="FF1F3864"/>
        <rFont val="Microsoft YaHei"/>
        <family val="0"/>
        <charset val="1"/>
      </rPr>
      <t xml:space="preserve">(PP&amp;E</t>
    </r>
    <r>
      <rPr>
        <b val="true"/>
        <sz val="10"/>
        <color rgb="FF1F3864"/>
        <rFont val="Arial Unicode MS"/>
        <family val="2"/>
      </rPr>
      <t xml:space="preserve">页驱动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</si>
  <si>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Capex</t>
    </r>
    <r>
      <rPr>
        <sz val="10"/>
        <color rgb="FF000000"/>
        <rFont val="Arial Unicode MS"/>
        <family val="2"/>
      </rPr>
      <t xml:space="preserve">占收入比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</si>
  <si>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Capex/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16.9%(</t>
    </r>
    <r>
      <rPr>
        <sz val="9"/>
        <color rgb="FF7F7F7F"/>
        <rFont val="Arial Unicode MS"/>
        <family val="2"/>
      </rPr>
      <t xml:space="preserve">上限</t>
    </r>
    <r>
      <rPr>
        <sz val="9"/>
        <color rgb="FF7F7F7F"/>
        <rFont val="Microsoft YaHei"/>
        <family val="0"/>
        <charset val="1"/>
      </rPr>
      <t xml:space="preserve">35%)</t>
    </r>
    <r>
      <rPr>
        <sz val="9"/>
        <color rgb="FF7F7F7F"/>
        <rFont val="Arial Unicode MS"/>
        <family val="2"/>
      </rPr>
      <t xml:space="preserve">逐年退坡</t>
    </r>
    <r>
      <rPr>
        <sz val="9"/>
        <color rgb="FF7F7F7F"/>
        <rFont val="Microsoft YaHei"/>
        <family val="0"/>
        <charset val="1"/>
      </rPr>
      <t xml:space="preserve">×1/.85/.70/.60/.50</t>
    </r>
  </si>
  <si>
    <t xml:space="preserve">在建工程转固率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</si>
  <si>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Capex)×75%</t>
    </r>
  </si>
  <si>
    <r>
      <rPr>
        <sz val="10"/>
        <color rgb="FF000000"/>
        <rFont val="Arial Unicode MS"/>
        <family val="2"/>
      </rPr>
      <t xml:space="preserve">固定资产折旧率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</si>
  <si>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固定资产净值口径</t>
    </r>
    <r>
      <rPr>
        <sz val="9"/>
        <color rgb="FF7F7F7F"/>
        <rFont val="Microsoft YaHei"/>
        <family val="0"/>
        <charset val="1"/>
      </rPr>
      <t xml:space="preserve">12%</t>
    </r>
  </si>
  <si>
    <t xml:space="preserve">当年转固部分折旧率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</si>
  <si>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转固按约半年投产计提</t>
    </r>
  </si>
  <si>
    <r>
      <rPr>
        <sz val="10"/>
        <color rgb="FF000000"/>
        <rFont val="Arial Unicode MS"/>
        <family val="2"/>
      </rPr>
      <t xml:space="preserve">固定资产处置率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</si>
  <si>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处置率</t>
    </r>
    <r>
      <rPr>
        <sz val="9"/>
        <color rgb="FF7F7F7F"/>
        <rFont val="Microsoft YaHei"/>
        <family val="0"/>
        <charset val="1"/>
      </rPr>
      <t xml:space="preserve">1%</t>
    </r>
  </si>
  <si>
    <r>
      <rPr>
        <sz val="10"/>
        <color rgb="FF000000"/>
        <rFont val="Arial Unicode MS"/>
        <family val="2"/>
      </rPr>
      <t xml:space="preserve">无形资产摊销率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</si>
  <si>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无形资产摊销率</t>
    </r>
    <r>
      <rPr>
        <sz val="9"/>
        <color rgb="FF7F7F7F"/>
        <rFont val="Microsoft YaHei"/>
        <family val="0"/>
        <charset val="1"/>
      </rPr>
      <t xml:space="preserve">8%</t>
    </r>
  </si>
  <si>
    <t xml:space="preserve">八、股利与盈余公积</t>
  </si>
  <si>
    <r>
      <rPr>
        <sz val="10"/>
        <color rgb="FF000000"/>
        <rFont val="Arial Unicode MS"/>
        <family val="2"/>
      </rPr>
      <t xml:space="preserve">股利支付率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按上年归母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</si>
  <si>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股利支付率</t>
    </r>
    <r>
      <rPr>
        <sz val="9"/>
        <color rgb="FF7F7F7F"/>
        <rFont val="Microsoft YaHei"/>
        <family val="0"/>
        <charset val="1"/>
      </rPr>
      <t xml:space="preserve">30%(</t>
    </r>
    <r>
      <rPr>
        <sz val="9"/>
        <color rgb="FF7F7F7F"/>
        <rFont val="Arial Unicode MS"/>
        <family val="2"/>
      </rPr>
      <t xml:space="preserve">按上年归母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</si>
  <si>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法定盈余公积计提率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按当年归母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</si>
  <si>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法定盈余公积按归母</t>
    </r>
    <r>
      <rPr>
        <sz val="9"/>
        <color rgb="FF7F7F7F"/>
        <rFont val="Microsoft YaHei"/>
        <family val="0"/>
        <charset val="1"/>
      </rPr>
      <t xml:space="preserve">10%</t>
    </r>
    <r>
      <rPr>
        <sz val="9"/>
        <color rgb="FF7F7F7F"/>
        <rFont val="Arial Unicode MS"/>
        <family val="2"/>
      </rPr>
      <t xml:space="preserve">计提</t>
    </r>
  </si>
  <si>
    <r>
      <rPr>
        <b val="true"/>
        <sz val="10"/>
        <color rgb="FF1F3864"/>
        <rFont val="Arial Unicode MS"/>
        <family val="2"/>
      </rPr>
      <t xml:space="preserve">九、债务与融资 </t>
    </r>
    <r>
      <rPr>
        <b val="true"/>
        <sz val="10"/>
        <color rgb="FF1F3864"/>
        <rFont val="Microsoft YaHei"/>
        <family val="0"/>
        <charset val="1"/>
      </rPr>
      <t xml:space="preserve">(FIN</t>
    </r>
    <r>
      <rPr>
        <b val="true"/>
        <sz val="10"/>
        <color rgb="FF1F3864"/>
        <rFont val="Arial Unicode MS"/>
        <family val="2"/>
      </rPr>
      <t xml:space="preserve">页调度输入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</si>
  <si>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最低现金占收入比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</si>
  <si>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×2%</t>
    </r>
  </si>
  <si>
    <r>
      <rPr>
        <sz val="10"/>
        <color rgb="FF000000"/>
        <rFont val="Arial Unicode MS"/>
        <family val="2"/>
      </rPr>
      <t xml:space="preserve">短期借款</t>
    </r>
    <r>
      <rPr>
        <sz val="10"/>
        <color rgb="FF000000"/>
        <rFont val="Microsoft YaHei"/>
        <family val="0"/>
        <charset val="1"/>
      </rPr>
      <t xml:space="preserve">(revolver)</t>
    </r>
    <r>
      <rPr>
        <sz val="10"/>
        <color rgb="FF000000"/>
        <rFont val="Arial Unicode MS"/>
        <family val="2"/>
      </rPr>
      <t xml:space="preserve">计划还款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</si>
  <si>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短借为</t>
    </r>
    <r>
      <rPr>
        <sz val="9"/>
        <color rgb="FF7F7F7F"/>
        <rFont val="Microsoft YaHei"/>
        <family val="0"/>
        <charset val="1"/>
      </rPr>
      <t xml:space="preserve">revolver, </t>
    </r>
    <r>
      <rPr>
        <sz val="9"/>
        <color rgb="FF7F7F7F"/>
        <rFont val="Arial Unicode MS"/>
        <family val="2"/>
      </rPr>
      <t xml:space="preserve">无计划还款</t>
    </r>
  </si>
  <si>
    <t xml:space="preserve">一年内到期非流动负债计划还款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</si>
  <si>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最近年报末余额</t>
    </r>
    <r>
      <rPr>
        <sz val="9"/>
        <color rgb="FF7F7F7F"/>
        <rFont val="Microsoft YaHei"/>
        <family val="0"/>
        <charset val="1"/>
      </rPr>
      <t xml:space="preserve">500</t>
    </r>
    <r>
      <rPr>
        <sz val="9"/>
        <color rgb="FF7F7F7F"/>
        <rFont val="Arial Unicode MS"/>
        <family val="2"/>
      </rPr>
      <t xml:space="preserve">百万按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逐年摊还</t>
    </r>
  </si>
  <si>
    <t xml:space="preserve">长期借款计划还款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</si>
  <si>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最近年报末余额</t>
    </r>
    <r>
      <rPr>
        <sz val="9"/>
        <color rgb="FF7F7F7F"/>
        <rFont val="Microsoft YaHei"/>
        <family val="0"/>
        <charset val="1"/>
      </rPr>
      <t xml:space="preserve">1886</t>
    </r>
    <r>
      <rPr>
        <sz val="9"/>
        <color rgb="FF7F7F7F"/>
        <rFont val="Arial Unicode MS"/>
        <family val="2"/>
      </rPr>
      <t xml:space="preserve">百万按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逐年摊还</t>
    </r>
  </si>
  <si>
    <t xml:space="preserve">租赁负债计划还款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</si>
  <si>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最近年报末余额</t>
    </r>
    <r>
      <rPr>
        <sz val="9"/>
        <color rgb="FF7F7F7F"/>
        <rFont val="Microsoft YaHei"/>
        <family val="0"/>
        <charset val="1"/>
      </rPr>
      <t xml:space="preserve">11.8</t>
    </r>
    <r>
      <rPr>
        <sz val="9"/>
        <color rgb="FF7F7F7F"/>
        <rFont val="Arial Unicode MS"/>
        <family val="2"/>
      </rPr>
      <t xml:space="preserve">百万按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逐年摊还</t>
    </r>
  </si>
  <si>
    <t xml:space="preserve">短期借款利率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</si>
  <si>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一年期</t>
    </r>
    <r>
      <rPr>
        <sz val="9"/>
        <color rgb="FF7F7F7F"/>
        <rFont val="Microsoft YaHei"/>
        <family val="0"/>
        <charset val="1"/>
      </rPr>
      <t xml:space="preserve">LPR</t>
    </r>
    <r>
      <rPr>
        <sz val="9"/>
        <color rgb="FF7F7F7F"/>
        <rFont val="Arial Unicode MS"/>
        <family val="2"/>
      </rPr>
      <t xml:space="preserve">附近</t>
    </r>
  </si>
  <si>
    <t xml:space="preserve">一年内到期非流动负债利率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</si>
  <si>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参照综合借款成本</t>
    </r>
  </si>
  <si>
    <t xml:space="preserve">长期借款利率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</si>
  <si>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项目贷略高</t>
    </r>
  </si>
  <si>
    <t xml:space="preserve">租赁负债利率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</si>
  <si>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租赁内含利率</t>
    </r>
    <r>
      <rPr>
        <sz val="9"/>
        <color rgb="FF7F7F7F"/>
        <rFont val="Microsoft YaHei"/>
        <family val="0"/>
        <charset val="1"/>
      </rPr>
      <t xml:space="preserve">4-5%</t>
    </r>
  </si>
  <si>
    <r>
      <rPr>
        <sz val="10"/>
        <color rgb="FF000000"/>
        <rFont val="Arial Unicode MS"/>
        <family val="2"/>
      </rPr>
      <t xml:space="preserve">货币资金收益率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按平均余额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</si>
  <si>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活期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短期存款</t>
    </r>
    <r>
      <rPr>
        <sz val="9"/>
        <color rgb="FF7F7F7F"/>
        <rFont val="Microsoft YaHei"/>
        <family val="0"/>
        <charset val="1"/>
      </rPr>
      <t xml:space="preserve">1.2%</t>
    </r>
  </si>
  <si>
    <r>
      <rPr>
        <sz val="10"/>
        <color rgb="FF000000"/>
        <rFont val="Arial Unicode MS"/>
        <family val="2"/>
      </rPr>
      <t xml:space="preserve">其他财务费用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手续费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汇兑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</si>
  <si>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手续费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汇兑等</t>
    </r>
    <r>
      <rPr>
        <sz val="9"/>
        <color rgb="FF7F7F7F"/>
        <rFont val="Microsoft YaHei"/>
        <family val="0"/>
        <charset val="1"/>
      </rPr>
      <t xml:space="preserve">30</t>
    </r>
    <r>
      <rPr>
        <sz val="9"/>
        <color rgb="FF7F7F7F"/>
        <rFont val="Arial Unicode MS"/>
        <family val="2"/>
      </rPr>
      <t xml:space="preserve">百万</t>
    </r>
  </si>
  <si>
    <r>
      <rPr>
        <sz val="10"/>
        <color rgb="FF000000"/>
        <rFont val="Microsoft YaHei"/>
        <family val="0"/>
        <charset val="1"/>
      </rPr>
      <t xml:space="preserve">2025A</t>
    </r>
    <r>
      <rPr>
        <sz val="10"/>
        <color rgb="FF000000"/>
        <rFont val="Arial Unicode MS"/>
        <family val="2"/>
      </rPr>
      <t xml:space="preserve">末有息负债合计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</si>
  <si>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2169.9+</t>
    </r>
    <r>
      <rPr>
        <sz val="9"/>
        <color rgb="FF7F7F7F"/>
        <rFont val="Arial Unicode MS"/>
        <family val="2"/>
      </rPr>
      <t xml:space="preserve">一年内</t>
    </r>
    <r>
      <rPr>
        <sz val="9"/>
        <color rgb="FF7F7F7F"/>
        <rFont val="Microsoft YaHei"/>
        <family val="0"/>
        <charset val="1"/>
      </rPr>
      <t xml:space="preserve">500.1+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1885.7+</t>
    </r>
    <r>
      <rPr>
        <sz val="9"/>
        <color rgb="FF7F7F7F"/>
        <rFont val="Arial Unicode MS"/>
        <family val="2"/>
      </rPr>
      <t xml:space="preserve">租赁</t>
    </r>
    <r>
      <rPr>
        <sz val="9"/>
        <color rgb="FF7F7F7F"/>
        <rFont val="Microsoft YaHei"/>
        <family val="0"/>
        <charset val="1"/>
      </rPr>
      <t xml:space="preserve">11.8 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); WACC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Wd</t>
    </r>
    <r>
      <rPr>
        <sz val="9"/>
        <color rgb="FF7F7F7F"/>
        <rFont val="Arial Unicode MS"/>
        <family val="2"/>
      </rPr>
      <t xml:space="preserve">市值口径引用本行</t>
    </r>
  </si>
  <si>
    <r>
      <rPr>
        <b val="true"/>
        <sz val="10"/>
        <color rgb="FF1F3864"/>
        <rFont val="Arial Unicode MS"/>
        <family val="2"/>
      </rPr>
      <t xml:space="preserve">十、</t>
    </r>
    <r>
      <rPr>
        <b val="true"/>
        <sz val="10"/>
        <color rgb="FF1F3864"/>
        <rFont val="Microsoft YaHei"/>
        <family val="0"/>
        <charset val="1"/>
      </rPr>
      <t xml:space="preserve">WACC </t>
    </r>
    <r>
      <rPr>
        <b val="true"/>
        <sz val="10"/>
        <color rgb="FF1F3864"/>
        <rFont val="Arial Unicode MS"/>
        <family val="2"/>
      </rPr>
      <t xml:space="preserve">与终值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全公式化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联动</t>
    </r>
    <r>
      <rPr>
        <b val="true"/>
        <sz val="10"/>
        <color rgb="FF1F3864"/>
        <rFont val="Microsoft YaHei"/>
        <family val="0"/>
        <charset val="1"/>
      </rPr>
      <t xml:space="preserve">Relative_Val</t>
    </r>
    <r>
      <rPr>
        <b val="true"/>
        <sz val="10"/>
        <color rgb="FF1F3864"/>
        <rFont val="Arial Unicode MS"/>
        <family val="2"/>
      </rPr>
      <t xml:space="preserve">可比</t>
    </r>
    <r>
      <rPr>
        <b val="true"/>
        <sz val="10"/>
        <color rgb="FF1F3864"/>
        <rFont val="Microsoft YaHei"/>
        <family val="0"/>
        <charset val="1"/>
      </rPr>
      <t xml:space="preserve">beta)</t>
    </r>
  </si>
  <si>
    <r>
      <rPr>
        <sz val="10"/>
        <color rgb="FF000000"/>
        <rFont val="Arial Unicode MS"/>
        <family val="2"/>
      </rPr>
      <t xml:space="preserve">无风险利率 </t>
    </r>
    <r>
      <rPr>
        <sz val="10"/>
        <color rgb="FF000000"/>
        <rFont val="Microsoft YaHei"/>
        <family val="0"/>
        <charset val="1"/>
      </rPr>
      <t xml:space="preserve">rf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</si>
  <si>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10</t>
    </r>
    <r>
      <rPr>
        <sz val="9"/>
        <color rgb="FF7F7F7F"/>
        <rFont val="Arial Unicode MS"/>
        <family val="2"/>
      </rPr>
      <t xml:space="preserve">年期国债收益率约</t>
    </r>
    <r>
      <rPr>
        <sz val="9"/>
        <color rgb="FF7F7F7F"/>
        <rFont val="Microsoft YaHei"/>
        <family val="0"/>
        <charset val="1"/>
      </rPr>
      <t xml:space="preserve">2.0%</t>
    </r>
  </si>
  <si>
    <r>
      <rPr>
        <sz val="10"/>
        <color rgb="FF000000"/>
        <rFont val="Arial Unicode MS"/>
        <family val="2"/>
      </rPr>
      <t xml:space="preserve">股权风险溢价 </t>
    </r>
    <r>
      <rPr>
        <sz val="10"/>
        <color rgb="FF000000"/>
        <rFont val="Microsoft YaHei"/>
        <family val="0"/>
        <charset val="1"/>
      </rPr>
      <t xml:space="preserve">ERP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</si>
  <si>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A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ERP</t>
    </r>
    <r>
      <rPr>
        <sz val="9"/>
        <color rgb="FF7F7F7F"/>
        <rFont val="Arial Unicode MS"/>
        <family val="2"/>
      </rPr>
      <t xml:space="preserve">中枢</t>
    </r>
    <r>
      <rPr>
        <sz val="9"/>
        <color rgb="FF7F7F7F"/>
        <rFont val="Microsoft YaHei"/>
        <family val="0"/>
        <charset val="1"/>
      </rPr>
      <t xml:space="preserve">5.5%</t>
    </r>
  </si>
  <si>
    <r>
      <rPr>
        <sz val="10"/>
        <color rgb="FF000000"/>
        <rFont val="Arial Unicode MS"/>
        <family val="2"/>
      </rPr>
      <t xml:space="preserve">可比公司无杠杆</t>
    </r>
    <r>
      <rPr>
        <sz val="10"/>
        <color rgb="FF000000"/>
        <rFont val="Microsoft YaHei"/>
        <family val="0"/>
        <charset val="1"/>
      </rPr>
      <t xml:space="preserve">βu</t>
    </r>
    <r>
      <rPr>
        <sz val="10"/>
        <color rgb="FF000000"/>
        <rFont val="Arial Unicode MS"/>
        <family val="2"/>
      </rPr>
      <t xml:space="preserve">中位数</t>
    </r>
  </si>
  <si>
    <t xml:space="preserve">x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</si>
  <si>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MEDIAN(</t>
    </r>
    <r>
      <rPr>
        <sz val="9"/>
        <color rgb="FF7F7F7F"/>
        <rFont val="Arial Unicode MS"/>
        <family val="2"/>
      </rPr>
      <t xml:space="preserve">可比公司</t>
    </r>
    <r>
      <rPr>
        <sz val="9"/>
        <color rgb="FF7F7F7F"/>
        <rFont val="Microsoft YaHei"/>
        <family val="0"/>
        <charset val="1"/>
      </rPr>
      <t xml:space="preserve">βl/(1+(1-t)×D/E)), 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Relative_Val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改可比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输入即联动</t>
    </r>
  </si>
  <si>
    <r>
      <rPr>
        <sz val="10"/>
        <color rgb="FF000000"/>
        <rFont val="Arial Unicode MS"/>
        <family val="2"/>
      </rPr>
      <t xml:space="preserve">目标债务权重 </t>
    </r>
    <r>
      <rPr>
        <sz val="10"/>
        <color rgb="FF000000"/>
        <rFont val="Microsoft YaHei"/>
        <family val="0"/>
        <charset val="1"/>
      </rPr>
      <t xml:space="preserve">Wd (</t>
    </r>
    <r>
      <rPr>
        <sz val="10"/>
        <color rgb="FF000000"/>
        <rFont val="Arial Unicode MS"/>
        <family val="2"/>
      </rPr>
      <t xml:space="preserve">市值口径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</si>
  <si>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末有息负债</t>
    </r>
    <r>
      <rPr>
        <sz val="9"/>
        <color rgb="FF7F7F7F"/>
        <rFont val="Microsoft YaHei"/>
        <family val="0"/>
        <charset val="1"/>
      </rPr>
      <t xml:space="preserve">/(</t>
    </r>
    <r>
      <rPr>
        <sz val="9"/>
        <color rgb="FF7F7F7F"/>
        <rFont val="Arial Unicode MS"/>
        <family val="2"/>
      </rPr>
      <t xml:space="preserve">有息负债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以市值口径现状结构为目标结构</t>
    </r>
  </si>
  <si>
    <r>
      <rPr>
        <sz val="10"/>
        <color rgb="FF000000"/>
        <rFont val="Arial Unicode MS"/>
        <family val="2"/>
      </rPr>
      <t xml:space="preserve">目标 </t>
    </r>
    <r>
      <rPr>
        <sz val="10"/>
        <color rgb="FF000000"/>
        <rFont val="Microsoft YaHei"/>
        <family val="0"/>
        <charset val="1"/>
      </rPr>
      <t xml:space="preserve">D/E = Wd/(1-Wd)</t>
    </r>
  </si>
  <si>
    <r>
      <rPr>
        <sz val="9"/>
        <color rgb="FF7F7F7F"/>
        <rFont val="Microsoft YaHei"/>
        <family val="0"/>
        <charset val="1"/>
      </rPr>
      <t xml:space="preserve">relever</t>
    </r>
    <r>
      <rPr>
        <sz val="9"/>
        <color rgb="FF7F7F7F"/>
        <rFont val="Arial Unicode MS"/>
        <family val="2"/>
      </rPr>
      <t xml:space="preserve">用目标产权比率</t>
    </r>
  </si>
  <si>
    <r>
      <rPr>
        <sz val="10"/>
        <color rgb="FF000000"/>
        <rFont val="Arial Unicode MS"/>
        <family val="2"/>
      </rPr>
      <t xml:space="preserve">再杠杆</t>
    </r>
    <r>
      <rPr>
        <sz val="10"/>
        <color rgb="FF000000"/>
        <rFont val="Microsoft YaHei"/>
        <family val="0"/>
        <charset val="1"/>
      </rPr>
      <t xml:space="preserve">βl = βu×(1+(1-t)×D/E)</t>
    </r>
  </si>
  <si>
    <r>
      <rPr>
        <sz val="9"/>
        <color rgb="FF7F7F7F"/>
        <rFont val="Microsoft YaHei"/>
        <family val="0"/>
        <charset val="1"/>
      </rPr>
      <t xml:space="preserve">Hamada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t=2026E</t>
    </r>
    <r>
      <rPr>
        <sz val="9"/>
        <color rgb="FF7F7F7F"/>
        <rFont val="Arial Unicode MS"/>
        <family val="2"/>
      </rPr>
      <t xml:space="preserve">有效税率</t>
    </r>
  </si>
  <si>
    <r>
      <rPr>
        <sz val="10"/>
        <color rgb="FF000000"/>
        <rFont val="Arial Unicode MS"/>
        <family val="2"/>
      </rPr>
      <t xml:space="preserve">个股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执行风险溢价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已删除</t>
    </r>
    <r>
      <rPr>
        <sz val="10"/>
        <color rgb="FF000000"/>
        <rFont val="Microsoft YaHei"/>
        <family val="0"/>
        <charset val="1"/>
      </rPr>
      <t xml:space="preserve">=0)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</si>
  <si>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不取个股溢价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避免与</t>
    </r>
    <r>
      <rPr>
        <sz val="9"/>
        <color rgb="FF7F7F7F"/>
        <rFont val="Microsoft YaHei"/>
        <family val="0"/>
        <charset val="1"/>
      </rPr>
      <t xml:space="preserve">β/</t>
    </r>
    <r>
      <rPr>
        <sz val="9"/>
        <color rgb="FF7F7F7F"/>
        <rFont val="Arial Unicode MS"/>
        <family val="2"/>
      </rPr>
      <t xml:space="preserve">情景重复计价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</si>
  <si>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股权成本 </t>
    </r>
    <r>
      <rPr>
        <sz val="10"/>
        <color rgb="FF000000"/>
        <rFont val="Microsoft YaHei"/>
        <family val="0"/>
        <charset val="1"/>
      </rPr>
      <t xml:space="preserve">Ke = rf+βl×ERP+</t>
    </r>
    <r>
      <rPr>
        <sz val="10"/>
        <color rgb="FF000000"/>
        <rFont val="Arial Unicode MS"/>
        <family val="2"/>
      </rPr>
      <t xml:space="preserve">溢价</t>
    </r>
  </si>
  <si>
    <r>
      <rPr>
        <sz val="9"/>
        <color rgb="FF7F7F7F"/>
        <rFont val="Microsoft YaHei"/>
        <family val="0"/>
        <charset val="1"/>
      </rPr>
      <t xml:space="preserve">CAPM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溢价默认为</t>
    </r>
    <r>
      <rPr>
        <sz val="9"/>
        <color rgb="FF7F7F7F"/>
        <rFont val="Microsoft YaHei"/>
        <family val="0"/>
        <charset val="1"/>
      </rPr>
      <t xml:space="preserve">0)</t>
    </r>
  </si>
  <si>
    <r>
      <rPr>
        <sz val="10"/>
        <color rgb="FF000000"/>
        <rFont val="Arial Unicode MS"/>
        <family val="2"/>
      </rPr>
      <t xml:space="preserve">债务成本 </t>
    </r>
    <r>
      <rPr>
        <sz val="10"/>
        <color rgb="FF000000"/>
        <rFont val="Microsoft YaHei"/>
        <family val="0"/>
        <charset val="1"/>
      </rPr>
      <t xml:space="preserve">Kd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</si>
  <si>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≈</t>
    </r>
    <r>
      <rPr>
        <sz val="9"/>
        <color rgb="FF7F7F7F"/>
        <rFont val="Arial Unicode MS"/>
        <family val="2"/>
      </rPr>
      <t xml:space="preserve">四档债务加权平均利率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</si>
  <si>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</si>
  <si>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(1-Wd)×Ke + Wd×Kd×(1-t)</t>
    </r>
  </si>
  <si>
    <r>
      <rPr>
        <sz val="10"/>
        <color rgb="FF000000"/>
        <rFont val="Microsoft YaHei"/>
        <family val="0"/>
        <charset val="1"/>
      </rPr>
      <t xml:space="preserve">WACC override (</t>
    </r>
    <r>
      <rPr>
        <sz val="10"/>
        <color rgb="FF000000"/>
        <rFont val="Arial Unicode MS"/>
        <family val="2"/>
      </rPr>
      <t xml:space="preserve">留空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用计算值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</si>
  <si>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留空则采用上方计算值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填入数值则覆盖</t>
    </r>
    <r>
      <rPr>
        <sz val="9"/>
        <color rgb="FF7F7F7F"/>
        <rFont val="Microsoft YaHei"/>
        <family val="0"/>
        <charset val="1"/>
      </rPr>
      <t xml:space="preserve">(Checks</t>
    </r>
    <r>
      <rPr>
        <sz val="9"/>
        <color rgb="FF7F7F7F"/>
        <rFont val="Arial Unicode MS"/>
        <family val="2"/>
      </rPr>
      <t xml:space="preserve">页校验采用值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计算值或</t>
    </r>
    <r>
      <rPr>
        <sz val="9"/>
        <color rgb="FF7F7F7F"/>
        <rFont val="Microsoft YaHei"/>
        <family val="0"/>
        <charset val="1"/>
      </rPr>
      <t xml:space="preserve">override</t>
    </r>
    <r>
      <rPr>
        <sz val="9"/>
        <color rgb="FF7F7F7F"/>
        <rFont val="Arial Unicode MS"/>
        <family val="2"/>
      </rPr>
      <t xml:space="preserve">非空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</si>
  <si>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</si>
  <si>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IF(override="", 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override); DCF/Sensitivity/Scenarios</t>
    </r>
    <r>
      <rPr>
        <sz val="9"/>
        <color rgb="FF7F7F7F"/>
        <rFont val="Arial Unicode MS"/>
        <family val="2"/>
      </rPr>
      <t xml:space="preserve">全部引用本行</t>
    </r>
  </si>
  <si>
    <r>
      <rPr>
        <sz val="10"/>
        <color rgb="FF000000"/>
        <rFont val="Arial Unicode MS"/>
        <family val="2"/>
      </rPr>
      <t xml:space="preserve">永续增长率 </t>
    </r>
    <r>
      <rPr>
        <sz val="10"/>
        <color rgb="FF000000"/>
        <rFont val="Microsoft YaHei"/>
        <family val="0"/>
        <charset val="1"/>
      </rPr>
      <t xml:space="preserve">g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</si>
  <si>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长期名义增速中枢下沿</t>
    </r>
  </si>
  <si>
    <r>
      <rPr>
        <b val="true"/>
        <sz val="10"/>
        <color rgb="FF1F3864"/>
        <rFont val="Arial Unicode MS"/>
        <family val="2"/>
      </rPr>
      <t xml:space="preserve">十一、情景参数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驱动情景开关 </t>
    </r>
    <r>
      <rPr>
        <b val="true"/>
        <sz val="10"/>
        <color rgb="FF1F3864"/>
        <rFont val="Microsoft YaHei"/>
        <family val="0"/>
        <charset val="1"/>
      </rPr>
      <t xml:space="preserve">&amp; Scenarios</t>
    </r>
    <r>
      <rPr>
        <b val="true"/>
        <sz val="10"/>
        <color rgb="FF1F3864"/>
        <rFont val="Arial Unicode MS"/>
        <family val="2"/>
      </rPr>
      <t xml:space="preserve">页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</si>
  <si>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情景</t>
  </si>
  <si>
    <t xml:space="preserve">收入增速调整</t>
  </si>
  <si>
    <t xml:space="preserve">净利率调整</t>
  </si>
  <si>
    <t xml:space="preserve">情景逻辑</t>
  </si>
  <si>
    <r>
      <rPr>
        <b val="true"/>
        <sz val="10"/>
        <color rgb="FFCC0000"/>
        <rFont val="Arial Unicode MS"/>
        <family val="2"/>
      </rPr>
      <t xml:space="preserve">熊市 </t>
    </r>
    <r>
      <rPr>
        <b val="true"/>
        <sz val="10"/>
        <color rgb="FFCC0000"/>
        <rFont val="Microsoft YaHei"/>
        <family val="0"/>
        <charset val="1"/>
      </rPr>
      <t xml:space="preserve">Bear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</si>
  <si>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</si>
  <si>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Arial Unicode MS"/>
        <family val="2"/>
      </rPr>
      <t xml:space="preserve">基准 </t>
    </r>
    <r>
      <rPr>
        <b val="true"/>
        <sz val="10"/>
        <color rgb="FF000000"/>
        <rFont val="Microsoft YaHei"/>
        <family val="0"/>
        <charset val="1"/>
      </rPr>
      <t xml:space="preserve">Base</t>
    </r>
  </si>
  <si>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不调整</t>
    </r>
  </si>
  <si>
    <r>
      <rPr>
        <b val="true"/>
        <sz val="10"/>
        <color rgb="FF000000"/>
        <rFont val="Arial Unicode MS"/>
        <family val="2"/>
      </rPr>
      <t xml:space="preserve">牛市 </t>
    </r>
    <r>
      <rPr>
        <b val="true"/>
        <sz val="10"/>
        <color rgb="FF000000"/>
        <rFont val="Microsoft YaHei"/>
        <family val="0"/>
        <charset val="1"/>
      </rPr>
      <t xml:space="preserve">Bull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</si>
  <si>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</si>
  <si>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Revenue_Segments </t>
    </r>
    <r>
      <rPr>
        <b val="true"/>
        <sz val="13"/>
        <color rgb="FFFFFFFF"/>
        <rFont val="Arial Unicode MS"/>
        <family val="2"/>
      </rPr>
      <t xml:space="preserve">分业务收入拆解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量</t>
    </r>
    <r>
      <rPr>
        <b val="true"/>
        <sz val="13"/>
        <color rgb="FFFFFFFF"/>
        <rFont val="Microsoft YaHei"/>
        <family val="0"/>
        <charset val="1"/>
      </rPr>
      <t xml:space="preserve">×</t>
    </r>
    <r>
      <rPr>
        <b val="true"/>
        <sz val="13"/>
        <color rgb="FFFFFFFF"/>
        <rFont val="Arial Unicode MS"/>
        <family val="2"/>
      </rPr>
      <t xml:space="preserve">价驱动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</si>
  <si>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历史收入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产品占比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</t>
    </r>
    <r>
      <rPr>
        <sz val="9"/>
        <color rgb="FF7F7F7F"/>
        <rFont val="Microsoft YaHei"/>
        <family val="0"/>
        <charset val="1"/>
      </rPr>
      <t xml:space="preserve">×(1+</t>
    </r>
    <r>
      <rPr>
        <sz val="9"/>
        <color rgb="FF7F7F7F"/>
        <rFont val="Arial Unicode MS"/>
        <family val="2"/>
      </rPr>
      <t xml:space="preserve">量增速</t>
    </r>
    <r>
      <rPr>
        <sz val="9"/>
        <color rgb="FF7F7F7F"/>
        <rFont val="Microsoft YaHei"/>
        <family val="0"/>
        <charset val="1"/>
      </rPr>
      <t xml:space="preserve">)×(1+</t>
    </r>
    <r>
      <rPr>
        <sz val="9"/>
        <color rgb="FF7F7F7F"/>
        <rFont val="Arial Unicode MS"/>
        <family val="2"/>
      </rPr>
      <t xml:space="preserve">价增速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增速引用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并受情景开关调整</t>
    </r>
  </si>
  <si>
    <t xml:space="preserve">项目</t>
  </si>
  <si>
    <t xml:space="preserve">2023A</t>
  </si>
  <si>
    <t xml:space="preserve">2024A</t>
  </si>
  <si>
    <t xml:space="preserve">2025A</t>
  </si>
  <si>
    <r>
      <rPr>
        <b val="true"/>
        <sz val="10"/>
        <color rgb="FF000000"/>
        <rFont val="Arial Unicode MS"/>
        <family val="2"/>
      </rPr>
      <t xml:space="preserve">备注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</si>
  <si>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Arial Unicode MS"/>
        <family val="2"/>
      </rPr>
      <t xml:space="preserve">营业收入合计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历史实际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</si>
  <si>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利润表</t>
    </r>
    <r>
      <rPr>
        <sz val="9"/>
        <color rgb="FF7F7F7F"/>
        <rFont val="Microsoft YaHei"/>
        <family val="0"/>
        <charset val="1"/>
      </rPr>
      <t xml:space="preserve">: 2023-2025</t>
    </r>
    <r>
      <rPr>
        <sz val="9"/>
        <color rgb="FF7F7F7F"/>
        <rFont val="Arial Unicode MS"/>
        <family val="2"/>
      </rPr>
      <t xml:space="preserve">实际营收</t>
    </r>
  </si>
  <si>
    <r>
      <rPr>
        <b val="true"/>
        <sz val="10"/>
        <color rgb="FF1F3864"/>
        <rFont val="Arial Unicode MS"/>
        <family val="2"/>
      </rPr>
      <t xml:space="preserve">印制电路板 </t>
    </r>
    <r>
      <rPr>
        <b val="true"/>
        <sz val="10"/>
        <color rgb="FF1F3864"/>
        <rFont val="Microsoft YaHei"/>
        <family val="0"/>
        <charset val="1"/>
      </rPr>
      <t xml:space="preserve">(PCB)</t>
    </r>
  </si>
  <si>
    <t xml:space="preserve">收入</t>
  </si>
  <si>
    <t xml:space="preserve">  收入占比</t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</si>
  <si>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主营构成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按产品</t>
    </r>
    <r>
      <rPr>
        <sz val="9"/>
        <color rgb="FF7F7F7F"/>
        <rFont val="Microsoft YaHei"/>
        <family val="0"/>
        <charset val="1"/>
      </rPr>
      <t xml:space="preserve">); 2025</t>
    </r>
    <r>
      <rPr>
        <sz val="9"/>
        <color rgb="FF7F7F7F"/>
        <rFont val="Arial Unicode MS"/>
        <family val="2"/>
      </rPr>
      <t xml:space="preserve">年报口径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产品销售收入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印制电路板业务</t>
    </r>
    <r>
      <rPr>
        <sz val="9"/>
        <color rgb="FF7F7F7F"/>
        <rFont val="Microsoft YaHei"/>
        <family val="0"/>
        <charset val="1"/>
      </rPr>
      <t xml:space="preserve">)"</t>
    </r>
  </si>
  <si>
    <t xml:space="preserve">  收入增速</t>
  </si>
  <si>
    <t xml:space="preserve">—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</si>
  <si>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基础增速</t>
    </r>
    <r>
      <rPr>
        <sz val="9"/>
        <color rgb="FF7F7F7F"/>
        <rFont val="Microsoft YaHei"/>
        <family val="0"/>
        <charset val="1"/>
      </rPr>
      <t xml:space="preserve">+CHOOSE(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牛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</si>
  <si>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  毛利率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</si>
  <si>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主营构成分产品毛利率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: Assumptions+</t>
    </r>
    <r>
      <rPr>
        <sz val="9"/>
        <color rgb="FF7F7F7F"/>
        <rFont val="Arial Unicode MS"/>
        <family val="2"/>
      </rPr>
      <t xml:space="preserve">情景调整</t>
    </r>
  </si>
  <si>
    <t xml:space="preserve">  毛利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</si>
  <si>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AI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交换机高多层板核心供应商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外销占</t>
    </r>
    <r>
      <rPr>
        <sz val="9"/>
        <color rgb="FF7F7F7F"/>
        <rFont val="Microsoft YaHei"/>
        <family val="0"/>
        <charset val="1"/>
      </rPr>
      <t xml:space="preserve">82%(2025); </t>
    </r>
    <r>
      <rPr>
        <sz val="9"/>
        <color rgb="FF7F7F7F"/>
        <rFont val="Arial Unicode MS"/>
        <family val="2"/>
      </rPr>
      <t xml:space="preserve">黄石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沪利微电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泰国基地扩产</t>
    </r>
    <r>
      <rPr>
        <sz val="9"/>
        <color rgb="FF7F7F7F"/>
        <rFont val="Microsoft YaHei"/>
        <family val="0"/>
        <charset val="1"/>
      </rPr>
      <t xml:space="preserve">; 2026Q1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62.1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(+53.9%)</t>
    </r>
  </si>
  <si>
    <r>
      <rPr>
        <b val="true"/>
        <sz val="10"/>
        <color rgb="FF1F3864"/>
        <rFont val="Arial Unicode MS"/>
        <family val="2"/>
      </rPr>
      <t xml:space="preserve">其他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补充业务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房屋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物业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</si>
  <si>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主营构成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其他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补充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为主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含微量房屋销售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物业费</t>
    </r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</si>
  <si>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补充业务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&lt;5%, </t>
    </r>
    <r>
      <rPr>
        <sz val="9"/>
        <color rgb="FF7F7F7F"/>
        <rFont val="Arial Unicode MS"/>
        <family val="2"/>
      </rPr>
      <t xml:space="preserve">对估值影响小</t>
    </r>
  </si>
  <si>
    <r>
      <rPr>
        <b val="true"/>
        <sz val="10"/>
        <color rgb="FF1F3864"/>
        <rFont val="Arial Unicode MS"/>
        <family val="2"/>
      </rPr>
      <t xml:space="preserve">合计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自动汇总进</t>
    </r>
    <r>
      <rPr>
        <b val="true"/>
        <sz val="10"/>
        <color rgb="FF1F3864"/>
        <rFont val="Microsoft YaHei"/>
        <family val="0"/>
        <charset val="1"/>
      </rPr>
      <t xml:space="preserve">IS)</t>
    </r>
  </si>
  <si>
    <t xml:space="preserve">营业收入合计</t>
  </si>
  <si>
    <t xml:space="preserve">毛利合计</t>
  </si>
  <si>
    <t xml:space="preserve">综合毛利率</t>
  </si>
  <si>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</si>
  <si>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b val="true"/>
        <sz val="10"/>
        <color rgb="FF1F3864"/>
        <rFont val="Arial Unicode MS"/>
        <family val="2"/>
      </rPr>
      <t xml:space="preserve">基准情形演算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基础值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不受情景开关影响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供</t>
    </r>
    <r>
      <rPr>
        <b val="true"/>
        <sz val="10"/>
        <color rgb="FF1F3864"/>
        <rFont val="Microsoft YaHei"/>
        <family val="0"/>
        <charset val="1"/>
      </rPr>
      <t xml:space="preserve">Scenarios</t>
    </r>
    <r>
      <rPr>
        <b val="true"/>
        <sz val="10"/>
        <color rgb="FF1F3864"/>
        <rFont val="Arial Unicode MS"/>
        <family val="2"/>
      </rPr>
      <t xml:space="preserve">页引用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</si>
  <si>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pcb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</si>
  <si>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oth</t>
    </r>
  </si>
  <si>
    <t xml:space="preserve">基准合计收入</t>
  </si>
  <si>
    <t xml:space="preserve">基准收入增速</t>
  </si>
  <si>
    <t xml:space="preserve">基准综合毛利率</t>
  </si>
  <si>
    <r>
      <rPr>
        <b val="true"/>
        <sz val="10"/>
        <color rgb="FF1F3864"/>
        <rFont val="Arial Unicode MS"/>
        <family val="2"/>
      </rPr>
      <t xml:space="preserve">产能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客户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行业参考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外部信息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</si>
  <si>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1E7A1E"/>
        <rFont val="Arial Unicode MS"/>
        <family val="2"/>
      </rPr>
      <t xml:space="preserve">产能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基地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青淞厂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黄石一</t>
    </r>
    <r>
      <rPr>
        <sz val="9"/>
        <color rgb="FF1E7A1E"/>
        <rFont val="Microsoft YaHei"/>
        <family val="0"/>
        <charset val="1"/>
      </rPr>
      <t xml:space="preserve">&amp;</t>
    </r>
    <r>
      <rPr>
        <sz val="9"/>
        <color rgb="FF1E7A1E"/>
        <rFont val="Arial Unicode MS"/>
        <family val="2"/>
      </rPr>
      <t xml:space="preserve">二厂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沪利微电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泰国一期</t>
    </r>
    <r>
      <rPr>
        <sz val="9"/>
        <color rgb="FF1E7A1E"/>
        <rFont val="Microsoft YaHei"/>
        <family val="0"/>
        <charset val="1"/>
      </rPr>
      <t xml:space="preserve">(2025</t>
    </r>
    <r>
      <rPr>
        <sz val="9"/>
        <color rgb="FF1E7A1E"/>
        <rFont val="Arial Unicode MS"/>
        <family val="2"/>
      </rPr>
      <t xml:space="preserve">投产</t>
    </r>
    <r>
      <rPr>
        <sz val="9"/>
        <color rgb="FF1E7A1E"/>
        <rFont val="Microsoft YaHei"/>
        <family val="0"/>
        <charset val="1"/>
      </rPr>
      <t xml:space="preserve">); 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企业通讯市场板</t>
    </r>
    <r>
      <rPr>
        <sz val="9"/>
        <color rgb="FF1E7A1E"/>
        <rFont val="Microsoft YaHei"/>
        <family val="0"/>
        <charset val="1"/>
      </rPr>
      <t xml:space="preserve">+</t>
    </r>
    <r>
      <rPr>
        <sz val="9"/>
        <color rgb="FF1E7A1E"/>
        <rFont val="Arial Unicode MS"/>
        <family val="2"/>
      </rPr>
      <t xml:space="preserve">汽车板为主业 — 东财</t>
    </r>
    <r>
      <rPr>
        <sz val="9"/>
        <color rgb="FF1E7A1E"/>
        <rFont val="Microsoft YaHei"/>
        <family val="0"/>
        <charset val="1"/>
      </rPr>
      <t xml:space="preserve">F10/</t>
    </r>
    <r>
      <rPr>
        <sz val="9"/>
        <color rgb="FF1E7A1E"/>
        <rFont val="Arial Unicode MS"/>
        <family val="2"/>
      </rPr>
      <t xml:space="preserve">年报</t>
    </r>
  </si>
  <si>
    <r>
      <rPr>
        <sz val="9"/>
        <color rgb="FF1E7A1E"/>
        <rFont val="Arial Unicode MS"/>
        <family val="2"/>
      </rPr>
      <t xml:space="preserve">客户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结构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外销收入占比</t>
    </r>
    <r>
      <rPr>
        <sz val="9"/>
        <color rgb="FF1E7A1E"/>
        <rFont val="Microsoft YaHei"/>
        <family val="0"/>
        <charset val="1"/>
      </rPr>
      <t xml:space="preserve">82.0%(2025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), AI</t>
    </r>
    <r>
      <rPr>
        <sz val="9"/>
        <color rgb="FF1E7A1E"/>
        <rFont val="Arial Unicode MS"/>
        <family val="2"/>
      </rPr>
      <t xml:space="preserve">服务器与高速交换机为核心驱动</t>
    </r>
    <r>
      <rPr>
        <sz val="9"/>
        <color rgb="FF1E7A1E"/>
        <rFont val="Microsoft YaHei"/>
        <family val="0"/>
        <charset val="1"/>
      </rPr>
      <t xml:space="preserve">; 2026Q1</t>
    </r>
    <r>
      <rPr>
        <sz val="9"/>
        <color rgb="FF1E7A1E"/>
        <rFont val="Arial Unicode MS"/>
        <family val="2"/>
      </rPr>
      <t xml:space="preserve">营收</t>
    </r>
    <r>
      <rPr>
        <sz val="9"/>
        <color rgb="FF1E7A1E"/>
        <rFont val="Microsoft YaHei"/>
        <family val="0"/>
        <charset val="1"/>
      </rPr>
      <t xml:space="preserve">62.14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(+53.9%), </t>
    </r>
    <r>
      <rPr>
        <sz val="9"/>
        <color rgb="FF1E7A1E"/>
        <rFont val="Arial Unicode MS"/>
        <family val="2"/>
      </rPr>
      <t xml:space="preserve">归母</t>
    </r>
    <r>
      <rPr>
        <sz val="9"/>
        <color rgb="FF1E7A1E"/>
        <rFont val="Microsoft YaHei"/>
        <family val="0"/>
        <charset val="1"/>
      </rPr>
      <t xml:space="preserve">12.42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(+62.9%)</t>
    </r>
  </si>
  <si>
    <r>
      <rPr>
        <sz val="9"/>
        <color rgb="FF1E7A1E"/>
        <rFont val="Arial Unicode MS"/>
        <family val="2"/>
      </rPr>
      <t xml:space="preserve">行业</t>
    </r>
    <r>
      <rPr>
        <sz val="9"/>
        <color rgb="FF1E7A1E"/>
        <rFont val="Microsoft YaHei"/>
        <family val="0"/>
        <charset val="1"/>
      </rPr>
      <t xml:space="preserve">: AI</t>
    </r>
    <r>
      <rPr>
        <sz val="9"/>
        <color rgb="FF1E7A1E"/>
        <rFont val="Arial Unicode MS"/>
        <family val="2"/>
      </rPr>
      <t xml:space="preserve">服务器</t>
    </r>
    <r>
      <rPr>
        <sz val="9"/>
        <color rgb="FF1E7A1E"/>
        <rFont val="Microsoft YaHei"/>
        <family val="0"/>
        <charset val="1"/>
      </rPr>
      <t xml:space="preserve">PCB</t>
    </r>
    <r>
      <rPr>
        <sz val="9"/>
        <color rgb="FF1E7A1E"/>
        <rFont val="Arial Unicode MS"/>
        <family val="2"/>
      </rPr>
      <t xml:space="preserve">单机价值量提升</t>
    </r>
    <r>
      <rPr>
        <sz val="9"/>
        <color rgb="FF1E7A1E"/>
        <rFont val="Microsoft YaHei"/>
        <family val="0"/>
        <charset val="1"/>
      </rPr>
      <t xml:space="preserve">; 2026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CCL</t>
    </r>
    <r>
      <rPr>
        <sz val="9"/>
        <color rgb="FF1E7A1E"/>
        <rFont val="Arial Unicode MS"/>
        <family val="2"/>
      </rPr>
      <t xml:space="preserve">涨价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台耀</t>
    </r>
    <r>
      <rPr>
        <sz val="9"/>
        <color rgb="FF1E7A1E"/>
        <rFont val="Microsoft YaHei"/>
        <family val="0"/>
        <charset val="1"/>
      </rPr>
      <t xml:space="preserve">+20~40%/</t>
    </r>
    <r>
      <rPr>
        <sz val="9"/>
        <color rgb="FF1E7A1E"/>
        <rFont val="Arial Unicode MS"/>
        <family val="2"/>
      </rPr>
      <t xml:space="preserve">三菱瓦斯≤</t>
    </r>
    <r>
      <rPr>
        <sz val="9"/>
        <color rgb="FF1E7A1E"/>
        <rFont val="Microsoft YaHei"/>
        <family val="0"/>
        <charset val="1"/>
      </rPr>
      <t xml:space="preserve">30%), </t>
    </r>
    <r>
      <rPr>
        <sz val="9"/>
        <color rgb="FF1E7A1E"/>
        <rFont val="Arial Unicode MS"/>
        <family val="2"/>
      </rPr>
      <t xml:space="preserve">头部厂商具备顺价能力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</si>
  <si>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IS </t>
    </r>
    <r>
      <rPr>
        <b val="true"/>
        <sz val="13"/>
        <color rgb="FFFFFFFF"/>
        <rFont val="Arial Unicode MS"/>
        <family val="2"/>
      </rPr>
      <t xml:space="preserve">利润表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</si>
  <si>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成本引用</t>
    </r>
    <r>
      <rPr>
        <sz val="9"/>
        <color rgb="FF7F7F7F"/>
        <rFont val="Microsoft YaHei"/>
        <family val="0"/>
        <charset val="1"/>
      </rPr>
      <t xml:space="preserve">Revenue_Segments; </t>
    </r>
    <r>
      <rPr>
        <sz val="9"/>
        <color rgb="FF7F7F7F"/>
        <rFont val="Arial Unicode MS"/>
        <family val="2"/>
      </rPr>
      <t xml:space="preserve">费用率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税率引用</t>
    </r>
    <r>
      <rPr>
        <sz val="9"/>
        <color rgb="FF7F7F7F"/>
        <rFont val="Microsoft YaHei"/>
        <family val="0"/>
        <charset val="1"/>
      </rPr>
      <t xml:space="preserve">Assumptions; </t>
    </r>
    <r>
      <rPr>
        <sz val="9"/>
        <color rgb="FF7F7F7F"/>
        <rFont val="Arial Unicode MS"/>
        <family val="2"/>
      </rPr>
      <t xml:space="preserve">财务费用引用</t>
    </r>
    <r>
      <rPr>
        <sz val="9"/>
        <color rgb="FF7F7F7F"/>
        <rFont val="Microsoft YaHei"/>
        <family val="0"/>
        <charset val="1"/>
      </rPr>
      <t xml:space="preserve">FIN(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FIN</t>
    </r>
    <r>
      <rPr>
        <sz val="9"/>
        <color rgb="FF7F7F7F"/>
        <rFont val="Arial Unicode MS"/>
        <family val="2"/>
      </rPr>
      <t xml:space="preserve">页迭代展开第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</si>
  <si>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营业收入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</si>
  <si>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分部合计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F10(89.4/133.4/189.5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</si>
  <si>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  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</si>
  <si>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2024A +49.3% / 2025A +42.0%</t>
    </r>
  </si>
  <si>
    <t xml:space="preserve">营业成本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</si>
  <si>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分部毛利合计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占比四舍五入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历史分部毛利与总额存微小口径差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</si>
  <si>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毛利</t>
  </si>
  <si>
    <r>
      <rPr>
        <sz val="9"/>
        <color rgb="FF7F7F7F"/>
        <rFont val="Microsoft YaHei"/>
        <family val="0"/>
        <charset val="1"/>
      </rPr>
      <t xml:space="preserve">2023A 31.0%→2025A 35.5%; </t>
    </r>
    <r>
      <rPr>
        <sz val="9"/>
        <color rgb="FF7F7F7F"/>
        <rFont val="Arial Unicode MS"/>
        <family val="2"/>
      </rPr>
      <t xml:space="preserve">预测由分部毛利率加权</t>
    </r>
  </si>
  <si>
    <t xml:space="preserve">税金及附加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</si>
  <si>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×0.59%</t>
    </r>
  </si>
  <si>
    <t xml:space="preserve">销售费用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</si>
  <si>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×2.80%</t>
    </r>
  </si>
  <si>
    <t xml:space="preserve">管理费用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</si>
  <si>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×2.22%</t>
    </r>
  </si>
  <si>
    <t xml:space="preserve">研发费用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</si>
  <si>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×6.02%</t>
    </r>
  </si>
  <si>
    <t xml:space="preserve">财务费用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</si>
  <si>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净财务费用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</si>
  <si>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其他经营损益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投资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公允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减值等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</si>
  <si>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历史为轧差项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预测取</t>
    </r>
    <r>
      <rPr>
        <sz val="9"/>
        <color rgb="FF7F7F7F"/>
        <rFont val="Microsoft YaHei"/>
        <family val="0"/>
        <charset val="1"/>
      </rPr>
      <t xml:space="preserve">-175</t>
    </r>
    <r>
      <rPr>
        <sz val="9"/>
        <color rgb="FF7F7F7F"/>
        <rFont val="Arial Unicode MS"/>
        <family val="2"/>
      </rPr>
      <t xml:space="preserve">百万</t>
    </r>
  </si>
  <si>
    <t xml:space="preserve">营业利润</t>
  </si>
  <si>
    <r>
      <rPr>
        <sz val="9"/>
        <color rgb="FF7F7F7F"/>
        <rFont val="Microsoft YaHei"/>
        <family val="0"/>
        <charset val="1"/>
      </rPr>
      <t xml:space="preserve">2025A -12.6</t>
    </r>
    <r>
      <rPr>
        <sz val="9"/>
        <color rgb="FF7F7F7F"/>
        <rFont val="Arial Unicode MS"/>
        <family val="2"/>
      </rPr>
      <t xml:space="preserve">百万</t>
    </r>
  </si>
  <si>
    <t xml:space="preserve">利润总额</t>
  </si>
  <si>
    <t xml:space="preserve">所得税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</si>
  <si>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×13.2%</t>
    </r>
  </si>
  <si>
    <t xml:space="preserve">净利润</t>
  </si>
  <si>
    <r>
      <rPr>
        <sz val="9"/>
        <color rgb="FF7F7F7F"/>
        <rFont val="Arial Unicode MS"/>
        <family val="2"/>
      </rPr>
      <t xml:space="preserve">合并口径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含少数股东损益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</si>
  <si>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归母净利润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</si>
  <si>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2023A 15.1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/2024A 25.9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/2025A 38.2</t>
    </r>
    <r>
      <rPr>
        <sz val="9"/>
        <color rgb="FF7F7F7F"/>
        <rFont val="Arial Unicode MS"/>
        <family val="2"/>
      </rPr>
      <t xml:space="preserve">亿 </t>
    </r>
    <r>
      <rPr>
        <sz val="9"/>
        <color rgb="FF7F7F7F"/>
        <rFont val="Microsoft YaHei"/>
        <family val="0"/>
        <charset val="1"/>
      </rPr>
      <t xml:space="preserve">(config</t>
    </r>
    <r>
      <rPr>
        <sz val="9"/>
        <color rgb="FF7F7F7F"/>
        <rFont val="Arial Unicode MS"/>
        <family val="2"/>
      </rPr>
      <t xml:space="preserve">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归母口径</t>
    </r>
    <r>
      <rPr>
        <sz val="9"/>
        <color rgb="FF7F7F7F"/>
        <rFont val="Microsoft YaHei"/>
        <family val="0"/>
        <charset val="1"/>
      </rPr>
      <t xml:space="preserve">=hist.cf.np);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×(1-</t>
    </r>
    <r>
      <rPr>
        <sz val="9"/>
        <color rgb="FF7F7F7F"/>
        <rFont val="Arial Unicode MS"/>
        <family val="2"/>
      </rPr>
      <t xml:space="preserve">少数股东损益占比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</si>
  <si>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少数股东损益</t>
  </si>
  <si>
    <r>
      <rPr>
        <sz val="9"/>
        <color rgb="FF7F7F7F"/>
        <rFont val="Arial Unicode MS"/>
        <family val="2"/>
      </rPr>
      <t xml:space="preserve">＝净利润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归母净利润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历史为合并与归母口径差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倒挤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×mi_share</t>
    </r>
  </si>
  <si>
    <t xml:space="preserve">  归母净利率</t>
  </si>
  <si>
    <t xml:space="preserve">2025A 20.2%</t>
  </si>
  <si>
    <r>
      <rPr>
        <sz val="10"/>
        <color rgb="FF000000"/>
        <rFont val="Microsoft YaHei"/>
        <family val="0"/>
        <charset val="1"/>
      </rPr>
      <t xml:space="preserve">EPS(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</si>
  <si>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现</t>
    </r>
    <r>
      <rPr>
        <sz val="9"/>
        <color rgb="FF7F7F7F"/>
        <rFont val="Microsoft YaHei"/>
        <family val="0"/>
        <charset val="1"/>
      </rPr>
      <t xml:space="preserve">=19.24</t>
    </r>
    <r>
      <rPr>
        <sz val="9"/>
        <color rgb="FF7F7F7F"/>
        <rFont val="Arial Unicode MS"/>
        <family val="2"/>
      </rPr>
      <t xml:space="preserve">亿股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</si>
  <si>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EBIT (</t>
    </r>
    <r>
      <rPr>
        <b val="true"/>
        <sz val="10"/>
        <color rgb="FF000000"/>
        <rFont val="Arial Unicode MS"/>
        <family val="2"/>
      </rPr>
      <t xml:space="preserve">利润总额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财务费用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</si>
  <si>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计算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</si>
  <si>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BS </t>
    </r>
    <r>
      <rPr>
        <b val="true"/>
        <sz val="13"/>
        <color rgb="FFFFFFFF"/>
        <rFont val="Arial Unicode MS"/>
        <family val="2"/>
      </rPr>
      <t xml:space="preserve">资产负债表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</si>
  <si>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配平机制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理财承接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配平差额检查行应恒</t>
    </r>
    <r>
      <rPr>
        <sz val="9"/>
        <color rgb="FF7F7F7F"/>
        <rFont val="Microsoft YaHei"/>
        <family val="0"/>
        <charset val="1"/>
      </rPr>
      <t xml:space="preserve">=0</t>
    </r>
  </si>
  <si>
    <t xml:space="preserve">货币资金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</si>
  <si>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</si>
  <si>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交易性金融资产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</si>
  <si>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理财期末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溢出承接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</si>
  <si>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应收票据及应收账款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</si>
  <si>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</si>
  <si>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t xml:space="preserve">预付款项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</si>
  <si>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×0.5%</t>
    </r>
  </si>
  <si>
    <t xml:space="preserve">其他应收款</t>
  </si>
  <si>
    <t xml:space="preserve">预测持平</t>
  </si>
  <si>
    <t xml:space="preserve">存货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</si>
  <si>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</si>
  <si>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应收款项融资及其他流动资产</t>
  </si>
  <si>
    <r>
      <rPr>
        <sz val="9"/>
        <color rgb="FF7F7F7F"/>
        <rFont val="Arial Unicode MS"/>
        <family val="2"/>
      </rPr>
      <t xml:space="preserve">含应收款项融资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其他流动资产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</si>
  <si>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流动资产合计</t>
  </si>
  <si>
    <t xml:space="preserve">固定资产及在建工程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</si>
  <si>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页期末合计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57.1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24.6</t>
    </r>
    <r>
      <rPr>
        <sz val="9"/>
        <color rgb="FF7F7F7F"/>
        <rFont val="Arial Unicode MS"/>
        <family val="2"/>
      </rPr>
      <t xml:space="preserve">亿</t>
    </r>
  </si>
  <si>
    <t xml:space="preserve">使用权资产</t>
  </si>
  <si>
    <t xml:space="preserve">无形资产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</si>
  <si>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  <r>
      <rPr>
        <sz val="9"/>
        <color rgb="FF7F7F7F"/>
        <rFont val="Microsoft YaHei"/>
        <family val="0"/>
        <charset val="1"/>
      </rPr>
      <t xml:space="preserve">(Schedules)</t>
    </r>
  </si>
  <si>
    <t xml:space="preserve">商誉</t>
  </si>
  <si>
    <t xml:space="preserve">长期待摊费用</t>
  </si>
  <si>
    <t xml:space="preserve">递延所得税资产</t>
  </si>
  <si>
    <t xml:space="preserve">其他权益工具投资</t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</si>
  <si>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4.9</t>
    </r>
    <r>
      <rPr>
        <sz val="9"/>
        <color rgb="FF7F7F7F"/>
        <rFont val="Arial Unicode MS"/>
        <family val="2"/>
      </rPr>
      <t xml:space="preserve">亿已计入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</si>
  <si>
    <t xml:space="preserve">其他非流动资产</t>
  </si>
  <si>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</si>
  <si>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非流动资产合计</t>
  </si>
  <si>
    <t xml:space="preserve">资产总计</t>
  </si>
  <si>
    <r>
      <rPr>
        <sz val="9"/>
        <color rgb="FF7F7F7F"/>
        <rFont val="Microsoft YaHei"/>
        <family val="0"/>
        <charset val="1"/>
      </rPr>
      <t xml:space="preserve">2025A 282.5</t>
    </r>
    <r>
      <rPr>
        <sz val="9"/>
        <color rgb="FF7F7F7F"/>
        <rFont val="Arial Unicode MS"/>
        <family val="2"/>
      </rPr>
      <t xml:space="preserve">亿</t>
    </r>
  </si>
  <si>
    <t xml:space="preserve">短期借款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</si>
  <si>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 revolver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缺口新增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</si>
  <si>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应付票据及应付账款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</si>
  <si>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</si>
  <si>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t xml:space="preserve">合同负债</t>
  </si>
  <si>
    <t xml:space="preserve">应付职工薪酬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</si>
  <si>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×2.8%</t>
    </r>
  </si>
  <si>
    <t xml:space="preserve">应交税费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</si>
  <si>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×1.5%</t>
    </r>
  </si>
  <si>
    <t xml:space="preserve">其他应付款</t>
  </si>
  <si>
    <t xml:space="preserve">一年内到期的非流动负债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</si>
  <si>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计划还款摊还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</si>
  <si>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其他流动负债</t>
  </si>
  <si>
    <t xml:space="preserve">流动负债合计</t>
  </si>
  <si>
    <t xml:space="preserve">长期借款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</si>
  <si>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+sweep)</t>
    </r>
  </si>
  <si>
    <t xml:space="preserve">租赁负债</t>
  </si>
  <si>
    <t xml:space="preserve">其他非流动负债</t>
  </si>
  <si>
    <r>
      <rPr>
        <sz val="9"/>
        <color rgb="FF7F7F7F"/>
        <rFont val="Arial Unicode MS"/>
        <family val="2"/>
      </rPr>
      <t xml:space="preserve">含递延收益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递延所得税负债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</si>
  <si>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非流动负债合计</t>
  </si>
  <si>
    <t xml:space="preserve">负债合计</t>
  </si>
  <si>
    <t xml:space="preserve">股本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</si>
  <si>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</si>
  <si>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资本公积</t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</si>
  <si>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</t>
    </r>
    <r>
      <rPr>
        <sz val="10"/>
        <color rgb="FF000000"/>
        <rFont val="Arial Unicode MS"/>
        <family val="2"/>
      </rPr>
      <t xml:space="preserve">库存股</t>
    </r>
  </si>
  <si>
    <t xml:space="preserve">其他综合收益</t>
  </si>
  <si>
    <t xml:space="preserve">盈余公积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</si>
  <si>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×10%)</t>
    </r>
  </si>
  <si>
    <t xml:space="preserve">未分配利润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</si>
  <si>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</si>
  <si>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</si>
  <si>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历史尾差已并入本行清零</t>
    </r>
  </si>
  <si>
    <t xml:space="preserve">归母所有者权益合计</t>
  </si>
  <si>
    <t xml:space="preserve">少数股东权益</t>
  </si>
  <si>
    <t xml:space="preserve">所有者权益合计</t>
  </si>
  <si>
    <t xml:space="preserve">负债和所有者权益总计</t>
  </si>
  <si>
    <r>
      <rPr>
        <b val="true"/>
        <sz val="10"/>
        <color rgb="FFCC0000"/>
        <rFont val="Arial Unicode MS"/>
        <family val="2"/>
      </rPr>
      <t xml:space="preserve">配平差额检查</t>
    </r>
    <r>
      <rPr>
        <b val="true"/>
        <sz val="10"/>
        <color rgb="FFCC0000"/>
        <rFont val="Microsoft YaHei"/>
        <family val="0"/>
        <charset val="1"/>
      </rPr>
      <t xml:space="preserve">(</t>
    </r>
    <r>
      <rPr>
        <b val="true"/>
        <sz val="10"/>
        <color rgb="FFCC0000"/>
        <rFont val="Arial Unicode MS"/>
        <family val="2"/>
      </rPr>
      <t xml:space="preserve">资产</t>
    </r>
    <r>
      <rPr>
        <b val="true"/>
        <sz val="10"/>
        <color rgb="FFCC0000"/>
        <rFont val="Microsoft YaHei"/>
        <family val="0"/>
        <charset val="1"/>
      </rPr>
      <t xml:space="preserve">-</t>
    </r>
    <r>
      <rPr>
        <b val="true"/>
        <sz val="10"/>
        <color rgb="FFCC0000"/>
        <rFont val="Arial Unicode MS"/>
        <family val="2"/>
      </rPr>
      <t xml:space="preserve">负债权益</t>
    </r>
    <r>
      <rPr>
        <b val="true"/>
        <sz val="10"/>
        <color rgb="FFCC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</si>
  <si>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应恒</t>
    </r>
    <r>
      <rPr>
        <sz val="9"/>
        <color rgb="FF7F7F7F"/>
        <rFont val="Microsoft YaHei"/>
        <family val="0"/>
        <charset val="1"/>
      </rPr>
      <t xml:space="preserve">=0(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0.01); Checks</t>
    </r>
    <r>
      <rPr>
        <sz val="9"/>
        <color rgb="FF7F7F7F"/>
        <rFont val="Arial Unicode MS"/>
        <family val="2"/>
      </rPr>
      <t xml:space="preserve">页汇总校验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</si>
  <si>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CF </t>
    </r>
    <r>
      <rPr>
        <b val="true"/>
        <sz val="13"/>
        <color rgb="FFFFFFFF"/>
        <rFont val="Arial Unicode MS"/>
        <family val="2"/>
      </rPr>
      <t xml:space="preserve">现金流量表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间接法</t>
    </r>
    <r>
      <rPr>
        <b val="true"/>
        <sz val="13"/>
        <color rgb="FFFFFFFF"/>
        <rFont val="Microsoft YaHei"/>
        <family val="0"/>
        <charset val="1"/>
      </rPr>
      <t xml:space="preserve">, 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</si>
  <si>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利息支出经营加回、筹资列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偿付利息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投资含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</si>
  <si>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</si>
  <si>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折旧与摊销</t>
    </r>
    <r>
      <rPr>
        <sz val="10"/>
        <color rgb="FF000000"/>
        <rFont val="Microsoft YaHei"/>
        <family val="0"/>
        <charset val="1"/>
      </rPr>
      <t xml:space="preserve">(D&amp;A)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</si>
  <si>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固定资产折旧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长待摊摊销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页合计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</si>
  <si>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重分类至筹资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</si>
  <si>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利润表中利息属筹资活动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经营现金流加回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历史未拆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</si>
  <si>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营运资本变动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增加为负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</si>
  <si>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=-ΔNWC(Schedules)</t>
    </r>
  </si>
  <si>
    <t xml:space="preserve">经营活动现金流量净额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</si>
  <si>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含利息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口径与预测略有差异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</si>
  <si>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资本开支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购建长期资产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</si>
  <si>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</si>
  <si>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处置固定资产回收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账面值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</si>
  <si>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页处置额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按账面值回收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无损益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</si>
  <si>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</si>
  <si>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溢出购买为流出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</si>
  <si>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投资活动现金流量净额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</si>
  <si>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资本开支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理财净变动</t>
    </r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</si>
  <si>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新增为正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</si>
  <si>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/sweep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</si>
  <si>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偿付利息</t>
  </si>
  <si>
    <t xml:space="preserve">利息支出列筹资活动</t>
  </si>
  <si>
    <t xml:space="preserve">股利支付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</si>
  <si>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</t>
    </r>
  </si>
  <si>
    <t xml:space="preserve">筹资活动现金流量净额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</si>
  <si>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债务净变动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股利</t>
    </r>
  </si>
  <si>
    <t xml:space="preserve">货币资金净增加额</t>
  </si>
  <si>
    <t xml:space="preserve">期初货币资金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</si>
  <si>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末货币资金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</si>
  <si>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(=BS</t>
    </r>
    <r>
      <rPr>
        <b val="true"/>
        <sz val="10"/>
        <color rgb="FF000000"/>
        <rFont val="Arial Unicode MS"/>
        <family val="2"/>
      </rPr>
      <t xml:space="preserve">货币资金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</si>
  <si>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净增加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</si>
  <si>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Schedules </t>
    </r>
    <r>
      <rPr>
        <b val="true"/>
        <sz val="13"/>
        <color rgb="FFFFFFFF"/>
        <rFont val="Arial Unicode MS"/>
        <family val="2"/>
      </rPr>
      <t xml:space="preserve">营运资本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无形资产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股利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</si>
  <si>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PP&amp;E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债务与利息见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预测行全公式</t>
    </r>
  </si>
  <si>
    <r>
      <rPr>
        <b val="true"/>
        <sz val="10"/>
        <color rgb="FF1F3864"/>
        <rFont val="Arial Unicode MS"/>
        <family val="2"/>
      </rPr>
      <t xml:space="preserve">一、营运资本 </t>
    </r>
    <r>
      <rPr>
        <b val="true"/>
        <sz val="10"/>
        <color rgb="FF1F3864"/>
        <rFont val="Microsoft YaHei"/>
        <family val="0"/>
        <charset val="1"/>
      </rPr>
      <t xml:space="preserve">(NWC)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</si>
  <si>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</si>
  <si>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预付率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</si>
  <si>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</si>
  <si>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</si>
  <si>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经营性流动资产小计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</si>
  <si>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</si>
  <si>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</si>
  <si>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比率</t>
    </r>
  </si>
  <si>
    <t xml:space="preserve">经营性流动负债小计</t>
  </si>
  <si>
    <r>
      <rPr>
        <b val="true"/>
        <sz val="10"/>
        <color rgb="FF000000"/>
        <rFont val="Arial Unicode MS"/>
        <family val="2"/>
      </rPr>
      <t xml:space="preserve">净营运资本 </t>
    </r>
    <r>
      <rPr>
        <b val="true"/>
        <sz val="10"/>
        <color rgb="FF000000"/>
        <rFont val="Microsoft YaHei"/>
        <family val="0"/>
        <charset val="1"/>
      </rPr>
      <t xml:space="preserve">NWC</t>
    </r>
  </si>
  <si>
    <r>
      <rPr>
        <sz val="9"/>
        <color rgb="FF7F7F7F"/>
        <rFont val="Arial Unicode MS"/>
        <family val="2"/>
      </rPr>
      <t xml:space="preserve">＝经营性流动资产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经营性流动负债</t>
    </r>
  </si>
  <si>
    <r>
      <rPr>
        <sz val="10"/>
        <color rgb="FF000000"/>
        <rFont val="Microsoft YaHei"/>
        <family val="0"/>
        <charset val="1"/>
      </rPr>
      <t xml:space="preserve">ΔNWC 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</si>
  <si>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中扣减项</t>
    </r>
  </si>
  <si>
    <t xml:space="preserve">二、无形资产摊销</t>
  </si>
  <si>
    <t xml:space="preserve">期初无形资产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</si>
  <si>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期末</t>
    </r>
  </si>
  <si>
    <t xml:space="preserve">无形资产摊销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</si>
  <si>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×8%</t>
    </r>
  </si>
  <si>
    <t xml:space="preserve">期末无形资产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</si>
  <si>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</si>
  <si>
    <t xml:space="preserve">三、股利</t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</si>
  <si>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当年支付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</si>
  <si>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＝上年归母净利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支付率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</si>
  <si>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PP&amp;E </t>
    </r>
    <r>
      <rPr>
        <b val="true"/>
        <sz val="13"/>
        <color rgb="FFFFFFFF"/>
        <rFont val="Arial Unicode MS"/>
        <family val="2"/>
      </rPr>
      <t xml:space="preserve">固定资产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在建工程滚动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</si>
  <si>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固定资产与在建工程分行滚动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 </t>
    </r>
    <r>
      <rPr>
        <sz val="9"/>
        <color rgb="FF7F7F7F"/>
        <rFont val="Microsoft YaHei"/>
        <family val="0"/>
        <charset val="1"/>
      </rPr>
      <t xml:space="preserve">/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隐含折旧率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年限校验行在底部</t>
    </r>
  </si>
  <si>
    <r>
      <rPr>
        <b val="true"/>
        <sz val="10"/>
        <color rgb="FF1F3864"/>
        <rFont val="Arial Unicode MS"/>
        <family val="2"/>
      </rPr>
      <t xml:space="preserve">一、固定资产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净值口径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</si>
  <si>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期初固定资产净值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</si>
  <si>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固定资产</t>
    </r>
    <r>
      <rPr>
        <sz val="9"/>
        <color rgb="FF7F7F7F"/>
        <rFont val="Microsoft YaHei"/>
        <family val="0"/>
        <charset val="1"/>
      </rPr>
      <t xml:space="preserve">57.1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,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</si>
  <si>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在建工程转入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</si>
  <si>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</t>
    </r>
    <r>
      <rPr>
        <sz val="9"/>
        <color rgb="FF7F7F7F"/>
        <rFont val="Arial Unicode MS"/>
        <family val="2"/>
      </rPr>
      <t xml:space="preserve">转固率</t>
    </r>
    <r>
      <rPr>
        <sz val="9"/>
        <color rgb="FF7F7F7F"/>
        <rFont val="Microsoft YaHei"/>
        <family val="0"/>
        <charset val="1"/>
      </rPr>
      <t xml:space="preserve">75%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</si>
  <si>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固定资产折旧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</si>
  <si>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×12%+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×4%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</si>
  <si>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</si>
  <si>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×1%</t>
    </r>
  </si>
  <si>
    <t xml:space="preserve">期末固定资产净值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</si>
  <si>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</t>
    </r>
  </si>
  <si>
    <t xml:space="preserve">二、在建工程</t>
  </si>
  <si>
    <t xml:space="preserve">期初在建工程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</si>
  <si>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在建工程</t>
    </r>
    <r>
      <rPr>
        <sz val="9"/>
        <color rgb="FF7F7F7F"/>
        <rFont val="Microsoft YaHei"/>
        <family val="0"/>
        <charset val="1"/>
      </rPr>
      <t xml:space="preserve">24.6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); 5706.3+2460.0=8166.3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一致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</si>
  <si>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资本开支 </t>
    </r>
    <r>
      <rPr>
        <sz val="10"/>
        <color rgb="FF000000"/>
        <rFont val="Microsoft YaHei"/>
        <family val="0"/>
        <charset val="1"/>
      </rPr>
      <t xml:space="preserve">Capex</t>
    </r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</si>
  <si>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占收入比</t>
    </r>
    <r>
      <rPr>
        <sz val="9"/>
        <color rgb="FF7F7F7F"/>
        <rFont val="Microsoft YaHei"/>
        <family val="0"/>
        <charset val="1"/>
      </rPr>
      <t xml:space="preserve">(Assumptions)</t>
    </r>
  </si>
  <si>
    <t xml:space="preserve">期末在建工程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</si>
  <si>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</si>
  <si>
    <t xml:space="preserve">三、合计与校验</t>
  </si>
  <si>
    <r>
      <rPr>
        <b val="true"/>
        <sz val="10"/>
        <color rgb="FF000000"/>
        <rFont val="Arial Unicode MS"/>
        <family val="2"/>
      </rPr>
      <t xml:space="preserve">固定资产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在建工程 期末合计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</si>
  <si>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固定资产及在建工程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81.7</t>
    </r>
    <r>
      <rPr>
        <sz val="9"/>
        <color rgb="FF7F7F7F"/>
        <rFont val="Arial Unicode MS"/>
        <family val="2"/>
      </rPr>
      <t xml:space="preserve">亿</t>
    </r>
  </si>
  <si>
    <r>
      <rPr>
        <b val="true"/>
        <sz val="10"/>
        <color rgb="FF000000"/>
        <rFont val="Microsoft YaHei"/>
        <family val="0"/>
        <charset val="1"/>
      </rPr>
      <t xml:space="preserve">D&amp;A 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折旧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无形摊销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</si>
  <si>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＝折旧</t>
    </r>
    <r>
      <rPr>
        <sz val="9"/>
        <color rgb="FF7F7F7F"/>
        <rFont val="Microsoft YaHei"/>
        <family val="0"/>
        <charset val="1"/>
      </rPr>
      <t xml:space="preserve">+Schedules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</si>
  <si>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</si>
  <si>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</si>
  <si>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隐含折旧年限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</si>
  <si>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机器设备为主</t>
    </r>
    <r>
      <rPr>
        <sz val="9"/>
        <color rgb="FF7F7F7F"/>
        <rFont val="Microsoft YaHei"/>
        <family val="0"/>
        <charset val="1"/>
      </rPr>
      <t xml:space="preserve">, 5-10</t>
    </r>
    <r>
      <rPr>
        <sz val="9"/>
        <color rgb="FF7F7F7F"/>
        <rFont val="Arial Unicode MS"/>
        <family val="2"/>
      </rPr>
      <t xml:space="preserve">年为合理带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</si>
  <si>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FIN </t>
    </r>
    <r>
      <rPr>
        <b val="true"/>
        <sz val="13"/>
        <color rgb="FFFFFFFF"/>
        <rFont val="Arial Unicode MS"/>
        <family val="2"/>
      </rPr>
      <t xml:space="preserve">债务与融资调度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迭代展开</t>
    </r>
    <r>
      <rPr>
        <b val="true"/>
        <sz val="13"/>
        <color rgb="FFFFFFFF"/>
        <rFont val="Microsoft YaHei"/>
        <family val="0"/>
        <charset val="1"/>
      </rPr>
      <t xml:space="preserve">·</t>
    </r>
    <r>
      <rPr>
        <b val="true"/>
        <sz val="13"/>
        <color rgb="FFFFFFFF"/>
        <rFont val="Arial Unicode MS"/>
        <family val="2"/>
      </rPr>
      <t xml:space="preserve">无循环引用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</si>
  <si>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瀑布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期初现金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CF+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CF(</t>
    </r>
    <r>
      <rPr>
        <sz val="9"/>
        <color rgb="FF7F7F7F"/>
        <rFont val="Arial Unicode MS"/>
        <family val="2"/>
      </rPr>
      <t xml:space="preserve">不含理财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利息→缺口</t>
    </r>
    <r>
      <rPr>
        <sz val="9"/>
        <color rgb="FF7F7F7F"/>
        <rFont val="Microsoft YaHei"/>
        <family val="0"/>
        <charset val="1"/>
      </rPr>
      <t xml:space="preserve">=revolver</t>
    </r>
    <r>
      <rPr>
        <sz val="9"/>
        <color rgb="FF7F7F7F"/>
        <rFont val="Arial Unicode MS"/>
        <family val="2"/>
      </rPr>
      <t xml:space="preserve">新增借款→超额现金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还短借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长借→溢出购理财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利率的循环链在下方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四、迭代展开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区表内展开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末轮输出供全簿引用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</si>
  <si>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b val="true"/>
        <sz val="10"/>
        <color rgb="FF1F3864"/>
        <rFont val="Arial Unicode MS"/>
        <family val="2"/>
      </rPr>
      <t xml:space="preserve">一、资金瀑布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融资需求与可动用现金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</si>
  <si>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以后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上年期末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</si>
  <si>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经营活动现金流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不含利息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</si>
  <si>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经营净额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利息已重分类至筹资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</si>
  <si>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投资活动现金流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</si>
  <si>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-Capex+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</si>
  <si>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计划分红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</si>
  <si>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 (Schedules)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</si>
  <si>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偿付利息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</si>
  <si>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本页利息支出合计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</si>
  <si>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实际还款合计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</si>
  <si>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＝四档实际还款加总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=MIN(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))</t>
    </r>
  </si>
  <si>
    <t xml:space="preserve">融资前现金结余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</si>
  <si>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还款</t>
    </r>
  </si>
  <si>
    <t xml:space="preserve">最低现金</t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</si>
  <si>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×2% (Assumptions)</t>
    </r>
  </si>
  <si>
    <r>
      <rPr>
        <b val="true"/>
        <sz val="10"/>
        <color rgb="FF000000"/>
        <rFont val="Arial Unicode MS"/>
        <family val="2"/>
      </rPr>
      <t xml:space="preserve">资金缺口→新增借款</t>
    </r>
    <r>
      <rPr>
        <b val="true"/>
        <sz val="10"/>
        <color rgb="FF000000"/>
        <rFont val="Microsoft YaHei"/>
        <family val="0"/>
        <charset val="1"/>
      </rPr>
      <t xml:space="preserve">(revolver)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</si>
  <si>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</si>
  <si>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可动用现金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还债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购理财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</si>
  <si>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</si>
  <si>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短期借款 </t>
    </r>
    <r>
      <rPr>
        <b val="true"/>
        <sz val="10"/>
        <color rgb="FF1F3864"/>
        <rFont val="Microsoft YaHei"/>
        <family val="0"/>
        <charset val="1"/>
      </rPr>
      <t xml:space="preserve">(revolver: </t>
    </r>
    <r>
      <rPr>
        <b val="true"/>
        <sz val="10"/>
        <color rgb="FF1F3864"/>
        <rFont val="Arial Unicode MS"/>
        <family val="2"/>
      </rPr>
      <t xml:space="preserve">新增借款入口</t>
    </r>
    <r>
      <rPr>
        <b val="true"/>
        <sz val="10"/>
        <color rgb="FF1F3864"/>
        <rFont val="Microsoft YaHei"/>
        <family val="0"/>
        <charset val="1"/>
      </rPr>
      <t xml:space="preserve">, sweep</t>
    </r>
    <r>
      <rPr>
        <b val="true"/>
        <sz val="10"/>
        <color rgb="FF1F3864"/>
        <rFont val="Arial Unicode MS"/>
        <family val="2"/>
      </rPr>
      <t xml:space="preserve">第一顺位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</si>
  <si>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期初余额</t>
  </si>
  <si>
    <t xml:space="preserve">上年期末</t>
  </si>
  <si>
    <r>
      <rPr>
        <sz val="10"/>
        <color rgb="FF000000"/>
        <rFont val="Arial Unicode MS"/>
        <family val="2"/>
      </rPr>
      <t xml:space="preserve">计划还款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</si>
  <si>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rep_st</t>
    </r>
  </si>
  <si>
    <r>
      <rPr>
        <sz val="10"/>
        <color rgb="FF000000"/>
        <rFont val="Arial Unicode MS"/>
        <family val="2"/>
      </rPr>
      <t xml:space="preserve">实际还款</t>
    </r>
    <r>
      <rPr>
        <sz val="10"/>
        <color rgb="FF000000"/>
        <rFont val="Microsoft YaHei"/>
        <family val="0"/>
        <charset val="1"/>
      </rPr>
      <t xml:space="preserve">(≤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</si>
  <si>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防止债务清零后仍按计划额扣现金</t>
    </r>
  </si>
  <si>
    <t xml:space="preserve">新增借款</t>
  </si>
  <si>
    <r>
      <rPr>
        <sz val="9"/>
        <color rgb="FF7F7F7F"/>
        <rFont val="Arial Unicode MS"/>
        <family val="2"/>
      </rPr>
      <t xml:space="preserve">＝资金缺口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全部经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融入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</si>
  <si>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前未偿余额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</si>
  <si>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</si>
  <si>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偿还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</si>
  <si>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可动用现金余额</t>
    </r>
    <r>
      <rPr>
        <sz val="9"/>
        <color rgb="FF7F7F7F"/>
        <rFont val="Microsoft YaHei"/>
        <family val="0"/>
        <charset val="1"/>
      </rPr>
      <t xml:space="preserve">, 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</si>
  <si>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期末余额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</si>
  <si>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-sweep</t>
    </r>
  </si>
  <si>
    <t xml:space="preserve">平均余额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</si>
  <si>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)/2</t>
    </r>
  </si>
  <si>
    <t xml:space="preserve">利息支出</t>
  </si>
  <si>
    <r>
      <rPr>
        <sz val="9"/>
        <color rgb="FF7F7F7F"/>
        <rFont val="Arial Unicode MS"/>
        <family val="2"/>
      </rPr>
      <t xml:space="preserve">＝平均余额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按期末余额重算的隐含值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与采用值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轮迭代输出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之差见下方残差行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</si>
  <si>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一年内到期的非流动负债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</si>
  <si>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rep_cur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</si>
  <si>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</si>
  <si>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长期借款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计划还款</t>
    </r>
    <r>
      <rPr>
        <b val="true"/>
        <sz val="10"/>
        <color rgb="FF1F3864"/>
        <rFont val="Microsoft YaHei"/>
        <family val="0"/>
        <charset val="1"/>
      </rPr>
      <t xml:space="preserve">+sweep</t>
    </r>
    <r>
      <rPr>
        <b val="true"/>
        <sz val="10"/>
        <color rgb="FF1F3864"/>
        <rFont val="Arial Unicode MS"/>
        <family val="2"/>
      </rPr>
      <t xml:space="preserve">第二顺位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</si>
  <si>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rep_lt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</si>
  <si>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租赁负债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</si>
  <si>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rep_lease</t>
    </r>
  </si>
  <si>
    <r>
      <rPr>
        <b val="true"/>
        <sz val="10"/>
        <color rgb="FF1F3864"/>
        <rFont val="Arial Unicode MS"/>
        <family val="2"/>
      </rPr>
      <t xml:space="preserve">三、汇总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理财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现金期末</t>
    </r>
  </si>
  <si>
    <t xml:space="preserve">有息负债期初合计</t>
  </si>
  <si>
    <t xml:space="preserve">四档期初加总</t>
  </si>
  <si>
    <t xml:space="preserve">有息负债期末合计</t>
  </si>
  <si>
    <t xml:space="preserve">四档期末加总</t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</si>
  <si>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</si>
  <si>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筹资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</si>
  <si>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</si>
  <si>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sweep+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sweep</t>
    </r>
  </si>
  <si>
    <t xml:space="preserve">溢出资金→购买理财</t>
  </si>
  <si>
    <r>
      <rPr>
        <sz val="9"/>
        <color rgb="FF7F7F7F"/>
        <rFont val="Arial Unicode MS"/>
        <family val="2"/>
      </rPr>
      <t xml:space="preserve">＝可动用现金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债务清零后剩余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</si>
  <si>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期初交易性金融资产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</si>
  <si>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0.00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</si>
  <si>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期末交易性金融资产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</si>
  <si>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溢出购买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简化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缺口年不赎回</t>
    </r>
  </si>
  <si>
    <t xml:space="preserve">理财净变动</t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</si>
  <si>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投资活动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</si>
  <si>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</t>
    </r>
    <r>
      <rPr>
        <b val="true"/>
        <sz val="10"/>
        <color rgb="FF000000"/>
        <rFont val="Arial Unicode MS"/>
        <family val="2"/>
      </rPr>
      <t xml:space="preserve">最低现金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</si>
  <si>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-sweep-</t>
    </r>
    <r>
      <rPr>
        <sz val="9"/>
        <color rgb="FF7F7F7F"/>
        <rFont val="Arial Unicode MS"/>
        <family val="2"/>
      </rPr>
      <t xml:space="preserve">溢出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恒等于最低现金</t>
    </r>
  </si>
  <si>
    <t xml:space="preserve">利息支出合计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</si>
  <si>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四档平均余额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上方分档利息行为隐含重算值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差额见残差行</t>
    </r>
  </si>
  <si>
    <t xml:space="preserve">利息收入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</si>
  <si>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货币资金平均余额</t>
    </r>
    <r>
      <rPr>
        <sz val="9"/>
        <color rgb="FF7F7F7F"/>
        <rFont val="Microsoft YaHei"/>
        <family val="0"/>
        <charset val="1"/>
      </rPr>
      <t xml:space="preserve">×1.2%)</t>
    </r>
  </si>
  <si>
    <t xml:space="preserve">其他财务费用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</si>
  <si>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30</t>
    </r>
    <r>
      <rPr>
        <sz val="9"/>
        <color rgb="FF7F7F7F"/>
        <rFont val="Arial Unicode MS"/>
        <family val="2"/>
      </rPr>
      <t xml:space="preserve">百万</t>
    </r>
  </si>
  <si>
    <r>
      <rPr>
        <b val="true"/>
        <sz val="10"/>
        <color rgb="FF000000"/>
        <rFont val="Arial Unicode MS"/>
        <family val="2"/>
      </rPr>
      <t xml:space="preserve">财务费用净额</t>
    </r>
    <r>
      <rPr>
        <b val="true"/>
        <sz val="10"/>
        <color rgb="FF000000"/>
        <rFont val="Microsoft YaHei"/>
        <family val="0"/>
        <charset val="1"/>
      </rPr>
      <t xml:space="preserve">(→IS)</t>
    </r>
  </si>
  <si>
    <r>
      <rPr>
        <sz val="9"/>
        <color rgb="FF7F7F7F"/>
        <rFont val="Arial Unicode MS"/>
        <family val="2"/>
      </rPr>
      <t xml:space="preserve">＝利息支出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其他</t>
    </r>
  </si>
  <si>
    <r>
      <rPr>
        <b val="true"/>
        <sz val="10"/>
        <color rgb="FF1F3864"/>
        <rFont val="Arial Unicode MS"/>
        <family val="2"/>
      </rPr>
      <t xml:space="preserve">四、迭代展开 </t>
    </r>
    <r>
      <rPr>
        <b val="true"/>
        <sz val="10"/>
        <color rgb="FF1F3864"/>
        <rFont val="Microsoft YaHei"/>
        <family val="0"/>
        <charset val="1"/>
      </rPr>
      <t xml:space="preserve">(iteration unrolling — </t>
    </r>
    <r>
      <rPr>
        <b val="true"/>
        <sz val="10"/>
        <color rgb="FF1F3864"/>
        <rFont val="Arial Unicode MS"/>
        <family val="2"/>
      </rPr>
      <t xml:space="preserve">循环链表内展开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替代</t>
    </r>
    <r>
      <rPr>
        <b val="true"/>
        <sz val="10"/>
        <color rgb="FF1F3864"/>
        <rFont val="Microsoft YaHei"/>
        <family val="0"/>
        <charset val="1"/>
      </rPr>
      <t xml:space="preserve">Excel</t>
    </r>
    <r>
      <rPr>
        <b val="true"/>
        <sz val="10"/>
        <color rgb="FF1F3864"/>
        <rFont val="Arial Unicode MS"/>
        <family val="2"/>
      </rPr>
      <t xml:space="preserve">迭代计算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</si>
  <si>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方法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1</t>
    </r>
    <r>
      <rPr>
        <sz val="9"/>
        <color rgb="FF7F7F7F"/>
        <rFont val="Arial Unicode MS"/>
        <family val="2"/>
      </rPr>
      <t xml:space="preserve">轮按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期初债务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计息→算期末债务₁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现金₁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k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(k=2..4)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"(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上轮期末</t>
    </r>
    <r>
      <rPr>
        <sz val="9"/>
        <color rgb="FF7F7F7F"/>
        <rFont val="Microsoft YaHei"/>
        <family val="0"/>
        <charset val="1"/>
      </rPr>
      <t xml:space="preserve">)/2×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重算→期末</t>
    </r>
    <r>
      <rPr>
        <sz val="9"/>
        <color rgb="FF7F7F7F"/>
        <rFont val="Microsoft YaHei"/>
        <family val="0"/>
        <charset val="1"/>
      </rPr>
      <t xml:space="preserve">_k;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轮输出回填上方汇总行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利息支出合计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财务费用净额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IS/CF/BS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每轮残差</t>
    </r>
    <r>
      <rPr>
        <sz val="9"/>
        <color rgb="FF7F7F7F"/>
        <rFont val="Microsoft YaHei"/>
        <family val="0"/>
        <charset val="1"/>
      </rPr>
      <t xml:space="preserve">=|Δ</t>
    </r>
    <r>
      <rPr>
        <sz val="9"/>
        <color rgb="FF7F7F7F"/>
        <rFont val="Arial Unicode MS"/>
        <family val="2"/>
      </rPr>
      <t xml:space="preserve">利息支出</t>
    </r>
    <r>
      <rPr>
        <sz val="9"/>
        <color rgb="FF7F7F7F"/>
        <rFont val="Microsoft YaHei"/>
        <family val="0"/>
        <charset val="1"/>
      </rPr>
      <t xml:space="preserve">|+|Δ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|(</t>
    </r>
    <r>
      <rPr>
        <sz val="9"/>
        <color rgb="FF7F7F7F"/>
        <rFont val="Arial Unicode MS"/>
        <family val="2"/>
      </rPr>
      <t xml:space="preserve">相对上轮</t>
    </r>
    <r>
      <rPr>
        <sz val="9"/>
        <color rgb="FF7F7F7F"/>
        <rFont val="Microsoft YaHei"/>
        <family val="0"/>
        <charset val="1"/>
      </rPr>
      <t xml:space="preserve">), &lt;0.01</t>
    </r>
    <r>
      <rPr>
        <sz val="9"/>
        <color rgb="FF7F7F7F"/>
        <rFont val="Arial Unicode MS"/>
        <family val="2"/>
      </rPr>
      <t xml:space="preserve">即收敛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外部不动点法实测</t>
    </r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轮内收敛至</t>
    </r>
    <r>
      <rPr>
        <sz val="9"/>
        <color rgb="FF7F7F7F"/>
        <rFont val="Microsoft YaHei"/>
        <family val="0"/>
        <charset val="1"/>
      </rPr>
      <t xml:space="preserve">1e-8, 4</t>
    </r>
    <r>
      <rPr>
        <sz val="9"/>
        <color rgb="FF7F7F7F"/>
        <rFont val="Arial Unicode MS"/>
        <family val="2"/>
      </rPr>
      <t xml:space="preserve">轮充足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</si>
  <si>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1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(iter1)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</si>
  <si>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期初债务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利率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</si>
  <si>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期初现金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收益率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</si>
  <si>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</si>
  <si>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</si>
  <si>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</si>
  <si>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</si>
  <si>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</si>
  <si>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</si>
  <si>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</si>
  <si>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</si>
  <si>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</si>
  <si>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</si>
  <si>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</si>
  <si>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</si>
  <si>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iter1: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</si>
  <si>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2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(iter2)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</si>
  <si>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</si>
  <si>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</si>
  <si>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</si>
  <si>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</si>
  <si>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</si>
  <si>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</si>
  <si>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</si>
  <si>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</si>
  <si>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</si>
  <si>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</si>
  <si>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</si>
  <si>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</si>
  <si>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</si>
  <si>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</si>
  <si>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iter2: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</si>
  <si>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3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(iter3)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</si>
  <si>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</si>
  <si>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</si>
  <si>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</si>
  <si>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</si>
  <si>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</si>
  <si>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</si>
  <si>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</si>
  <si>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</si>
  <si>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</si>
  <si>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</si>
  <si>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</si>
  <si>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</si>
  <si>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</si>
  <si>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</si>
  <si>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iter3: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</si>
  <si>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(iter4)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</si>
  <si>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</si>
  <si>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</si>
  <si>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</si>
  <si>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</si>
  <si>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</si>
  <si>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</si>
  <si>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</si>
  <si>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</si>
  <si>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</si>
  <si>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</si>
  <si>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</si>
  <si>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</si>
  <si>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</si>
  <si>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</si>
  <si>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iter4: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</si>
  <si>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Arial Unicode MS"/>
        <family val="2"/>
      </rPr>
      <t xml:space="preserve">五、收敛残差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轮采用值 </t>
    </r>
    <r>
      <rPr>
        <b val="true"/>
        <sz val="10"/>
        <color rgb="FF1F3864"/>
        <rFont val="Microsoft YaHei"/>
        <family val="0"/>
        <charset val="1"/>
      </rPr>
      <t xml:space="preserve">vs </t>
    </r>
    <r>
      <rPr>
        <b val="true"/>
        <sz val="10"/>
        <color rgb="FF1F3864"/>
        <rFont val="Arial Unicode MS"/>
        <family val="2"/>
      </rPr>
      <t xml:space="preserve">按期末余额重算隐含值</t>
    </r>
    <r>
      <rPr>
        <b val="true"/>
        <sz val="10"/>
        <color rgb="FF1F3864"/>
        <rFont val="Microsoft YaHei"/>
        <family val="0"/>
        <charset val="1"/>
      </rPr>
      <t xml:space="preserve">, &lt;0.01</t>
    </r>
    <r>
      <rPr>
        <b val="true"/>
        <sz val="10"/>
        <color rgb="FF1F3864"/>
        <rFont val="Arial Unicode MS"/>
        <family val="2"/>
      </rPr>
      <t xml:space="preserve">即收敛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</si>
  <si>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</si>
  <si>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上方四档利息行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加总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</si>
  <si>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利息收入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</si>
  <si>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)/2×1.2%</t>
    </r>
  </si>
  <si>
    <r>
      <rPr>
        <b val="true"/>
        <sz val="10"/>
        <color rgb="FF000000"/>
        <rFont val="Arial Unicode MS"/>
        <family val="2"/>
      </rPr>
      <t xml:space="preserve">残差上限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应</t>
    </r>
    <r>
      <rPr>
        <b val="true"/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</si>
  <si>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两项取大</t>
    </r>
    <r>
      <rPr>
        <sz val="9"/>
        <color rgb="FF7F7F7F"/>
        <rFont val="Microsoft YaHei"/>
        <family val="0"/>
        <charset val="1"/>
      </rPr>
      <t xml:space="preserve">; Checks</t>
    </r>
    <r>
      <rPr>
        <sz val="9"/>
        <color rgb="FF7F7F7F"/>
        <rFont val="Arial Unicode MS"/>
        <family val="2"/>
      </rPr>
      <t xml:space="preserve">页第</t>
    </r>
    <r>
      <rPr>
        <sz val="9"/>
        <color rgb="FF7F7F7F"/>
        <rFont val="Microsoft YaHei"/>
        <family val="0"/>
        <charset val="1"/>
      </rPr>
      <t xml:space="preserve">11</t>
    </r>
    <r>
      <rPr>
        <sz val="9"/>
        <color rgb="FF7F7F7F"/>
        <rFont val="Arial Unicode MS"/>
        <family val="2"/>
      </rPr>
      <t xml:space="preserve">项汇总校验</t>
    </r>
  </si>
  <si>
    <r>
      <rPr>
        <b val="true"/>
        <sz val="10"/>
        <color rgb="FF000000"/>
        <rFont val="Arial Unicode MS"/>
        <family val="2"/>
      </rPr>
      <t xml:space="preserve">收敛判定 </t>
    </r>
    <r>
      <rPr>
        <b val="true"/>
        <sz val="10"/>
        <color rgb="FF000000"/>
        <rFont val="Microsoft YaHei"/>
        <family val="0"/>
        <charset val="1"/>
      </rPr>
      <t xml:space="preserve">(TRUE=</t>
    </r>
    <r>
      <rPr>
        <b val="true"/>
        <sz val="10"/>
        <color rgb="FF000000"/>
        <rFont val="Arial Unicode MS"/>
        <family val="2"/>
      </rPr>
      <t xml:space="preserve">收敛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</si>
  <si>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Equity_Roll </t>
    </r>
    <r>
      <rPr>
        <b val="true"/>
        <sz val="13"/>
        <color rgb="FFFFFFFF"/>
        <rFont val="Arial Unicode MS"/>
        <family val="2"/>
      </rPr>
      <t xml:space="preserve">所有者权益滚动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</si>
  <si>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股本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资本公积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库存股</t>
    </r>
    <r>
      <rPr>
        <sz val="9"/>
        <color rgb="FF7F7F7F"/>
        <rFont val="Microsoft YaHei"/>
        <family val="0"/>
        <charset val="1"/>
      </rPr>
      <t xml:space="preserve">/OCI</t>
    </r>
    <r>
      <rPr>
        <sz val="9"/>
        <color rgb="FF7F7F7F"/>
        <rFont val="Arial Unicode MS"/>
        <family val="2"/>
      </rPr>
      <t xml:space="preserve">持平滚动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盈余公积按归母计提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未分配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</si>
  <si>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不考虑增发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</si>
  <si>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库存股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</si>
  <si>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汇率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公允变动不预测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</si>
  <si>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盈余公积计提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</si>
  <si>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＝当年归母</t>
    </r>
    <r>
      <rPr>
        <sz val="9"/>
        <color rgb="FF7F7F7F"/>
        <rFont val="Microsoft YaHei"/>
        <family val="0"/>
        <charset val="1"/>
      </rPr>
      <t xml:space="preserve">×10% (Assumptions)</t>
    </r>
  </si>
  <si>
    <r>
      <rPr>
        <sz val="10"/>
        <color rgb="FF000000"/>
        <rFont val="Arial Unicode MS"/>
        <family val="2"/>
      </rPr>
      <t xml:space="preserve">盈余公积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</si>
  <si>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计提</t>
    </r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</si>
  <si>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</si>
  <si>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</t>
    </r>
  </si>
  <si>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</si>
  <si>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</si>
  <si>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BS)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</si>
  <si>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持平</t>
    </r>
  </si>
  <si>
    <t xml:space="preserve">稀释股数</t>
  </si>
  <si>
    <r>
      <rPr>
        <sz val="10"/>
        <color rgb="FF000000"/>
        <rFont val="Arial Unicode MS"/>
        <family val="2"/>
      </rPr>
      <t xml:space="preserve">基本股数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总股本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</si>
  <si>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19.24</t>
    </r>
    <r>
      <rPr>
        <sz val="9"/>
        <color rgb="FF7F7F7F"/>
        <rFont val="Arial Unicode MS"/>
        <family val="2"/>
      </rPr>
      <t xml:space="preserve">亿股</t>
    </r>
  </si>
  <si>
    <r>
      <rPr>
        <sz val="10"/>
        <color rgb="FF000000"/>
        <rFont val="Arial Unicode MS"/>
        <family val="2"/>
      </rPr>
      <t xml:space="preserve">稀释工具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可转债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期权等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</si>
  <si>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占位输入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如有流通可转债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期权等稀释工具在此输入</t>
    </r>
  </si>
  <si>
    <r>
      <rPr>
        <b val="true"/>
        <sz val="10"/>
        <color rgb="FF000000"/>
        <rFont val="Arial Unicode MS"/>
        <family val="2"/>
      </rPr>
      <t xml:space="preserve">稀释后股数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</si>
  <si>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DCF/</t>
    </r>
    <r>
      <rPr>
        <sz val="9"/>
        <color rgb="FF7F7F7F"/>
        <rFont val="Arial Unicode MS"/>
        <family val="2"/>
      </rPr>
      <t xml:space="preserve">相对估值</t>
    </r>
    <r>
      <rPr>
        <sz val="9"/>
        <color rgb="FF7F7F7F"/>
        <rFont val="Microsoft YaHei"/>
        <family val="0"/>
        <charset val="1"/>
      </rPr>
      <t xml:space="preserve">/Scenarios</t>
    </r>
    <r>
      <rPr>
        <sz val="9"/>
        <color rgb="FF7F7F7F"/>
        <rFont val="Arial Unicode MS"/>
        <family val="2"/>
      </rPr>
      <t xml:space="preserve">每股口径统一引用本行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</si>
  <si>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DCF </t>
    </r>
    <r>
      <rPr>
        <b val="true"/>
        <sz val="13"/>
        <color rgb="FFFFFFFF"/>
        <rFont val="Arial Unicode MS"/>
        <family val="2"/>
      </rPr>
      <t xml:space="preserve">绝对估值 </t>
    </r>
    <r>
      <rPr>
        <b val="true"/>
        <sz val="13"/>
        <color rgb="FFFFFFFF"/>
        <rFont val="Microsoft YaHei"/>
        <family val="0"/>
        <charset val="1"/>
      </rPr>
      <t xml:space="preserve">(FCFF, </t>
    </r>
    <r>
      <rPr>
        <b val="true"/>
        <sz val="13"/>
        <color rgb="FFFFFFFF"/>
        <rFont val="Arial Unicode MS"/>
        <family val="2"/>
      </rPr>
      <t xml:space="preserve">显性期</t>
    </r>
    <r>
      <rPr>
        <b val="true"/>
        <sz val="13"/>
        <color rgb="FFFFFFFF"/>
        <rFont val="Microsoft YaHei"/>
        <family val="0"/>
        <charset val="1"/>
      </rPr>
      <t xml:space="preserve">2026-2030 + Gordon</t>
    </r>
    <r>
      <rPr>
        <b val="true"/>
        <sz val="13"/>
        <color rgb="FFFFFFFF"/>
        <rFont val="Arial Unicode MS"/>
        <family val="2"/>
      </rPr>
      <t xml:space="preserve">终值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</si>
  <si>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(mid-year convention: t=0.5/1.5/.../4.5); WACC/g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Assumptions(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</t>
    </r>
    <r>
      <rPr>
        <sz val="9"/>
        <color rgb="FF7F7F7F"/>
        <rFont val="Arial Unicode MS"/>
        <family val="2"/>
      </rPr>
      <t xml:space="preserve">为空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,override))</t>
    </r>
  </si>
  <si>
    <t xml:space="preserve">EBIT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</si>
  <si>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IS: 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财务费用</t>
    </r>
  </si>
  <si>
    <t xml:space="preserve">税率</t>
  </si>
  <si>
    <t xml:space="preserve">NOPAT = EBIT×(1-t)</t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</si>
  <si>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D&amp;A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</si>
  <si>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ΔNWC</t>
    </r>
  </si>
  <si>
    <r>
      <rPr>
        <sz val="9"/>
        <color rgb="FF7F7F7F"/>
        <rFont val="Microsoft YaHei"/>
        <family val="0"/>
        <charset val="1"/>
      </rPr>
      <t xml:space="preserve">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</si>
  <si>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Capex</t>
    </r>
  </si>
  <si>
    <t xml:space="preserve">FCFF</t>
  </si>
  <si>
    <r>
      <rPr>
        <sz val="10"/>
        <color rgb="FF000000"/>
        <rFont val="Arial Unicode MS"/>
        <family val="2"/>
      </rPr>
      <t xml:space="preserve">折现年序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年中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</si>
  <si>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(mid-year); </t>
    </r>
    <r>
      <rPr>
        <sz val="9"/>
        <color rgb="FF7F7F7F"/>
        <rFont val="Arial Unicode MS"/>
        <family val="2"/>
      </rPr>
      <t xml:space="preserve">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近似年中收到现金流</t>
    </r>
  </si>
  <si>
    <t xml:space="preserve">折现因子</t>
  </si>
  <si>
    <t xml:space="preserve">PV(FCFF)</t>
  </si>
  <si>
    <r>
      <rPr>
        <b val="true"/>
        <sz val="10"/>
        <color rgb="FF000000"/>
        <rFont val="Arial Unicode MS"/>
        <family val="2"/>
      </rPr>
      <t xml:space="preserve">显性期</t>
    </r>
    <r>
      <rPr>
        <b val="true"/>
        <sz val="10"/>
        <color rgb="FF000000"/>
        <rFont val="Microsoft YaHei"/>
        <family val="0"/>
        <charset val="1"/>
      </rPr>
      <t xml:space="preserve">PV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(2026-2030)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</si>
  <si>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</si>
  <si>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FCFF2030×(1+g)/(WACC-g)</t>
    </r>
  </si>
  <si>
    <r>
      <rPr>
        <sz val="10"/>
        <color rgb="FF000000"/>
        <rFont val="Microsoft YaHei"/>
        <family val="0"/>
        <charset val="1"/>
      </rPr>
      <t xml:space="preserve">PV(</t>
    </r>
    <r>
      <rPr>
        <sz val="10"/>
        <color rgb="FF000000"/>
        <rFont val="Arial Unicode MS"/>
        <family val="2"/>
      </rPr>
      <t xml:space="preserve">终值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</si>
  <si>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与显性期最后一年一致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</si>
  <si>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企业价值 </t>
    </r>
    <r>
      <rPr>
        <b val="true"/>
        <sz val="10"/>
        <color rgb="FF000000"/>
        <rFont val="Microsoft YaHei"/>
        <family val="0"/>
        <charset val="1"/>
      </rPr>
      <t xml:space="preserve">EV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</si>
  <si>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</si>
  <si>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</si>
  <si>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其他权益工具投资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</si>
  <si>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4.9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参股投资按账面值计入股权价值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</si>
  <si>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有息负债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</si>
  <si>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少数股东权益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</si>
  <si>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EV</t>
    </r>
    <r>
      <rPr>
        <sz val="9"/>
        <color rgb="FF7F7F7F"/>
        <rFont val="Arial Unicode MS"/>
        <family val="2"/>
      </rPr>
      <t xml:space="preserve">桥得归母口径股权价值须扣少数股东权益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账面值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无少数股东权益的标的为</t>
    </r>
    <r>
      <rPr>
        <sz val="9"/>
        <color rgb="FF7F7F7F"/>
        <rFont val="Microsoft YaHei"/>
        <family val="0"/>
        <charset val="1"/>
      </rPr>
      <t xml:space="preserve">0, </t>
    </r>
    <r>
      <rPr>
        <sz val="9"/>
        <color rgb="FF7F7F7F"/>
        <rFont val="Arial Unicode MS"/>
        <family val="2"/>
      </rPr>
      <t xml:space="preserve">不影响结果</t>
    </r>
  </si>
  <si>
    <t xml:space="preserve">净现金调整合计</t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</si>
  <si>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Sensitivity/Scenarios</t>
    </r>
    <r>
      <rPr>
        <sz val="9"/>
        <color rgb="FF7F7F7F"/>
        <rFont val="Arial Unicode MS"/>
        <family val="2"/>
      </rPr>
      <t xml:space="preserve">页引用</t>
    </r>
  </si>
  <si>
    <t xml:space="preserve">股权价值</t>
  </si>
  <si>
    <r>
      <rPr>
        <b val="true"/>
        <sz val="10"/>
        <color rgb="FF000000"/>
        <rFont val="Arial Unicode MS"/>
        <family val="2"/>
      </rPr>
      <t xml:space="preserve">每股价值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</si>
  <si>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</si>
  <si>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现价 </t>
    </r>
    <r>
      <rPr>
        <sz val="10"/>
        <color rgb="FF000000"/>
        <rFont val="Microsoft YaHei"/>
        <family val="0"/>
        <charset val="1"/>
      </rPr>
      <t xml:space="preserve">(2026-08-17)</t>
    </r>
  </si>
  <si>
    <t xml:space="preserve">隐含涨跌幅</t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</si>
  <si>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P/E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</si>
  <si>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/2026E</t>
    </r>
    <r>
      <rPr>
        <sz val="9"/>
        <color rgb="FF7F7F7F"/>
        <rFont val="Arial Unicode MS"/>
        <family val="2"/>
      </rPr>
      <t xml:space="preserve">归母</t>
    </r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</si>
  <si>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EV/EBITDA</t>
    </r>
  </si>
  <si>
    <r>
      <rPr>
        <sz val="9"/>
        <color rgb="FF7F7F7F"/>
        <rFont val="Arial Unicode MS"/>
        <family val="2"/>
      </rPr>
      <t xml:space="preserve">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财年现金流起点存在时间错位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(t=0.5</t>
    </r>
    <r>
      <rPr>
        <sz val="9"/>
        <color rgb="FF7F7F7F"/>
        <rFont val="Arial Unicode MS"/>
        <family val="2"/>
      </rPr>
      <t xml:space="preserve">起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为该错位的标准近似处理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不再单独做</t>
    </r>
    <r>
      <rPr>
        <sz val="9"/>
        <color rgb="FF7F7F7F"/>
        <rFont val="Microsoft YaHei"/>
        <family val="0"/>
        <charset val="1"/>
      </rPr>
      <t xml:space="preserve">stub</t>
    </r>
    <r>
      <rPr>
        <sz val="9"/>
        <color rgb="FF7F7F7F"/>
        <rFont val="Arial Unicode MS"/>
        <family val="2"/>
      </rPr>
      <t xml:space="preserve">调整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</si>
  <si>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FCFE </t>
    </r>
    <r>
      <rPr>
        <b val="true"/>
        <sz val="13"/>
        <color rgb="FFFFFFFF"/>
        <rFont val="Arial Unicode MS"/>
        <family val="2"/>
      </rPr>
      <t xml:space="preserve">股权自由现金流估值 </t>
    </r>
    <r>
      <rPr>
        <b val="true"/>
        <sz val="13"/>
        <color rgb="FFFFFFFF"/>
        <rFont val="Microsoft YaHei"/>
        <family val="0"/>
        <charset val="1"/>
      </rPr>
      <t xml:space="preserve">(Ke</t>
    </r>
    <r>
      <rPr>
        <b val="true"/>
        <sz val="13"/>
        <color rgb="FFFFFFFF"/>
        <rFont val="Arial Unicode MS"/>
        <family val="2"/>
      </rPr>
      <t xml:space="preserve">折现</t>
    </r>
    <r>
      <rPr>
        <b val="true"/>
        <sz val="13"/>
        <color rgb="FFFFFFFF"/>
        <rFont val="Microsoft YaHei"/>
        <family val="0"/>
        <charset val="1"/>
      </rPr>
      <t xml:space="preserve">, </t>
    </r>
    <r>
      <rPr>
        <b val="true"/>
        <sz val="13"/>
        <color rgb="FFFFFFFF"/>
        <rFont val="Arial Unicode MS"/>
        <family val="2"/>
      </rPr>
      <t xml:space="preserve">与</t>
    </r>
    <r>
      <rPr>
        <b val="true"/>
        <sz val="13"/>
        <color rgb="FFFFFFFF"/>
        <rFont val="Microsoft YaHei"/>
        <family val="0"/>
        <charset val="1"/>
      </rPr>
      <t xml:space="preserve">FCFF</t>
    </r>
    <r>
      <rPr>
        <b val="true"/>
        <sz val="13"/>
        <color rgb="FFFFFFFF"/>
        <rFont val="Arial Unicode MS"/>
        <family val="2"/>
      </rPr>
      <t xml:space="preserve">双视图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</si>
  <si>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FCFE=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(FIN</t>
    </r>
    <r>
      <rPr>
        <sz val="9"/>
        <color rgb="FF7F7F7F"/>
        <rFont val="Arial Unicode MS"/>
        <family val="2"/>
      </rPr>
      <t xml:space="preserve">页调度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按股权成本</t>
    </r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直接得归母股权价值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少数股东权益见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终值取正常化</t>
    </r>
    <r>
      <rPr>
        <sz val="9"/>
        <color rgb="FF7F7F7F"/>
        <rFont val="Microsoft YaHei"/>
        <family val="0"/>
        <charset val="1"/>
      </rPr>
      <t xml:space="preserve">FCFE(</t>
    </r>
    <r>
      <rPr>
        <sz val="9"/>
        <color rgb="FF7F7F7F"/>
        <rFont val="Arial Unicode MS"/>
        <family val="2"/>
      </rPr>
      <t xml:space="preserve">净新增借款按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</si>
  <si>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调度后的利息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</si>
  <si>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无形摊销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</si>
  <si>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Schedules; 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</si>
  <si>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页资本开支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</si>
  <si>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</si>
  <si>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股权口径下债务净变动归股东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</si>
  <si>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勾稽参考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不计入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</si>
  <si>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: sweep</t>
    </r>
    <r>
      <rPr>
        <sz val="9"/>
        <color rgb="FF7F7F7F"/>
        <rFont val="Arial Unicode MS"/>
        <family val="2"/>
      </rPr>
      <t xml:space="preserve">溢出购买理财为现金↔理财的形态转换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资产仍在表内归属股东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故不计入</t>
    </r>
    <r>
      <rPr>
        <sz val="9"/>
        <color rgb="FF7F7F7F"/>
        <rFont val="Microsoft YaHei"/>
        <family val="0"/>
        <charset val="1"/>
      </rPr>
      <t xml:space="preserve">FCFE; </t>
    </r>
    <r>
      <rPr>
        <sz val="9"/>
        <color rgb="FF7F7F7F"/>
        <rFont val="Arial Unicode MS"/>
        <family val="2"/>
      </rPr>
      <t xml:space="preserve">显性列示供</t>
    </r>
    <r>
      <rPr>
        <sz val="9"/>
        <color rgb="FF7F7F7F"/>
        <rFont val="Microsoft YaHei"/>
        <family val="0"/>
        <charset val="1"/>
      </rPr>
      <t xml:space="preserve">FCFE↔FCFF</t>
    </r>
    <r>
      <rPr>
        <sz val="9"/>
        <color rgb="FF7F7F7F"/>
        <rFont val="Arial Unicode MS"/>
        <family val="2"/>
      </rPr>
      <t xml:space="preserve">差异勾稽</t>
    </r>
    <r>
      <rPr>
        <sz val="9"/>
        <color rgb="FF7F7F7F"/>
        <rFont val="Microsoft YaHei"/>
        <family val="0"/>
        <charset val="1"/>
      </rPr>
      <t xml:space="preserve">(FCFF</t>
    </r>
    <r>
      <rPr>
        <sz val="9"/>
        <color rgb="FF7F7F7F"/>
        <rFont val="Arial Unicode MS"/>
        <family val="2"/>
      </rPr>
      <t xml:space="preserve">也未扣理财购买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两法在此口径一致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</si>
  <si>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FCFE</t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</si>
  <si>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</si>
  <si>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页同口径</t>
    </r>
  </si>
  <si>
    <r>
      <rPr>
        <sz val="10"/>
        <color rgb="FF000000"/>
        <rFont val="Arial Unicode MS"/>
        <family val="2"/>
      </rPr>
      <t xml:space="preserve">折现因子 </t>
    </r>
    <r>
      <rPr>
        <sz val="10"/>
        <color rgb="FF000000"/>
        <rFont val="Microsoft YaHei"/>
        <family val="0"/>
        <charset val="1"/>
      </rPr>
      <t xml:space="preserve">(Ke)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</si>
  <si>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1/(1+Ke)^t; Ke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named range(Assumptions</t>
    </r>
    <r>
      <rPr>
        <sz val="9"/>
        <color rgb="FF7F7F7F"/>
        <rFont val="Arial Unicode MS"/>
        <family val="2"/>
      </rPr>
      <t xml:space="preserve">股权成本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</si>
  <si>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PV(FCFE)</t>
  </si>
  <si>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 (2030E, </t>
    </r>
    <r>
      <rPr>
        <sz val="10"/>
        <color rgb="FF000000"/>
        <rFont val="Arial Unicode MS"/>
        <family val="2"/>
      </rPr>
      <t xml:space="preserve">终值口径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</si>
  <si>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终值净借款按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终值年净新增借款</t>
    </r>
    <r>
      <rPr>
        <sz val="9"/>
        <color rgb="FF7F7F7F"/>
        <rFont val="Microsoft YaHei"/>
        <family val="0"/>
        <charset val="1"/>
      </rPr>
      <t xml:space="preserve">=2030E</t>
    </r>
    <r>
      <rPr>
        <sz val="9"/>
        <color rgb="FF7F7F7F"/>
        <rFont val="Arial Unicode MS"/>
        <family val="2"/>
      </rPr>
      <t xml:space="preserve">期末有息负债</t>
    </r>
    <r>
      <rPr>
        <sz val="9"/>
        <color rgb="FF7F7F7F"/>
        <rFont val="Microsoft YaHei"/>
        <family val="0"/>
        <charset val="1"/>
      </rPr>
      <t xml:space="preserve">×g(</t>
    </r>
    <r>
      <rPr>
        <sz val="9"/>
        <color rgb="FF7F7F7F"/>
        <rFont val="Arial Unicode MS"/>
        <family val="2"/>
      </rPr>
      <t xml:space="preserve">替代实际调度值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对称防止显性期末大额净融资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净偿还被</t>
    </r>
    <r>
      <rPr>
        <sz val="9"/>
        <color rgb="FF7F7F7F"/>
        <rFont val="Microsoft YaHei"/>
        <family val="0"/>
        <charset val="1"/>
      </rPr>
      <t xml:space="preserve">Gordon</t>
    </r>
    <r>
      <rPr>
        <sz val="9"/>
        <color rgb="FF7F7F7F"/>
        <rFont val="Arial Unicode MS"/>
        <family val="2"/>
      </rPr>
      <t xml:space="preserve">公式永续外推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</si>
  <si>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(Gordon, </t>
    </r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</si>
  <si>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＝正常化</t>
    </r>
    <r>
      <rPr>
        <sz val="9"/>
        <color rgb="FF7F7F7F"/>
        <rFont val="Microsoft YaHei"/>
        <family val="0"/>
        <charset val="1"/>
      </rPr>
      <t xml:space="preserve">FCFE2030×(1+g)/(Ke-g); Ke/g</t>
    </r>
    <r>
      <rPr>
        <sz val="9"/>
        <color rgb="FF7F7F7F"/>
        <rFont val="Arial Unicode MS"/>
        <family val="2"/>
      </rPr>
      <t xml:space="preserve">均为</t>
    </r>
    <r>
      <rPr>
        <sz val="9"/>
        <color rgb="FF7F7F7F"/>
        <rFont val="Microsoft YaHei"/>
        <family val="0"/>
        <charset val="1"/>
      </rPr>
      <t xml:space="preserve">named range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</si>
  <si>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</si>
  <si>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股权价值 </t>
    </r>
    <r>
      <rPr>
        <b val="true"/>
        <sz val="10"/>
        <color rgb="FF000000"/>
        <rFont val="Microsoft YaHei"/>
        <family val="0"/>
        <charset val="1"/>
      </rPr>
      <t xml:space="preserve">(FCFE</t>
    </r>
    <r>
      <rPr>
        <b val="true"/>
        <sz val="10"/>
        <color rgb="FF000000"/>
        <rFont val="Arial Unicode MS"/>
        <family val="2"/>
      </rPr>
      <t xml:space="preserve">口径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</si>
  <si>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直接折现为股权价值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无需净现金桥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</si>
  <si>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(named range)</t>
    </r>
  </si>
  <si>
    <r>
      <rPr>
        <sz val="10"/>
        <color rgb="FF000000"/>
        <rFont val="Arial Unicode MS"/>
        <family val="2"/>
      </rPr>
      <t xml:space="preserve">对照</t>
    </r>
    <r>
      <rPr>
        <sz val="10"/>
        <color rgb="FF000000"/>
        <rFont val="Microsoft YaHei"/>
        <family val="0"/>
        <charset val="1"/>
      </rPr>
      <t xml:space="preserve">: FCFF</t>
    </r>
    <r>
      <rPr>
        <sz val="10"/>
        <color rgb="FF000000"/>
        <rFont val="Arial Unicode MS"/>
        <family val="2"/>
      </rPr>
      <t xml:space="preserve">口径每股价值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</si>
  <si>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页主输出</t>
    </r>
  </si>
  <si>
    <r>
      <rPr>
        <b val="true"/>
        <sz val="10"/>
        <color rgb="FF000000"/>
        <rFont val="Arial Unicode MS"/>
        <family val="2"/>
      </rPr>
      <t xml:space="preserve">两法差异 </t>
    </r>
    <r>
      <rPr>
        <b val="true"/>
        <sz val="10"/>
        <color rgb="FF000000"/>
        <rFont val="Microsoft YaHei"/>
        <family val="0"/>
        <charset val="1"/>
      </rPr>
      <t xml:space="preserve">(FCFE/FCFF-1)</t>
    </r>
  </si>
  <si>
    <r>
      <rPr>
        <sz val="9"/>
        <color rgb="FF7F7F7F"/>
        <rFont val="Microsoft YaHei"/>
        <family val="0"/>
        <charset val="1"/>
      </rPr>
      <t xml:space="preserve"> Checks</t>
    </r>
    <r>
      <rPr>
        <sz val="9"/>
        <color rgb="FF7F7F7F"/>
        <rFont val="Arial Unicode MS"/>
        <family val="2"/>
      </rPr>
      <t xml:space="preserve">页含一致性信息行</t>
    </r>
  </si>
  <si>
    <r>
      <rPr>
        <sz val="9"/>
        <color rgb="FF7F7F7F"/>
        <rFont val="Arial Unicode MS"/>
        <family val="2"/>
      </rPr>
      <t xml:space="preserve">该状态为估值口径复核警报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不替代两种方法各自的模型校验</t>
    </r>
  </si>
  <si>
    <t xml:space="preserve">两法差异原因</t>
  </si>
  <si>
    <r>
      <rPr>
        <sz val="9"/>
        <color rgb="FF7F7F7F"/>
        <rFont val="Arial Unicode MS"/>
        <family val="2"/>
      </rPr>
      <t xml:space="preserve">①折现率不同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WACC(</t>
    </r>
    <r>
      <rPr>
        <sz val="9"/>
        <color rgb="FF7F7F7F"/>
        <rFont val="Arial Unicode MS"/>
        <family val="2"/>
      </rPr>
      <t xml:space="preserve">全资本成本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税盾在分母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Ke(</t>
    </r>
    <r>
      <rPr>
        <sz val="9"/>
        <color rgb="FF7F7F7F"/>
        <rFont val="Arial Unicode MS"/>
        <family val="2"/>
      </rPr>
      <t xml:space="preserve">纯股权成本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; ②</t>
    </r>
    <r>
      <rPr>
        <sz val="9"/>
        <color rgb="FF7F7F7F"/>
        <rFont val="Arial Unicode MS"/>
        <family val="2"/>
      </rPr>
      <t xml:space="preserve">口径不同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为企业自由现金流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须经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桥加回净现金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扣有息负债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扣少数股东权益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基于归母净利折现、直接对应归母股权价值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少数股东权益已在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桥扣除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本页无需再扣</t>
    </r>
    <r>
      <rPr>
        <sz val="9"/>
        <color rgb="FF7F7F7F"/>
        <rFont val="Microsoft YaHei"/>
        <family val="0"/>
        <charset val="1"/>
      </rPr>
      <t xml:space="preserve">; ③</t>
    </r>
    <r>
      <rPr>
        <sz val="9"/>
        <color rgb="FF7F7F7F"/>
        <rFont val="Arial Unicode MS"/>
        <family val="2"/>
      </rPr>
      <t xml:space="preserve">杠杆路径不同</t>
    </r>
    <r>
      <rPr>
        <sz val="9"/>
        <color rgb="FF7F7F7F"/>
        <rFont val="Microsoft YaHei"/>
        <family val="0"/>
        <charset val="1"/>
      </rPr>
      <t xml:space="preserve">: FCFE</t>
    </r>
    <r>
      <rPr>
        <sz val="9"/>
        <color rgb="FF7F7F7F"/>
        <rFont val="Arial Unicode MS"/>
        <family val="2"/>
      </rPr>
      <t xml:space="preserve">逐年反映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revolver/sweep</t>
    </r>
    <r>
      <rPr>
        <sz val="9"/>
        <color rgb="FF7F7F7F"/>
        <rFont val="Arial Unicode MS"/>
        <family val="2"/>
      </rPr>
      <t xml:space="preserve">实际债务调度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资本结构动态变化</t>
    </r>
    <r>
      <rPr>
        <sz val="9"/>
        <color rgb="FF7F7F7F"/>
        <rFont val="Microsoft YaHei"/>
        <family val="0"/>
        <charset val="1"/>
      </rPr>
      <t xml:space="preserve">), FCFF</t>
    </r>
    <r>
      <rPr>
        <sz val="9"/>
        <color rgb="FF7F7F7F"/>
        <rFont val="Arial Unicode MS"/>
        <family val="2"/>
      </rPr>
      <t xml:space="preserve">隐含目标结构</t>
    </r>
    <r>
      <rPr>
        <sz val="9"/>
        <color rgb="FF7F7F7F"/>
        <rFont val="Microsoft YaHei"/>
        <family val="0"/>
        <charset val="1"/>
      </rPr>
      <t xml:space="preserve">(Wd)</t>
    </r>
    <r>
      <rPr>
        <sz val="9"/>
        <color rgb="FF7F7F7F"/>
        <rFont val="Arial Unicode MS"/>
        <family val="2"/>
      </rPr>
      <t xml:space="preserve">恒定</t>
    </r>
    <r>
      <rPr>
        <sz val="9"/>
        <color rgb="FF7F7F7F"/>
        <rFont val="Microsoft YaHei"/>
        <family val="0"/>
        <charset val="1"/>
      </rPr>
      <t xml:space="preserve">; ④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上行勾稽参考行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为现金形态转换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两法均未计入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不构成差异来源</t>
    </r>
    <r>
      <rPr>
        <sz val="9"/>
        <color rgb="FF7F7F7F"/>
        <rFont val="Microsoft YaHei"/>
        <family val="0"/>
        <charset val="1"/>
      </rPr>
      <t xml:space="preserve">; ⑤</t>
    </r>
    <r>
      <rPr>
        <sz val="9"/>
        <color rgb="FF7F7F7F"/>
        <rFont val="Arial Unicode MS"/>
        <family val="2"/>
      </rPr>
      <t xml:space="preserve">两法在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恒定资本结构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一致税盾处理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下理论等价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实务差异主要来自债务调度时点、净现金桥与折现率差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差异幅度大时应复查融资假设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</si>
  <si>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Relative_Val </t>
    </r>
    <r>
      <rPr>
        <b val="true"/>
        <sz val="13"/>
        <color rgb="FFFFFFFF"/>
        <rFont val="Arial Unicode MS"/>
        <family val="2"/>
      </rPr>
      <t xml:space="preserve">可比公司相对估值 </t>
    </r>
    <r>
      <rPr>
        <b val="true"/>
        <sz val="13"/>
        <color rgb="FFFFFFFF"/>
        <rFont val="Microsoft YaHei"/>
        <family val="0"/>
        <charset val="1"/>
      </rPr>
      <t xml:space="preserve">+ Beta unlever/relever</t>
    </r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</si>
  <si>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/PE-TTM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预测归母为一致预期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分析师输入</t>
    </r>
    <r>
      <rPr>
        <sz val="9"/>
        <color rgb="FF7F7F7F"/>
        <rFont val="Microsoft YaHei"/>
        <family val="0"/>
        <charset val="1"/>
      </rPr>
      <t xml:space="preserve">; 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: βl/(1+(1-t)D/E) unlever</t>
    </r>
    <r>
      <rPr>
        <sz val="9"/>
        <color rgb="FF7F7F7F"/>
        <rFont val="Arial Unicode MS"/>
        <family val="2"/>
      </rPr>
      <t xml:space="preserve">取中位→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按目标结构</t>
    </r>
    <r>
      <rPr>
        <sz val="9"/>
        <color rgb="FF7F7F7F"/>
        <rFont val="Microsoft YaHei"/>
        <family val="0"/>
        <charset val="1"/>
      </rPr>
      <t xml:space="preserve">relever</t>
    </r>
  </si>
  <si>
    <t xml:space="preserve">公司</t>
  </si>
  <si>
    <t xml:space="preserve">代码</t>
  </si>
  <si>
    <r>
      <rPr>
        <b val="true"/>
        <sz val="10"/>
        <color rgb="FF000000"/>
        <rFont val="Arial Unicode MS"/>
        <family val="2"/>
      </rPr>
      <t xml:space="preserve">市值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</si>
  <si>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PE-TTM</t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</si>
  <si>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</si>
  <si>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2026E PE</t>
  </si>
  <si>
    <r>
      <rPr>
        <b val="true"/>
        <sz val="10"/>
        <color rgb="FF000000"/>
        <rFont val="Microsoft YaHei"/>
        <family val="0"/>
        <charset val="1"/>
      </rPr>
      <t xml:space="preserve">2027E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</si>
  <si>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2027E PE</t>
  </si>
  <si>
    <r>
      <rPr>
        <b val="true"/>
        <sz val="10"/>
        <color rgb="FF000000"/>
        <rFont val="Microsoft YaHei"/>
        <family val="0"/>
        <charset val="1"/>
      </rPr>
      <t xml:space="preserve">26→27</t>
    </r>
    <r>
      <rPr>
        <b val="true"/>
        <sz val="10"/>
        <color rgb="FF000000"/>
        <rFont val="Arial Unicode MS"/>
        <family val="2"/>
      </rPr>
      <t xml:space="preserve">增速</t>
    </r>
  </si>
  <si>
    <t xml:space="preserve">PEG</t>
  </si>
  <si>
    <r>
      <rPr>
        <b val="true"/>
        <sz val="10"/>
        <color rgb="FF000000"/>
        <rFont val="Arial Unicode MS"/>
        <family val="2"/>
      </rPr>
      <t xml:space="preserve">数据来源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备注</t>
    </r>
  </si>
  <si>
    <r>
      <rPr>
        <b val="true"/>
        <sz val="10"/>
        <color rgb="FF000000"/>
        <rFont val="Microsoft YaHei"/>
        <family val="0"/>
        <charset val="1"/>
      </rPr>
      <t xml:space="preserve">βl(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</si>
  <si>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D/E(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</si>
  <si>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税率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</si>
  <si>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βu(</t>
    </r>
    <r>
      <rPr>
        <b val="true"/>
        <sz val="10"/>
        <color rgb="FF000000"/>
        <rFont val="Arial Unicode MS"/>
        <family val="2"/>
      </rPr>
      <t xml:space="preserve">公式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</si>
  <si>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深南电路</t>
  </si>
  <si>
    <t xml:space="preserve">002916.SZ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</si>
  <si>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虎嗅引券商</t>
    </r>
    <r>
      <rPr>
        <sz val="9"/>
        <color rgb="FF7F7F7F"/>
        <rFont val="Microsoft YaHei"/>
        <family val="0"/>
        <charset val="1"/>
      </rPr>
      <t xml:space="preserve">(2025-12)/</t>
    </r>
    <r>
      <rPr>
        <sz val="9"/>
        <color rgb="FF7F7F7F"/>
        <rFont val="Arial Unicode MS"/>
        <family val="2"/>
      </rPr>
      <t xml:space="preserve">同花顺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已验证</t>
    </r>
    <r>
      <rPr>
        <sz val="9"/>
        <color rgb="FF7F7F7F"/>
        <rFont val="Microsoft YaHei"/>
        <family val="0"/>
        <charset val="1"/>
      </rPr>
      <t xml:space="preserve">FY1/NTM</t>
    </r>
  </si>
  <si>
    <t xml:space="preserve">生益电子</t>
  </si>
  <si>
    <t xml:space="preserve">688183.SH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</si>
  <si>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(2026Q1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4.45</t>
    </r>
    <r>
      <rPr>
        <sz val="9"/>
        <color rgb="FF7F7F7F"/>
        <rFont val="Arial Unicode MS"/>
        <family val="2"/>
      </rPr>
      <t xml:space="preserve">亿年化外推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</si>
  <si>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胜宏科技</t>
  </si>
  <si>
    <t xml:space="preserve">300476.SZ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</si>
  <si>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: gildata/</t>
    </r>
    <r>
      <rPr>
        <sz val="9"/>
        <color rgb="FF7F7F7F"/>
        <rFont val="Arial Unicode MS"/>
        <family val="2"/>
      </rPr>
      <t xml:space="preserve">聚源</t>
    </r>
    <r>
      <rPr>
        <sz val="9"/>
        <color rgb="FF7F7F7F"/>
        <rFont val="Microsoft YaHei"/>
        <family val="0"/>
        <charset val="1"/>
      </rPr>
      <t xml:space="preserve">(2026-08) 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已验证</t>
    </r>
    <r>
      <rPr>
        <sz val="9"/>
        <color rgb="FF7F7F7F"/>
        <rFont val="Microsoft YaHei"/>
        <family val="0"/>
        <charset val="1"/>
      </rPr>
      <t xml:space="preserve">FY1/NTM</t>
    </r>
  </si>
  <si>
    <t xml:space="preserve">广合科技</t>
  </si>
  <si>
    <t xml:space="preserve">001389.SZ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</si>
  <si>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PCB</t>
    </r>
    <r>
      <rPr>
        <sz val="9"/>
        <color rgb="FF7F7F7F"/>
        <rFont val="Arial Unicode MS"/>
        <family val="2"/>
      </rPr>
      <t xml:space="preserve">高增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</si>
  <si>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可比中位数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计价</t>
    </r>
    <r>
      <rPr>
        <b val="true"/>
        <sz val="10"/>
        <color rgb="FF000000"/>
        <rFont val="Microsoft YaHei"/>
        <family val="0"/>
        <charset val="1"/>
      </rPr>
      <t xml:space="preserve">2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/β4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</si>
  <si>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βu</t>
    </r>
    <r>
      <rPr>
        <sz val="9"/>
        <color rgb="FF7F7F7F"/>
        <rFont val="Arial Unicode MS"/>
        <family val="2"/>
      </rPr>
      <t xml:space="preserve">中位数→</t>
    </r>
    <r>
      <rPr>
        <sz val="9"/>
        <color rgb="FF7F7F7F"/>
        <rFont val="Microsoft YaHei"/>
        <family val="0"/>
        <charset val="1"/>
      </rPr>
      <t xml:space="preserve">Assumptions WACC</t>
    </r>
    <r>
      <rPr>
        <sz val="9"/>
        <color rgb="FF7F7F7F"/>
        <rFont val="Arial Unicode MS"/>
        <family val="2"/>
      </rPr>
      <t xml:space="preserve">区</t>
    </r>
    <r>
      <rPr>
        <sz val="9"/>
        <color rgb="FF7F7F7F"/>
        <rFont val="Microsoft YaHei"/>
        <family val="0"/>
        <charset val="1"/>
      </rPr>
      <t xml:space="preserve">relever; βl/D/E</t>
    </r>
    <r>
      <rPr>
        <sz val="9"/>
        <color rgb="FF7F7F7F"/>
        <rFont val="Arial Unicode MS"/>
        <family val="2"/>
      </rPr>
      <t xml:space="preserve">为分析师输入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参考行情终端</t>
    </r>
    <r>
      <rPr>
        <sz val="9"/>
        <color rgb="FF7F7F7F"/>
        <rFont val="Microsoft YaHei"/>
        <family val="0"/>
        <charset val="1"/>
      </rPr>
      <t xml:space="preserve">β</t>
    </r>
    <r>
      <rPr>
        <sz val="9"/>
        <color rgb="FF7F7F7F"/>
        <rFont val="Arial Unicode MS"/>
        <family val="2"/>
      </rPr>
      <t xml:space="preserve">与各公司最新年报杠杆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可按终端数据更新</t>
    </r>
  </si>
  <si>
    <r>
      <rPr>
        <b val="true"/>
        <sz val="10"/>
        <color rgb="FF000000"/>
        <rFont val="Arial Unicode MS"/>
        <family val="2"/>
      </rPr>
      <t xml:space="preserve">沪电股份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现价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</si>
  <si>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002463.SZ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</si>
  <si>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PE-TTM(2026-08-17)</t>
    </r>
  </si>
  <si>
    <r>
      <rPr>
        <b val="true"/>
        <sz val="10"/>
        <color rgb="FF1F3864"/>
        <rFont val="Arial Unicode MS"/>
        <family val="2"/>
      </rPr>
      <t xml:space="preserve">沪电股份定价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基于模型基准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</si>
  <si>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下限</t>
    </r>
  </si>
  <si>
    <r>
      <rPr>
        <sz val="9"/>
        <color rgb="FF7F7F7F"/>
        <rFont val="Arial Unicode MS"/>
        <family val="2"/>
      </rPr>
      <t xml:space="preserve">较可比中位数折让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反映高基数与</t>
    </r>
    <r>
      <rPr>
        <sz val="9"/>
        <color rgb="FF7F7F7F"/>
        <rFont val="Microsoft YaHei"/>
        <family val="0"/>
        <charset val="1"/>
      </rPr>
      <t xml:space="preserve">CCL</t>
    </r>
    <r>
      <rPr>
        <sz val="9"/>
        <color rgb="FF7F7F7F"/>
        <rFont val="Arial Unicode MS"/>
        <family val="2"/>
      </rPr>
      <t xml:space="preserve">成本风险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</si>
  <si>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上限</t>
    </r>
  </si>
  <si>
    <r>
      <rPr>
        <sz val="9"/>
        <color rgb="FF7F7F7F"/>
        <rFont val="Arial Unicode MS"/>
        <family val="2"/>
      </rPr>
      <t xml:space="preserve">＝计价可比</t>
    </r>
    <r>
      <rPr>
        <sz val="9"/>
        <color rgb="FF7F7F7F"/>
        <rFont val="Microsoft YaHei"/>
        <family val="0"/>
        <charset val="1"/>
      </rPr>
      <t xml:space="preserve">2026E PE</t>
    </r>
    <r>
      <rPr>
        <sz val="9"/>
        <color rgb="FF7F7F7F"/>
        <rFont val="Arial Unicode MS"/>
        <family val="2"/>
      </rPr>
      <t xml:space="preserve">中位数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含海外</t>
    </r>
    <r>
      <rPr>
        <sz val="9"/>
        <color rgb="FF7F7F7F"/>
        <rFont val="Microsoft YaHei"/>
        <family val="0"/>
        <charset val="1"/>
      </rPr>
      <t xml:space="preserve">; ref_only</t>
    </r>
    <r>
      <rPr>
        <sz val="9"/>
        <color rgb="FF7F7F7F"/>
        <rFont val="Arial Unicode MS"/>
        <family val="2"/>
      </rPr>
      <t xml:space="preserve">标记的仅参照行不参与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</si>
  <si>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模型基准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</si>
  <si>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对应股价下限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</si>
  <si>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对应股价上限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</si>
  <si>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以一致预期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57.4</t>
    </r>
    <r>
      <rPr>
        <sz val="10"/>
        <color rgb="FF000000"/>
        <rFont val="Arial Unicode MS"/>
        <family val="2"/>
      </rPr>
      <t xml:space="preserve">亿计股价区间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</si>
  <si>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上限</t>
    </r>
  </si>
  <si>
    <r>
      <rPr>
        <sz val="10"/>
        <color rgb="FF000000"/>
        <rFont val="Arial Unicode MS"/>
        <family val="2"/>
      </rPr>
      <t xml:space="preserve">相对现价</t>
    </r>
    <r>
      <rPr>
        <sz val="10"/>
        <color rgb="FF000000"/>
        <rFont val="Microsoft YaHei"/>
        <family val="0"/>
        <charset val="1"/>
      </rPr>
      <t xml:space="preserve">123.53</t>
    </r>
    <r>
      <rPr>
        <sz val="10"/>
        <color rgb="FF000000"/>
        <rFont val="Arial Unicode MS"/>
        <family val="2"/>
      </rPr>
      <t xml:space="preserve">元空间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</si>
  <si>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Sensitivity </t>
    </r>
    <r>
      <rPr>
        <b val="true"/>
        <sz val="13"/>
        <color rgb="FFFFFFFF"/>
        <rFont val="Arial Unicode MS"/>
        <family val="2"/>
      </rPr>
      <t xml:space="preserve">敏感性分析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</si>
  <si>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矩阵轴为公式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/g), </t>
    </r>
    <r>
      <rPr>
        <sz val="9"/>
        <color rgb="FF7F7F7F"/>
        <rFont val="Arial Unicode MS"/>
        <family val="2"/>
      </rPr>
      <t xml:space="preserve">两矩阵引用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另附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</si>
  <si>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b val="true"/>
        <sz val="10"/>
        <color rgb="FF1F3864"/>
        <rFont val="Arial Unicode MS"/>
        <family val="2"/>
      </rPr>
      <t xml:space="preserve">矩阵一</t>
    </r>
    <r>
      <rPr>
        <b val="true"/>
        <sz val="10"/>
        <color rgb="FF1F3864"/>
        <rFont val="Microsoft YaHei"/>
        <family val="0"/>
        <charset val="1"/>
      </rPr>
      <t xml:space="preserve">: DCF</t>
    </r>
    <r>
      <rPr>
        <b val="true"/>
        <sz val="10"/>
        <color rgb="FF1F3864"/>
        <rFont val="Arial Unicode MS"/>
        <family val="2"/>
      </rPr>
      <t xml:space="preserve">每股价值 — </t>
    </r>
    <r>
      <rPr>
        <b val="true"/>
        <sz val="10"/>
        <color rgb="FF1F3864"/>
        <rFont val="Microsoft YaHei"/>
        <family val="0"/>
        <charset val="1"/>
      </rPr>
      <t xml:space="preserve">WACC × </t>
    </r>
    <r>
      <rPr>
        <b val="true"/>
        <sz val="10"/>
        <color rgb="FF1F3864"/>
        <rFont val="Arial Unicode MS"/>
        <family val="2"/>
      </rPr>
      <t xml:space="preserve">永续增长率</t>
    </r>
    <r>
      <rPr>
        <b val="true"/>
        <sz val="10"/>
        <color rgb="FF1F3864"/>
        <rFont val="Microsoft YaHei"/>
        <family val="0"/>
        <charset val="1"/>
      </rPr>
      <t xml:space="preserve">g (</t>
    </r>
    <r>
      <rPr>
        <b val="true"/>
        <sz val="10"/>
        <color rgb="FF1F3864"/>
        <rFont val="Arial Unicode MS"/>
        <family val="2"/>
      </rPr>
      <t xml:space="preserve">年中折现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与</t>
    </r>
    <r>
      <rPr>
        <b val="true"/>
        <sz val="10"/>
        <color rgb="FF1F3864"/>
        <rFont val="Microsoft YaHei"/>
        <family val="0"/>
        <charset val="1"/>
      </rPr>
      <t xml:space="preserve">DCF</t>
    </r>
    <r>
      <rPr>
        <b val="true"/>
        <sz val="10"/>
        <color rgb="FF1F3864"/>
        <rFont val="Arial Unicode MS"/>
        <family val="2"/>
      </rPr>
      <t xml:space="preserve">页同口径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</si>
  <si>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WACC \ g</t>
  </si>
  <si>
    <r>
      <rPr>
        <sz val="9"/>
        <color rgb="FF7F7F7F"/>
        <rFont val="Arial Unicode MS"/>
        <family val="2"/>
      </rPr>
      <t xml:space="preserve">高亮格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当前采用值</t>
    </r>
    <r>
      <rPr>
        <sz val="9"/>
        <color rgb="FF7F7F7F"/>
        <rFont val="Microsoft YaHei"/>
        <family val="0"/>
        <charset val="1"/>
      </rPr>
      <t xml:space="preserve">(WACC/g</t>
    </r>
    <r>
      <rPr>
        <sz val="9"/>
        <color rgb="FF7F7F7F"/>
        <rFont val="Arial Unicode MS"/>
        <family val="2"/>
      </rPr>
      <t xml:space="preserve">轴自动对中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页同为年中折现口径</t>
    </r>
  </si>
  <si>
    <r>
      <rPr>
        <b val="true"/>
        <sz val="10"/>
        <color rgb="FF1F3864"/>
        <rFont val="Arial Unicode MS"/>
        <family val="2"/>
      </rPr>
      <t xml:space="preserve">矩阵二</t>
    </r>
    <r>
      <rPr>
        <b val="true"/>
        <sz val="10"/>
        <color rgb="FF1F3864"/>
        <rFont val="Microsoft YaHei"/>
        <family val="0"/>
        <charset val="1"/>
      </rPr>
      <t xml:space="preserve">: </t>
    </r>
    <r>
      <rPr>
        <b val="true"/>
        <sz val="10"/>
        <color rgb="FF1F3864"/>
        <rFont val="Arial Unicode MS"/>
        <family val="2"/>
      </rPr>
      <t xml:space="preserve">股价 — 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归母增速 </t>
    </r>
    <r>
      <rPr>
        <b val="true"/>
        <sz val="10"/>
        <color rgb="FF1F3864"/>
        <rFont val="Microsoft YaHei"/>
        <family val="0"/>
        <charset val="1"/>
      </rPr>
      <t xml:space="preserve">× </t>
    </r>
    <r>
      <rPr>
        <b val="true"/>
        <sz val="10"/>
        <color rgb="FF1F3864"/>
        <rFont val="Arial Unicode MS"/>
        <family val="2"/>
      </rPr>
      <t xml:space="preserve">目标</t>
    </r>
    <r>
      <rPr>
        <b val="true"/>
        <sz val="10"/>
        <color rgb="FF1F3864"/>
        <rFont val="Microsoft YaHei"/>
        <family val="0"/>
        <charset val="1"/>
      </rPr>
      <t xml:space="preserve">PE (2025A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3822</t>
    </r>
    <r>
      <rPr>
        <b val="true"/>
        <sz val="10"/>
        <color rgb="FF1F3864"/>
        <rFont val="Arial Unicode MS"/>
        <family val="2"/>
      </rPr>
      <t xml:space="preserve">百万为基数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</si>
  <si>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归母增速 </t>
    </r>
    <r>
      <rPr>
        <b val="true"/>
        <sz val="10"/>
        <color rgb="FF000000"/>
        <rFont val="Microsoft YaHei"/>
        <family val="0"/>
        <charset val="1"/>
      </rPr>
      <t xml:space="preserve">\ PE</t>
    </r>
  </si>
  <si>
    <r>
      <rPr>
        <sz val="9"/>
        <color rgb="FF7F7F7F"/>
        <rFont val="Arial Unicode MS"/>
        <family val="2"/>
      </rPr>
      <t xml:space="preserve">高亮行≈一致预期增速</t>
    </r>
    <r>
      <rPr>
        <sz val="9"/>
        <color rgb="FF7F7F7F"/>
        <rFont val="Microsoft YaHei"/>
        <family val="0"/>
        <charset val="1"/>
      </rPr>
      <t xml:space="preserve">50.2%; </t>
    </r>
    <r>
      <rPr>
        <sz val="9"/>
        <color rgb="FF7F7F7F"/>
        <rFont val="Arial Unicode MS"/>
        <family val="2"/>
      </rPr>
      <t xml:space="preserve">矩阵与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独立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供交叉验证</t>
    </r>
  </si>
  <si>
    <r>
      <rPr>
        <b val="true"/>
        <sz val="10"/>
        <color rgb="FF1F3864"/>
        <rFont val="Arial Unicode MS"/>
        <family val="2"/>
      </rPr>
      <t xml:space="preserve">矩阵三</t>
    </r>
    <r>
      <rPr>
        <b val="true"/>
        <sz val="10"/>
        <color rgb="FF1F3864"/>
        <rFont val="Microsoft YaHei"/>
        <family val="0"/>
        <charset val="1"/>
      </rPr>
      <t xml:space="preserve">: DPO</t>
    </r>
    <r>
      <rPr>
        <b val="true"/>
        <sz val="10"/>
        <color rgb="FF1F3864"/>
        <rFont val="Arial Unicode MS"/>
        <family val="2"/>
      </rPr>
      <t xml:space="preserve">单维敏感性 — 应付天数变动 </t>
    </r>
    <r>
      <rPr>
        <b val="true"/>
        <sz val="10"/>
        <color rgb="FF1F3864"/>
        <rFont val="Microsoft YaHei"/>
        <family val="0"/>
        <charset val="1"/>
      </rPr>
      <t xml:space="preserve">× DCF</t>
    </r>
    <r>
      <rPr>
        <b val="true"/>
        <sz val="10"/>
        <color rgb="FF1F3864"/>
        <rFont val="Arial Unicode MS"/>
        <family val="2"/>
      </rPr>
      <t xml:space="preserve">每股价值</t>
    </r>
  </si>
  <si>
    <r>
      <rPr>
        <b val="true"/>
        <sz val="10"/>
        <color rgb="FF000000"/>
        <rFont val="Microsoft YaHei"/>
        <family val="0"/>
        <charset val="1"/>
      </rPr>
      <t xml:space="preserve">DPO</t>
    </r>
    <r>
      <rPr>
        <b val="true"/>
        <sz val="10"/>
        <color rgb="FF000000"/>
        <rFont val="Arial Unicode MS"/>
        <family val="2"/>
      </rPr>
      <t xml:space="preserve">变动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天</t>
    </r>
    <r>
      <rPr>
        <b val="true"/>
        <sz val="10"/>
        <color rgb="FF000000"/>
        <rFont val="Microsoft YaHei"/>
        <family val="0"/>
        <charset val="1"/>
      </rPr>
      <t xml:space="preserve">) \ </t>
    </r>
    <r>
      <rPr>
        <b val="true"/>
        <sz val="10"/>
        <color rgb="FF000000"/>
        <rFont val="Arial Unicode MS"/>
        <family val="2"/>
      </rPr>
      <t xml:space="preserve">每股价值</t>
    </r>
  </si>
  <si>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</si>
  <si>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基准</t>
    </r>
  </si>
  <si>
    <r>
      <rPr>
        <sz val="9"/>
        <color rgb="FF7F7F7F"/>
        <rFont val="Arial Unicode MS"/>
        <family val="2"/>
      </rPr>
      <t xml:space="preserve">机制</t>
    </r>
    <r>
      <rPr>
        <sz val="9"/>
        <color rgb="FF7F7F7F"/>
        <rFont val="Microsoft YaHei"/>
        <family val="0"/>
        <charset val="1"/>
      </rPr>
      <t xml:space="preserve">: DPO</t>
    </r>
    <r>
      <rPr>
        <sz val="9"/>
        <color rgb="FF7F7F7F"/>
        <rFont val="Arial Unicode MS"/>
        <family val="2"/>
      </rPr>
      <t xml:space="preserve">变动</t>
    </r>
    <r>
      <rPr>
        <sz val="9"/>
        <color rgb="FF7F7F7F"/>
        <rFont val="Microsoft YaHei"/>
        <family val="0"/>
        <charset val="1"/>
      </rPr>
      <t xml:space="preserve">δ→</t>
    </r>
    <r>
      <rPr>
        <sz val="9"/>
        <color rgb="FF7F7F7F"/>
        <rFont val="Arial Unicode MS"/>
        <family val="2"/>
      </rPr>
      <t xml:space="preserve">应付变动→</t>
    </r>
    <r>
      <rPr>
        <sz val="9"/>
        <color rgb="FF7F7F7F"/>
        <rFont val="Microsoft YaHei"/>
        <family val="0"/>
        <charset val="1"/>
      </rPr>
      <t xml:space="preserve">ΔNWC</t>
    </r>
    <r>
      <rPr>
        <sz val="9"/>
        <color rgb="FF7F7F7F"/>
        <rFont val="Arial Unicode MS"/>
        <family val="2"/>
      </rPr>
      <t xml:space="preserve">变动→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一阶调整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首年按全额</t>
    </r>
    <r>
      <rPr>
        <sz val="9"/>
        <color rgb="FF7F7F7F"/>
        <rFont val="Microsoft YaHei"/>
        <family val="0"/>
        <charset val="1"/>
      </rPr>
      <t xml:space="preserve">COGS</t>
    </r>
    <r>
      <rPr>
        <sz val="9"/>
        <color rgb="FF7F7F7F"/>
        <rFont val="Arial Unicode MS"/>
        <family val="2"/>
      </rPr>
      <t xml:space="preserve">重定价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以后年按</t>
    </r>
    <r>
      <rPr>
        <sz val="9"/>
        <color rgb="FF7F7F7F"/>
        <rFont val="Microsoft YaHei"/>
        <family val="0"/>
        <charset val="1"/>
      </rPr>
      <t xml:space="preserve">ΔCOGS; </t>
    </r>
    <r>
      <rPr>
        <sz val="9"/>
        <color rgb="FF7F7F7F"/>
        <rFont val="Arial Unicode MS"/>
        <family val="2"/>
      </rPr>
      <t xml:space="preserve">未反映利息二阶效应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金额小</t>
    </r>
    <r>
      <rPr>
        <sz val="9"/>
        <color rgb="FF7F7F7F"/>
        <rFont val="Microsoft YaHei"/>
        <family val="0"/>
        <charset val="1"/>
      </rPr>
      <t xml:space="preserve">); δ=0</t>
    </r>
    <r>
      <rPr>
        <sz val="9"/>
        <color rgb="FF7F7F7F"/>
        <rFont val="Arial Unicode MS"/>
        <family val="2"/>
      </rPr>
      <t xml:space="preserve">格</t>
    </r>
    <r>
      <rPr>
        <sz val="9"/>
        <color rgb="FF7F7F7F"/>
        <rFont val="Microsoft YaHei"/>
        <family val="0"/>
        <charset val="1"/>
      </rPr>
      <t xml:space="preserve">=DCF</t>
    </r>
    <r>
      <rPr>
        <sz val="9"/>
        <color rgb="FF7F7F7F"/>
        <rFont val="Arial Unicode MS"/>
        <family val="2"/>
      </rPr>
      <t xml:space="preserve">基准</t>
    </r>
  </si>
  <si>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每</t>
    </r>
    <r>
      <rPr>
        <sz val="9"/>
        <color rgb="FF7F7F7F"/>
        <rFont val="Microsoft YaHei"/>
        <family val="0"/>
        <charset val="1"/>
      </rPr>
      <t xml:space="preserve">±20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首年≈</t>
    </r>
    <r>
      <rPr>
        <sz val="9"/>
        <color rgb="FF7F7F7F"/>
        <rFont val="Microsoft YaHei"/>
        <family val="0"/>
        <charset val="1"/>
      </rPr>
      <t xml:space="preserve">FCFF±(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×20/365), </t>
    </r>
    <r>
      <rPr>
        <sz val="9"/>
        <color rgb="FF7F7F7F"/>
        <rFont val="Arial Unicode MS"/>
        <family val="2"/>
      </rPr>
      <t xml:space="preserve">以后年≈</t>
    </r>
    <r>
      <rPr>
        <sz val="9"/>
        <color rgb="FF7F7F7F"/>
        <rFont val="Microsoft YaHei"/>
        <family val="0"/>
        <charset val="1"/>
      </rPr>
      <t xml:space="preserve">±(Δ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×20/365); </t>
    </r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路径见</t>
    </r>
    <r>
      <rPr>
        <sz val="9"/>
        <color rgb="FF7F7F7F"/>
        <rFont val="Microsoft YaHei"/>
        <family val="0"/>
        <charset val="1"/>
      </rPr>
      <t xml:space="preserve">Assumptions(198→198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</si>
  <si>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Scenarios </t>
    </r>
    <r>
      <rPr>
        <b val="true"/>
        <sz val="13"/>
        <color rgb="FFFFFFFF"/>
        <rFont val="Arial Unicode MS"/>
        <family val="2"/>
      </rPr>
      <t xml:space="preserve">熊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基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牛三情景估值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</si>
  <si>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基准估值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(DCF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/IS</t>
    </r>
    <r>
      <rPr>
        <sz val="9"/>
        <color rgb="FF7F7F7F"/>
        <rFont val="Arial Unicode MS"/>
        <family val="2"/>
      </rPr>
      <t xml:space="preserve">页直接引用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牛保留简化净利率法并附桥接说明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折现为年中口径与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一致</t>
    </r>
  </si>
  <si>
    <t xml:space="preserve">情景开关当前值</t>
  </si>
  <si>
    <r>
      <rPr>
        <sz val="9"/>
        <color rgb="FF7F7F7F"/>
        <rFont val="Arial Unicode MS"/>
        <family val="2"/>
      </rPr>
      <t xml:space="preserve">主模型</t>
    </r>
    <r>
      <rPr>
        <sz val="9"/>
        <color rgb="FF7F7F7F"/>
        <rFont val="Microsoft YaHei"/>
        <family val="0"/>
        <charset val="1"/>
      </rPr>
      <t xml:space="preserve">(IS/BS/CF/FIN/DCF)</t>
    </r>
    <r>
      <rPr>
        <sz val="9"/>
        <color rgb="FF7F7F7F"/>
        <rFont val="Arial Unicode MS"/>
        <family val="2"/>
      </rPr>
      <t xml:space="preserve">随开关切换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本页熊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牛横向比较全部采用同一简化引擎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主模型另列桥接</t>
    </r>
  </si>
  <si>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NWC/</t>
    </r>
    <r>
      <rPr>
        <sz val="10"/>
        <color rgb="FF000000"/>
        <rFont val="Arial Unicode MS"/>
        <family val="2"/>
      </rPr>
      <t xml:space="preserve">收入密度</t>
    </r>
    <r>
      <rPr>
        <sz val="10"/>
        <color rgb="FF000000"/>
        <rFont val="Microsoft YaHei"/>
        <family val="0"/>
        <charset val="1"/>
      </rPr>
      <t xml:space="preserve">ρ</t>
    </r>
  </si>
  <si>
    <r>
      <rPr>
        <sz val="9"/>
        <color rgb="FF7F7F7F"/>
        <rFont val="Arial Unicode MS"/>
        <family val="2"/>
      </rPr>
      <t xml:space="preserve">情景页</t>
    </r>
    <r>
      <rPr>
        <sz val="9"/>
        <color rgb="FF7F7F7F"/>
        <rFont val="Microsoft YaHei"/>
        <family val="0"/>
        <charset val="1"/>
      </rPr>
      <t xml:space="preserve">ΔNWC=</t>
    </r>
    <r>
      <rPr>
        <sz val="9"/>
        <color rgb="FF7F7F7F"/>
        <rFont val="Arial Unicode MS"/>
        <family val="2"/>
      </rPr>
      <t xml:space="preserve">收入增量</t>
    </r>
    <r>
      <rPr>
        <sz val="9"/>
        <color rgb="FF7F7F7F"/>
        <rFont val="Microsoft YaHei"/>
        <family val="0"/>
        <charset val="1"/>
      </rPr>
      <t xml:space="preserve">×ρ(</t>
    </r>
    <r>
      <rPr>
        <sz val="9"/>
        <color rgb="FF7F7F7F"/>
        <rFont val="Arial Unicode MS"/>
        <family val="2"/>
      </rPr>
      <t xml:space="preserve">负密度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现金流来源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牛同一简化引擎均使用</t>
    </r>
  </si>
  <si>
    <r>
      <rPr>
        <b val="true"/>
        <sz val="10"/>
        <color rgb="FF1F3864"/>
        <rFont val="Arial Unicode MS"/>
        <family val="2"/>
      </rPr>
      <t xml:space="preserve">熊市 </t>
    </r>
    <r>
      <rPr>
        <b val="true"/>
        <sz val="10"/>
        <color rgb="FF1F3864"/>
        <rFont val="Microsoft YaHei"/>
        <family val="0"/>
        <charset val="1"/>
      </rPr>
      <t xml:space="preserve">Bear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92</t>
    </r>
    <r>
      <rPr>
        <b val="true"/>
        <sz val="10"/>
        <color rgb="FF1F3864"/>
        <rFont val="Arial Unicode MS"/>
        <family val="2"/>
      </rPr>
      <t xml:space="preserve">行</t>
    </r>
  </si>
  <si>
    <t xml:space="preserve">归母净利率</t>
  </si>
  <si>
    <r>
      <rPr>
        <sz val="10"/>
        <color rgb="FF000000"/>
        <rFont val="Microsoft YaHei"/>
        <family val="0"/>
        <charset val="1"/>
      </rPr>
      <t xml:space="preserve">FCFF (</t>
    </r>
    <r>
      <rPr>
        <sz val="10"/>
        <color rgb="FF000000"/>
        <rFont val="Arial Unicode MS"/>
        <family val="2"/>
      </rPr>
      <t xml:space="preserve">简化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</si>
  <si>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简化法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</si>
  <si>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简化净利率法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牛均使用相同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、</t>
    </r>
    <r>
      <rPr>
        <sz val="9"/>
        <color rgb="FF7F7F7F"/>
        <rFont val="Microsoft YaHei"/>
        <family val="0"/>
        <charset val="1"/>
      </rPr>
      <t xml:space="preserve">WACC/g</t>
    </r>
    <r>
      <rPr>
        <sz val="9"/>
        <color rgb="FF7F7F7F"/>
        <rFont val="Arial Unicode MS"/>
        <family val="2"/>
      </rPr>
      <t xml:space="preserve">及净现金桥口径</t>
    </r>
  </si>
  <si>
    <r>
      <rPr>
        <b val="true"/>
        <sz val="10"/>
        <color rgb="FF000000"/>
        <rFont val="Arial Unicode MS"/>
        <family val="2"/>
      </rPr>
      <t xml:space="preserve">相对估值股价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</si>
  <si>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＝情景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计价可比中位</t>
    </r>
    <r>
      <rPr>
        <sz val="9"/>
        <color rgb="FF7F7F7F"/>
        <rFont val="Microsoft YaHei"/>
        <family val="0"/>
        <charset val="1"/>
      </rPr>
      <t xml:space="preserve">2026E PE/</t>
    </r>
    <r>
      <rPr>
        <sz val="9"/>
        <color rgb="FF7F7F7F"/>
        <rFont val="Arial Unicode MS"/>
        <family val="2"/>
      </rPr>
      <t xml:space="preserve">稀释股数</t>
    </r>
  </si>
  <si>
    <r>
      <rPr>
        <b val="true"/>
        <sz val="10"/>
        <color rgb="FF1F3864"/>
        <rFont val="Arial Unicode MS"/>
        <family val="2"/>
      </rPr>
      <t xml:space="preserve">基准 </t>
    </r>
    <r>
      <rPr>
        <b val="true"/>
        <sz val="10"/>
        <color rgb="FF1F3864"/>
        <rFont val="Microsoft YaHei"/>
        <family val="0"/>
        <charset val="1"/>
      </rPr>
      <t xml:space="preserve">Base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93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</si>
  <si>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牛市 </t>
    </r>
    <r>
      <rPr>
        <b val="true"/>
        <sz val="10"/>
        <color rgb="FF1F3864"/>
        <rFont val="Microsoft YaHei"/>
        <family val="0"/>
        <charset val="1"/>
      </rPr>
      <t xml:space="preserve">Bull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94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</si>
  <si>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主模型桥接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不参与熊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基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牛同引擎横向替代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</si>
  <si>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主模型当前</t>
    </r>
    <r>
      <rPr>
        <b val="true"/>
        <sz val="10"/>
        <color rgb="FF000000"/>
        <rFont val="Microsoft YaHei"/>
        <family val="0"/>
        <charset val="1"/>
      </rPr>
      <t xml:space="preserve">DCF 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</si>
  <si>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/FIN/FCFF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当前情景由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开关决定</t>
    </r>
  </si>
  <si>
    <r>
      <rPr>
        <sz val="10"/>
        <color rgb="FF000000"/>
        <rFont val="Arial Unicode MS"/>
        <family val="2"/>
      </rPr>
      <t xml:space="preserve">同引擎基准</t>
    </r>
    <r>
      <rPr>
        <sz val="10"/>
        <color rgb="FF000000"/>
        <rFont val="Microsoft YaHei"/>
        <family val="0"/>
        <charset val="1"/>
      </rPr>
      <t xml:space="preserve">DCF 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</si>
  <si>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 比值</t>
    </r>
  </si>
  <si>
    <r>
      <rPr>
        <sz val="9"/>
        <color rgb="FF7F7F7F"/>
        <rFont val="Arial Unicode MS"/>
        <family val="2"/>
      </rPr>
      <t xml:space="preserve">桥接差异来自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计息、逐项营运资本与完整税务口径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不覆盖三情景简化法基准</t>
    </r>
  </si>
  <si>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 控制状态</t>
    </r>
  </si>
  <si>
    <t xml:space="preserve">三情景汇总</t>
  </si>
  <si>
    <t xml:space="preserve">指标</t>
  </si>
  <si>
    <t xml:space="preserve">熊市</t>
  </si>
  <si>
    <t xml:space="preserve">基准</t>
  </si>
  <si>
    <t xml:space="preserve">牛市</t>
  </si>
  <si>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</si>
  <si>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</si>
  <si>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牛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</si>
  <si>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sz val="10"/>
        <color rgb="FF000000"/>
        <rFont val="Microsoft YaHei"/>
        <family val="0"/>
        <charset val="1"/>
      </rPr>
      <t xml:space="preserve">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</si>
  <si>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相对估值股价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</si>
  <si>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</si>
  <si>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Checks </t>
    </r>
    <r>
      <rPr>
        <b val="true"/>
        <sz val="13"/>
        <color rgb="FFFFFFFF"/>
        <rFont val="Arial Unicode MS"/>
        <family val="2"/>
      </rPr>
      <t xml:space="preserve">自动校验</t>
    </r>
  </si>
  <si>
    <r>
      <rPr>
        <sz val="9"/>
        <color rgb="FF7F7F7F"/>
        <rFont val="Arial Unicode MS"/>
        <family val="2"/>
      </rPr>
      <t xml:space="preserve">所有校验为公式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应全部显示</t>
    </r>
    <r>
      <rPr>
        <sz val="9"/>
        <color rgb="FF7F7F7F"/>
        <rFont val="Microsoft YaHei"/>
        <family val="0"/>
        <charset val="1"/>
      </rPr>
      <t xml:space="preserve">TRUE;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FALSE</t>
    </r>
    <r>
      <rPr>
        <sz val="9"/>
        <color rgb="FF7F7F7F"/>
        <rFont val="Arial Unicode MS"/>
        <family val="2"/>
      </rPr>
      <t xml:space="preserve">请检查模型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</t>
    </r>
  </si>
  <si>
    <t xml:space="preserve">校验项</t>
  </si>
  <si>
    <t xml:space="preserve">说明</t>
  </si>
  <si>
    <r>
      <rPr>
        <sz val="10"/>
        <color rgb="FF000000"/>
        <rFont val="Microsoft YaHei"/>
        <family val="0"/>
        <charset val="1"/>
      </rPr>
      <t xml:space="preserve">1. BS</t>
    </r>
    <r>
      <rPr>
        <sz val="10"/>
        <color rgb="FF000000"/>
        <rFont val="Arial Unicode MS"/>
        <family val="2"/>
      </rPr>
      <t xml:space="preserve">配平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资产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负债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权益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差额</t>
    </r>
    <r>
      <rPr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</si>
  <si>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差额检查行见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底部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历史尾差已清零</t>
    </r>
  </si>
  <si>
    <r>
      <rPr>
        <sz val="10"/>
        <color rgb="FF000000"/>
        <rFont val="Microsoft YaHei"/>
        <family val="0"/>
        <charset val="1"/>
      </rPr>
      <t xml:space="preserve">2. CF</t>
    </r>
    <r>
      <rPr>
        <sz val="10"/>
        <color rgb="FF000000"/>
        <rFont val="Arial Unicode MS"/>
        <family val="2"/>
      </rPr>
      <t xml:space="preserve">期末现金</t>
    </r>
    <r>
      <rPr>
        <sz val="10"/>
        <color rgb="FF000000"/>
        <rFont val="Microsoft YaHei"/>
        <family val="0"/>
        <charset val="1"/>
      </rPr>
      <t xml:space="preserve">=BS</t>
    </r>
    <r>
      <rPr>
        <sz val="10"/>
        <color rgb="FF000000"/>
        <rFont val="Arial Unicode MS"/>
        <family val="2"/>
      </rPr>
      <t xml:space="preserve">货币资金 </t>
    </r>
    <r>
      <rPr>
        <sz val="10"/>
        <color rgb="FF000000"/>
        <rFont val="Microsoft YaHei"/>
        <family val="0"/>
        <charset val="1"/>
      </rPr>
      <t xml:space="preserve">(&lt;0.01)</t>
    </r>
  </si>
  <si>
    <r>
      <rPr>
        <sz val="9"/>
        <color rgb="FF7F7F7F"/>
        <rFont val="Arial Unicode MS"/>
        <family val="2"/>
      </rPr>
      <t xml:space="preserve">预测期逐年勾稽</t>
    </r>
    <r>
      <rPr>
        <sz val="9"/>
        <color rgb="FF7F7F7F"/>
        <rFont val="Microsoft YaHei"/>
        <family val="0"/>
        <charset val="1"/>
      </rPr>
      <t xml:space="preserve">; BS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</si>
  <si>
    <r>
      <rPr>
        <sz val="10"/>
        <color rgb="FF000000"/>
        <rFont val="Microsoft YaHei"/>
        <family val="0"/>
        <charset val="1"/>
      </rPr>
      <t xml:space="preserve">3. </t>
    </r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分红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盈余公积计提</t>
    </r>
  </si>
  <si>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滚动勾稽</t>
    </r>
  </si>
  <si>
    <r>
      <rPr>
        <sz val="10"/>
        <color rgb="FF000000"/>
        <rFont val="Microsoft YaHei"/>
        <family val="0"/>
        <charset val="1"/>
      </rPr>
      <t xml:space="preserve">4. IS</t>
    </r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=Revenue_Segments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</si>
  <si>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分部合计自动汇总进</t>
    </r>
    <r>
      <rPr>
        <sz val="9"/>
        <color rgb="FF7F7F7F"/>
        <rFont val="Microsoft YaHei"/>
        <family val="0"/>
        <charset val="1"/>
      </rPr>
      <t xml:space="preserve">IS</t>
    </r>
  </si>
  <si>
    <r>
      <rPr>
        <sz val="10"/>
        <color rgb="FF000000"/>
        <rFont val="Microsoft YaHei"/>
        <family val="0"/>
        <charset val="1"/>
      </rPr>
      <t xml:space="preserve">5. </t>
    </r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不闸门</t>
    </r>
    <r>
      <rPr>
        <sz val="10"/>
        <color rgb="FF000000"/>
        <rFont val="Microsoft YaHei"/>
        <family val="0"/>
        <charset val="1"/>
      </rPr>
      <t xml:space="preserve">): </t>
    </r>
    <r>
      <rPr>
        <sz val="10"/>
        <color rgb="FF000000"/>
        <rFont val="Arial Unicode MS"/>
        <family val="2"/>
      </rPr>
      <t xml:space="preserve">毛利率处于</t>
    </r>
    <r>
      <rPr>
        <sz val="10"/>
        <color rgb="FF000000"/>
        <rFont val="Microsoft YaHei"/>
        <family val="0"/>
        <charset val="1"/>
      </rPr>
      <t xml:space="preserve">(0%,60%)</t>
    </r>
    <r>
      <rPr>
        <sz val="10"/>
        <color rgb="FF000000"/>
        <rFont val="Arial Unicode MS"/>
        <family val="2"/>
      </rPr>
      <t xml:space="preserve">区间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</si>
  <si>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越界仅提示复核毛利率假设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区间可经</t>
    </r>
    <r>
      <rPr>
        <sz val="9"/>
        <color rgb="FF7F7F7F"/>
        <rFont val="Microsoft YaHei"/>
        <family val="0"/>
        <charset val="1"/>
      </rPr>
      <t xml:space="preserve">checks.gm_band</t>
    </r>
    <r>
      <rPr>
        <sz val="9"/>
        <color rgb="FF7F7F7F"/>
        <rFont val="Arial Unicode MS"/>
        <family val="2"/>
      </rPr>
      <t xml:space="preserve">配置</t>
    </r>
  </si>
  <si>
    <r>
      <rPr>
        <sz val="10"/>
        <color rgb="FF000000"/>
        <rFont val="Microsoft YaHei"/>
        <family val="0"/>
        <charset val="1"/>
      </rPr>
      <t xml:space="preserve">6. 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</si>
  <si>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页引用校验</t>
    </r>
  </si>
  <si>
    <r>
      <rPr>
        <sz val="10"/>
        <color rgb="FF000000"/>
        <rFont val="Microsoft YaHei"/>
        <family val="0"/>
        <charset val="1"/>
      </rPr>
      <t xml:space="preserve">7. Sensitivity</t>
    </r>
    <r>
      <rPr>
        <sz val="10"/>
        <color rgb="FF000000"/>
        <rFont val="Arial Unicode MS"/>
        <family val="2"/>
      </rPr>
      <t xml:space="preserve">矩阵一中心格</t>
    </r>
    <r>
      <rPr>
        <sz val="10"/>
        <color rgb="FF000000"/>
        <rFont val="Microsoft YaHei"/>
        <family val="0"/>
        <charset val="1"/>
      </rPr>
      <t xml:space="preserve">=DCF</t>
    </r>
    <r>
      <rPr>
        <sz val="10"/>
        <color rgb="FF000000"/>
        <rFont val="Arial Unicode MS"/>
        <family val="2"/>
      </rPr>
      <t xml:space="preserve">每股价值</t>
    </r>
  </si>
  <si>
    <r>
      <rPr>
        <sz val="9"/>
        <color rgb="FF7F7F7F"/>
        <rFont val="Arial Unicode MS"/>
        <family val="2"/>
      </rPr>
      <t xml:space="preserve">矩阵轴自动对中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/g, </t>
    </r>
    <r>
      <rPr>
        <sz val="9"/>
        <color rgb="FF7F7F7F"/>
        <rFont val="Arial Unicode MS"/>
        <family val="2"/>
      </rPr>
      <t xml:space="preserve">中心格恒等于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输出</t>
    </r>
  </si>
  <si>
    <r>
      <rPr>
        <sz val="10"/>
        <color rgb="FF000000"/>
        <rFont val="Microsoft YaHei"/>
        <family val="0"/>
        <charset val="1"/>
      </rPr>
      <t xml:space="preserve">8. WACC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计算值 或 </t>
    </r>
    <r>
      <rPr>
        <sz val="10"/>
        <color rgb="FF000000"/>
        <rFont val="Microsoft YaHei"/>
        <family val="0"/>
        <charset val="1"/>
      </rPr>
      <t xml:space="preserve">override</t>
    </r>
    <r>
      <rPr>
        <sz val="10"/>
        <color rgb="FF000000"/>
        <rFont val="Arial Unicode MS"/>
        <family val="2"/>
      </rPr>
      <t xml:space="preserve">非空</t>
    </r>
  </si>
  <si>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=IF(override="",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</t>
    </r>
    <r>
      <rPr>
        <sz val="9"/>
        <color rgb="FF7F7F7F"/>
        <rFont val="Arial Unicode MS"/>
        <family val="2"/>
      </rPr>
      <t xml:space="preserve">的逻辑校验</t>
    </r>
  </si>
  <si>
    <r>
      <rPr>
        <sz val="10"/>
        <color rgb="FF000000"/>
        <rFont val="Microsoft YaHei"/>
        <family val="0"/>
        <charset val="1"/>
      </rPr>
      <t xml:space="preserve">9.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</si>
  <si>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调度下现金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最低现金占比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恒正</t>
    </r>
  </si>
  <si>
    <r>
      <rPr>
        <sz val="10"/>
        <color rgb="FF000000"/>
        <rFont val="Microsoft YaHei"/>
        <family val="0"/>
        <charset val="1"/>
      </rPr>
      <t xml:space="preserve">10. </t>
    </r>
    <r>
      <rPr>
        <sz val="10"/>
        <color rgb="FF000000"/>
        <rFont val="Arial Unicode MS"/>
        <family val="2"/>
      </rPr>
      <t xml:space="preserve">四档债务余额≥</t>
    </r>
    <r>
      <rPr>
        <sz val="10"/>
        <color rgb="FF000000"/>
        <rFont val="Microsoft YaHei"/>
        <family val="0"/>
        <charset val="1"/>
      </rPr>
      <t xml:space="preserve">0</t>
    </r>
  </si>
  <si>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还款均以</t>
    </r>
    <r>
      <rPr>
        <sz val="9"/>
        <color rgb="FF7F7F7F"/>
        <rFont val="Microsoft YaHei"/>
        <family val="0"/>
        <charset val="1"/>
      </rPr>
      <t xml:space="preserve">MAX(0,·)</t>
    </r>
    <r>
      <rPr>
        <sz val="9"/>
        <color rgb="FF7F7F7F"/>
        <rFont val="Arial Unicode MS"/>
        <family val="2"/>
      </rPr>
      <t xml:space="preserve">兜底</t>
    </r>
  </si>
  <si>
    <r>
      <rPr>
        <sz val="10"/>
        <color rgb="FF000000"/>
        <rFont val="Microsoft YaHei"/>
        <family val="0"/>
        <charset val="1"/>
      </rPr>
      <t xml:space="preserve">11. FIN</t>
    </r>
    <r>
      <rPr>
        <sz val="10"/>
        <color rgb="FF000000"/>
        <rFont val="Arial Unicode MS"/>
        <family val="2"/>
      </rPr>
      <t xml:space="preserve">迭代残差</t>
    </r>
    <r>
      <rPr>
        <sz val="10"/>
        <color rgb="FF000000"/>
        <rFont val="Microsoft YaHei"/>
        <family val="0"/>
        <charset val="1"/>
      </rPr>
      <t xml:space="preserve">&lt;0.01 (</t>
    </r>
    <r>
      <rPr>
        <sz val="10"/>
        <color rgb="FF000000"/>
        <rFont val="Arial Unicode MS"/>
        <family val="2"/>
      </rPr>
      <t xml:space="preserve">迭代展开收敛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</si>
  <si>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轮采用值 </t>
    </r>
    <r>
      <rPr>
        <sz val="9"/>
        <color rgb="FF7F7F7F"/>
        <rFont val="Microsoft YaHei"/>
        <family val="0"/>
        <charset val="1"/>
      </rPr>
      <t xml:space="preserve">vs </t>
    </r>
    <r>
      <rPr>
        <sz val="9"/>
        <color rgb="FF7F7F7F"/>
        <rFont val="Arial Unicode MS"/>
        <family val="2"/>
      </rPr>
      <t xml:space="preserve">按期末余额重算隐含值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全簿无循环引用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</si>
  <si>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sz val="10"/>
        <color rgb="FF000000"/>
        <rFont val="Microsoft YaHei"/>
        <family val="0"/>
        <charset val="1"/>
      </rPr>
      <t xml:space="preserve">12. Named ranges</t>
    </r>
    <r>
      <rPr>
        <sz val="10"/>
        <color rgb="FF000000"/>
        <rFont val="Arial Unicode MS"/>
        <family val="2"/>
      </rPr>
      <t xml:space="preserve">存在性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审计轨迹</t>
    </r>
    <r>
      <rPr>
        <sz val="10"/>
        <color rgb="FF000000"/>
        <rFont val="Microsoft YaHei"/>
        <family val="0"/>
        <charset val="1"/>
      </rPr>
      <t xml:space="preserve">, 15</t>
    </r>
    <r>
      <rPr>
        <sz val="10"/>
        <color rgb="FF000000"/>
        <rFont val="Arial Unicode MS"/>
        <family val="2"/>
      </rPr>
      <t xml:space="preserve">个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</si>
  <si>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永续</t>
    </r>
    <r>
      <rPr>
        <sz val="9"/>
        <color rgb="FF7F7F7F"/>
        <rFont val="Microsoft YaHei"/>
        <family val="0"/>
        <charset val="1"/>
      </rPr>
      <t xml:space="preserve">g/Ke/Kd/rf/ERP/βu/</t>
    </r>
    <r>
      <rPr>
        <sz val="9"/>
        <color rgb="FF7F7F7F"/>
        <rFont val="Arial Unicode MS"/>
        <family val="2"/>
      </rPr>
      <t xml:space="preserve">税率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/DCF&amp;FCFE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named range</t>
    </r>
    <r>
      <rPr>
        <sz val="9"/>
        <color rgb="FF7F7F7F"/>
        <rFont val="Arial Unicode MS"/>
        <family val="2"/>
      </rPr>
      <t xml:space="preserve">被删则</t>
    </r>
    <r>
      <rPr>
        <sz val="9"/>
        <color rgb="FF7F7F7F"/>
        <rFont val="Microsoft YaHei"/>
        <family val="0"/>
        <charset val="1"/>
      </rPr>
      <t xml:space="preserve">FALSE</t>
    </r>
  </si>
  <si>
    <r>
      <rPr>
        <sz val="10"/>
        <color rgb="FF000000"/>
        <rFont val="Microsoft YaHei"/>
        <family val="0"/>
        <charset val="1"/>
      </rPr>
      <t xml:space="preserve">13. </t>
    </r>
    <r>
      <rPr>
        <sz val="10"/>
        <color rgb="FF000000"/>
        <rFont val="Arial Unicode MS"/>
        <family val="2"/>
      </rPr>
      <t xml:space="preserve">三情景同引擎估值单调性</t>
    </r>
  </si>
  <si>
    <r>
      <rPr>
        <sz val="9"/>
        <color rgb="FF7F7F7F"/>
        <rFont val="Arial Unicode MS"/>
        <family val="2"/>
      </rPr>
      <t xml:space="preserve">配置层已强制熊≤基≤牛调整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此处确保同一简化引擎的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与相对估值输出保持单调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</si>
  <si>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期初固资净值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</si>
  <si>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</si>
  <si>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模型收入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</si>
  <si>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9"/>
        <color rgb="FF7F7F7F"/>
        <rFont val="Arial Unicode MS"/>
        <family val="2"/>
      </rPr>
      <t xml:space="preserve">接近</t>
    </r>
    <r>
      <rPr>
        <sz val="9"/>
        <color rgb="FF7F7F7F"/>
        <rFont val="Microsoft YaHei"/>
        <family val="0"/>
        <charset val="1"/>
      </rPr>
      <t xml:space="preserve">100%</t>
    </r>
    <r>
      <rPr>
        <sz val="9"/>
        <color rgb="FF7F7F7F"/>
        <rFont val="Arial Unicode MS"/>
        <family val="2"/>
      </rPr>
      <t xml:space="preserve">即基准贴合一致预期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</si>
  <si>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模型归母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</si>
  <si>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WACC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采用值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</si>
  <si>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(override</t>
    </r>
    <r>
      <rPr>
        <sz val="9"/>
        <color rgb="FF7F7F7F"/>
        <rFont val="Arial Unicode MS"/>
        <family val="2"/>
      </rPr>
      <t xml:space="preserve">为空时两者相等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</si>
  <si>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每股价值比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</si>
  <si>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=FCFE/FCFF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两法差异原因见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页底部注记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</si>
  <si>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差异控制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</si>
  <si>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避免把方法论差异误判为机械勾稽失败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</si>
  <si>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完整主模型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同引擎基准桥接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</si>
  <si>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简化基准比值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完整主模型每股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差异说明见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桥接区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</si>
  <si>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</si>
  <si>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</si>
  <si>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2030E</t>
    </r>
    <r>
      <rPr>
        <sz val="10"/>
        <color rgb="FF000000"/>
        <rFont val="Arial Unicode MS"/>
        <family val="2"/>
      </rPr>
      <t xml:space="preserve">现金 </t>
    </r>
    <r>
      <rPr>
        <sz val="10"/>
        <color rgb="FF000000"/>
        <rFont val="Microsoft YaHei"/>
        <family val="0"/>
        <charset val="1"/>
      </rPr>
      <t xml:space="preserve">vs </t>
    </r>
    <r>
      <rPr>
        <sz val="10"/>
        <color rgb="FF000000"/>
        <rFont val="Arial Unicode MS"/>
        <family val="2"/>
      </rPr>
      <t xml:space="preserve">最低现金</t>
    </r>
  </si>
  <si>
    <r>
      <rPr>
        <sz val="9"/>
        <color rgb="FF7F7F7F"/>
        <rFont val="Arial Unicode MS"/>
        <family val="2"/>
      </rPr>
      <t xml:space="preserve">两者应相等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溢出去理财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</si>
  <si>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4"/>
        <color rgb="FF000000"/>
        <rFont val="Arial Unicode MS"/>
        <family val="2"/>
      </rPr>
      <t xml:space="preserve">汇总</t>
    </r>
    <r>
      <rPr>
        <b val="true"/>
        <sz val="14"/>
        <color rgb="FF000000"/>
        <rFont val="Microsoft YaHei"/>
        <family val="0"/>
        <charset val="1"/>
      </rPr>
      <t xml:space="preserve">: </t>
    </r>
    <r>
      <rPr>
        <b val="true"/>
        <sz val="14"/>
        <color rgb="FF000000"/>
        <rFont val="Arial Unicode MS"/>
        <family val="2"/>
      </rPr>
      <t xml:space="preserve">全部通过 </t>
    </r>
    <r>
      <rPr>
        <b val="true"/>
        <sz val="14"/>
        <color rgb="FF000000"/>
        <rFont val="Microsoft YaHei"/>
        <family val="0"/>
        <charset val="1"/>
      </rPr>
      <t xml:space="preserve">= </t>
    </r>
  </si>
  <si>
    <t xml:space="preserve">布尔汇总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</si>
</sst>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"/>
    <numFmt numFmtId="167" formatCode="0.0%"/>
    <numFmt numFmtId="168" formatCode="0"/>
    <numFmt numFmtId="169" formatCode="#,##0"/>
    <numFmt numFmtId="170" formatCode="0.000"/>
    <numFmt numFmtId="171" formatCode="0.0\年"/>
    <numFmt numFmtId="172" formatCode="0.0000"/>
    <numFmt numFmtId="173" formatCode="0.0"/>
    <numFmt numFmtId="174" formatCode="0.0\x"/>
    <numFmt numFmtId="175" formatCode="0\x"/>
  </numFmts>
  <fonts count="36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 Unicode MS"/>
      <family val="2"/>
    </font>
    <font>
      <b val="true"/>
      <sz val="20"/>
      <color rgb="FF1F3864"/>
      <name val="Microsoft YaHei"/>
      <family val="0"/>
      <charset val="1"/>
    </font>
    <font>
      <sz val="11"/>
      <color rgb="FF7F7F7F"/>
      <name val="Microsoft YaHei"/>
      <family val="0"/>
      <charset val="1"/>
    </font>
    <font>
      <sz val="11"/>
      <color rgb="FF7F7F7F"/>
      <name val="Arial Unicode MS"/>
      <family val="2"/>
    </font>
    <font>
      <b val="true"/>
      <sz val="10"/>
      <color rgb="FF000000"/>
      <name val="Arial Unicode MS"/>
      <family val="2"/>
    </font>
    <font>
      <sz val="10"/>
      <color rgb="FF000000"/>
      <name val="Microsoft YaHei"/>
      <family val="0"/>
      <charset val="1"/>
    </font>
    <font>
      <sz val="10"/>
      <color rgb="FF000000"/>
      <name val="Arial Unicode MS"/>
      <family val="2"/>
    </font>
    <font>
      <b val="true"/>
      <sz val="10"/>
      <color rgb="FF000000"/>
      <name val="Microsoft YaHei"/>
      <family val="0"/>
      <charset val="1"/>
    </font>
    <font>
      <sz val="9"/>
      <color rgb="FFCC0000"/>
      <name val="Arial Unicode MS"/>
      <family val="2"/>
    </font>
    <font>
      <sz val="9"/>
      <color rgb="FFCC0000"/>
      <name val="Microsoft YaHei"/>
      <family val="0"/>
      <charset val="1"/>
    </font>
    <font>
      <b val="true"/>
      <sz val="12"/>
      <color rgb="FF000000"/>
      <name val="Arial Unicode MS"/>
      <family val="2"/>
    </font>
    <font>
      <b val="true"/>
      <sz val="12"/>
      <color rgb="FF000000"/>
      <name val="Microsoft YaHei"/>
      <family val="0"/>
      <charset val="1"/>
    </font>
    <font>
      <sz val="10"/>
      <color rgb="FF7F7F7F"/>
      <name val="Microsoft YaHei"/>
      <family val="0"/>
      <charset val="1"/>
    </font>
    <font>
      <sz val="10"/>
      <color rgb="FF7F7F7F"/>
      <name val="Arial Unicode MS"/>
      <family val="2"/>
    </font>
    <font>
      <sz val="9"/>
      <color rgb="FF1E7A1E"/>
      <name val="Arial Unicode MS"/>
      <family val="2"/>
    </font>
    <font>
      <sz val="9"/>
      <color rgb="FF1E7A1E"/>
      <name val="Microsoft YaHei"/>
      <family val="0"/>
      <charset val="1"/>
    </font>
    <font>
      <sz val="9"/>
      <color rgb="FF7F7F7F"/>
      <name val="Arial Unicode MS"/>
      <family val="2"/>
    </font>
    <font>
      <sz val="9"/>
      <color rgb="FF7F7F7F"/>
      <name val="Microsoft YaHei"/>
      <family val="0"/>
      <charset val="1"/>
    </font>
    <font>
      <b val="true"/>
      <sz val="13"/>
      <color rgb="FFFFFFFF"/>
      <name val="Arial Unicode MS"/>
      <family val="2"/>
    </font>
    <font>
      <b val="true"/>
      <sz val="13"/>
      <color rgb="FFFFFFFF"/>
      <name val="Microsoft YaHei"/>
      <family val="0"/>
      <charset val="1"/>
    </font>
    <font>
      <b val="true"/>
      <sz val="10"/>
      <color rgb="FF1F3864"/>
      <name val="Arial Unicode MS"/>
      <family val="2"/>
    </font>
    <font>
      <b val="true"/>
      <sz val="10"/>
      <color rgb="FF1F3864"/>
      <name val="Microsoft YaHei"/>
      <family val="0"/>
      <charset val="1"/>
    </font>
    <font>
      <sz val="9"/>
      <color rgb="FF000000"/>
      <name val="Microsoft YaHei"/>
      <family val="0"/>
      <charset val="1"/>
    </font>
    <font>
      <sz val="10"/>
      <color rgb="FF0033CC"/>
      <name val="Microsoft YaHei"/>
      <family val="0"/>
      <charset val="1"/>
    </font>
    <font>
      <sz val="10"/>
      <color rgb="FF1E7A1E"/>
      <name val="Microsoft YaHei"/>
      <family val="0"/>
      <charset val="1"/>
    </font>
    <font>
      <b val="true"/>
      <sz val="10"/>
      <color rgb="FFCC0000"/>
      <name val="Arial Unicode MS"/>
      <family val="2"/>
    </font>
    <font>
      <b val="true"/>
      <sz val="10"/>
      <color rgb="FFCC0000"/>
      <name val="Microsoft YaHei"/>
      <family val="0"/>
      <charset val="1"/>
    </font>
    <font>
      <b val="true"/>
      <sz val="10"/>
      <color rgb="FF1E7A1E"/>
      <name val="Microsoft YaHei"/>
      <family val="0"/>
      <charset val="1"/>
    </font>
    <font>
      <b val="true"/>
      <sz val="10"/>
      <color rgb="FF0033CC"/>
      <name val="Microsoft YaHei"/>
      <family val="0"/>
      <charset val="1"/>
    </font>
    <font>
      <b val="true"/>
      <sz val="14"/>
      <color rgb="FF000000"/>
      <name val="Arial Unicode MS"/>
      <family val="2"/>
    </font>
    <font>
      <b val="true"/>
      <sz val="14"/>
      <color rgb="FF000000"/>
      <name val="Microsoft YaHei"/>
      <family val="0"/>
      <charset val="1"/>
    </font>
    <font>
      <b val="true"/>
      <sz val="16"/>
      <color rgb="FFCC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E7A1E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0033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0.93"/>
    <col collapsed="false" customWidth="true" hidden="false" outlineLevel="0" max="3" min="3" style="0" width="54.59"/>
    <col collapsed="false" customWidth="true" hidden="false" outlineLevel="0" max="8" min="4" style="0" width="11.83"/>
  </cols>
  <sheetData>
    <row r="2" customFormat="false" ht="29.8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6.4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5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30" hidden="false" customHeight="true" outlineLevel="0" collapsed="false">
      <c r="B8" s="3" t="s">
        <v>8</v>
      </c>
      <c r="C8" s="6" t="s">
        <v>9</v>
      </c>
      <c r="D8" s="6"/>
      <c r="E8" s="6"/>
      <c r="F8" s="6"/>
      <c r="G8" s="6"/>
      <c r="H8" s="6"/>
    </row>
    <row r="9" customFormat="false" ht="15" hidden="false" customHeight="false" outlineLevel="0" collapsed="false">
      <c r="B9" s="3"/>
      <c r="C9" s="4"/>
    </row>
    <row r="10" customFormat="false" ht="15" hidden="false" customHeight="false" outlineLevel="0" collapsed="false">
      <c r="B10" s="7" t="s">
        <v>10</v>
      </c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B11" s="3" t="s">
        <v>11</v>
      </c>
      <c r="C11" s="8" t="n">
        <f aca="false">Assumptions!C7</f>
        <v>123.53</v>
      </c>
    </row>
    <row r="12" customFormat="false" ht="15" hidden="false" customHeight="false" outlineLevel="0" collapsed="false">
      <c r="B12" s="3" t="s">
        <v>12</v>
      </c>
      <c r="C12" s="9" t="n">
        <f aca="false">Assumptions!C8</f>
        <v>1924.4</v>
      </c>
    </row>
    <row r="13" customFormat="false" ht="15" hidden="false" customHeight="false" outlineLevel="0" collapsed="false">
      <c r="B13" s="3" t="s">
        <v>13</v>
      </c>
      <c r="C13" s="9" t="n">
        <f aca="false">Assumptions!C9</f>
        <v>237721.132</v>
      </c>
    </row>
    <row r="14" customFormat="false" ht="15" hidden="false" customHeight="false" outlineLevel="0" collapsed="false">
      <c r="B14" s="3" t="s">
        <v>14</v>
      </c>
      <c r="C14" s="4" t="str">
        <f aca="false">"营收"&amp;TEXT(Assumptions!C12,"#,##0")&amp;" / 归母"&amp;TEXT(Assumptions!C13,"#,##0")&amp;" (gildata/聚源一致预期(2026-08-16): 263.8亿(+39.3%)/384.1亿(+45.6%)/544.1亿)"</f>
        <v>营收26,383 / 归母5,740 (gildata/聚源一致预期(2026-08-16): 263.8亿(+39.3%)/384.1亿(+45.6%)/544.1亿)</v>
      </c>
    </row>
    <row r="15" customFormat="false" ht="15" hidden="false" customHeight="false" outlineLevel="0" collapsed="false">
      <c r="B15" s="3"/>
      <c r="C15" s="4"/>
    </row>
    <row r="16" customFormat="false" ht="18.65" hidden="false" customHeight="false" outlineLevel="0" collapsed="false">
      <c r="B16" s="7" t="s">
        <v>15</v>
      </c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B17" s="3" t="s">
        <v>16</v>
      </c>
      <c r="C17" s="4" t="str">
        <f aca="false">Scenarios!C3</f>
        <v>基准</v>
      </c>
    </row>
    <row r="18" customFormat="false" ht="15" hidden="false" customHeight="false" outlineLevel="0" collapsed="false">
      <c r="B18" s="3" t="s">
        <v>17</v>
      </c>
      <c r="C18" s="9" t="n">
        <f aca="false">IS!E4</f>
        <v>26282.865412</v>
      </c>
    </row>
    <row r="19" customFormat="false" ht="15" hidden="false" customHeight="false" outlineLevel="0" collapsed="false">
      <c r="B19" s="3" t="s">
        <v>18</v>
      </c>
      <c r="C19" s="9" t="n">
        <f aca="false">IS!E20</f>
        <v>5292.47540853058</v>
      </c>
    </row>
    <row r="20" customFormat="false" ht="15" hidden="false" customHeight="false" outlineLevel="0" collapsed="false">
      <c r="B20" s="10" t="s">
        <v>19</v>
      </c>
      <c r="C20" s="4" t="str">
        <f aca="false">TEXT(Assumptions!C85,"0.00%")&amp;" / "&amp;TEXT(Assumptions!C87,"0.00%")</f>
        <v>7.56% / 7.56%</v>
      </c>
    </row>
    <row r="21" customFormat="false" ht="15" hidden="false" customHeight="false" outlineLevel="0" collapsed="false">
      <c r="B21" s="10" t="s">
        <v>20</v>
      </c>
      <c r="C21" s="8" t="n">
        <f aca="false">DCF!D26</f>
        <v>112.284229025296</v>
      </c>
    </row>
    <row r="22" customFormat="false" ht="15" hidden="false" customHeight="false" outlineLevel="0" collapsed="false">
      <c r="B22" s="10" t="s">
        <v>21</v>
      </c>
      <c r="C22" s="4" t="str">
        <f aca="false">TEXT(Scenarios!B12,"0.00")&amp;" / "&amp;TEXT(Scenarios!B21,"0.00")&amp;" / "&amp;TEXT(Scenarios!B30,"0.00")</f>
        <v>43.62 / 116.87 / 188.00</v>
      </c>
    </row>
    <row r="23" customFormat="false" ht="15" hidden="false" customHeight="false" outlineLevel="0" collapsed="false">
      <c r="B23" s="3" t="s">
        <v>22</v>
      </c>
      <c r="C23" s="4" t="str">
        <f aca="false">TEXT(Relative_Val!C16,"0.00")&amp;" ~ "&amp;TEXT(Relative_Val!C17,"0.00")</f>
        <v>82.51 ~ 116.67</v>
      </c>
    </row>
    <row r="24" customFormat="false" ht="15" hidden="false" customHeight="false" outlineLevel="0" collapsed="false">
      <c r="B24" s="3" t="s">
        <v>23</v>
      </c>
      <c r="C24" s="4" t="str">
        <f aca="false">TEXT(Summary!C13,"0.00")&amp;" ~ "&amp;TEXT(Summary!D13,"0.00")</f>
        <v>43.62 ~ 188.00</v>
      </c>
    </row>
    <row r="25" customFormat="false" ht="15" hidden="false" customHeight="false" outlineLevel="0" collapsed="false">
      <c r="B25" s="10" t="s">
        <v>24</v>
      </c>
      <c r="C25" s="4" t="str">
        <f aca="false">Checks!F28</f>
        <v>全部通过=TRUE</v>
      </c>
    </row>
    <row r="27" customFormat="false" ht="18.65" hidden="false" customHeight="false" outlineLevel="0" collapsed="false">
      <c r="B27" s="7" t="s">
        <v>25</v>
      </c>
      <c r="C27" s="7"/>
      <c r="D27" s="7"/>
      <c r="E27" s="7"/>
      <c r="F27" s="7"/>
      <c r="G27" s="7"/>
      <c r="H27" s="7"/>
    </row>
    <row r="28" customFormat="false" ht="39.75" hidden="false" customHeight="true" outlineLevel="0" collapsed="false">
      <c r="B28" s="11" t="s">
        <v>26</v>
      </c>
      <c r="C28" s="11"/>
      <c r="D28" s="11"/>
      <c r="E28" s="11"/>
      <c r="F28" s="11"/>
      <c r="G28" s="11"/>
      <c r="H28" s="11"/>
    </row>
    <row r="29" customFormat="false" ht="39.75" hidden="false" customHeight="true" outlineLevel="0" collapsed="false">
      <c r="B29" s="11" t="s">
        <v>27</v>
      </c>
      <c r="C29" s="11"/>
      <c r="D29" s="11"/>
      <c r="E29" s="11"/>
      <c r="F29" s="11"/>
      <c r="G29" s="11"/>
      <c r="H29" s="11"/>
    </row>
    <row r="30" customFormat="false" ht="39.75" hidden="false" customHeight="true" outlineLevel="0" collapsed="false">
      <c r="B30" s="11" t="s">
        <v>28</v>
      </c>
      <c r="C30" s="11"/>
      <c r="D30" s="11"/>
      <c r="E30" s="11"/>
      <c r="F30" s="11"/>
      <c r="G30" s="11"/>
      <c r="H30" s="11"/>
    </row>
    <row r="31" customFormat="false" ht="39.75" hidden="false" customHeight="true" outlineLevel="0" collapsed="false">
      <c r="B31" s="11" t="s">
        <v>29</v>
      </c>
      <c r="C31" s="11"/>
      <c r="D31" s="11"/>
      <c r="E31" s="11"/>
      <c r="F31" s="11"/>
      <c r="G31" s="11"/>
      <c r="H31" s="11"/>
    </row>
    <row r="32" customFormat="false" ht="39.75" hidden="false" customHeight="true" outlineLevel="0" collapsed="false">
      <c r="B32" s="11" t="s">
        <v>30</v>
      </c>
      <c r="C32" s="11"/>
      <c r="D32" s="11"/>
      <c r="E32" s="11"/>
      <c r="F32" s="11"/>
      <c r="G32" s="11"/>
      <c r="H32" s="11"/>
    </row>
    <row r="33" customFormat="false" ht="25.5" hidden="false" customHeight="true" outlineLevel="0" collapsed="false">
      <c r="B33" s="11" t="s">
        <v>31</v>
      </c>
      <c r="C33" s="11"/>
      <c r="D33" s="11"/>
      <c r="E33" s="11"/>
      <c r="F33" s="11"/>
      <c r="G33" s="11"/>
      <c r="H33" s="11"/>
    </row>
    <row r="34" customFormat="false" ht="39.75" hidden="false" customHeight="true" outlineLevel="0" collapsed="false">
      <c r="B34" s="11" t="s">
        <v>32</v>
      </c>
      <c r="C34" s="11"/>
      <c r="D34" s="11"/>
      <c r="E34" s="11"/>
      <c r="F34" s="11"/>
      <c r="G34" s="11"/>
      <c r="H34" s="11"/>
    </row>
    <row r="35" customFormat="false" ht="25.5" hidden="false" customHeight="true" outlineLevel="0" collapsed="false">
      <c r="B35" s="11" t="s">
        <v>33</v>
      </c>
      <c r="C35" s="11"/>
      <c r="D35" s="11"/>
      <c r="E35" s="11"/>
      <c r="F35" s="11"/>
      <c r="G35" s="11"/>
      <c r="H35" s="11"/>
    </row>
    <row r="36" customFormat="false" ht="39.75" hidden="false" customHeight="true" outlineLevel="0" collapsed="false">
      <c r="B36" s="11" t="s">
        <v>34</v>
      </c>
      <c r="C36" s="11"/>
      <c r="D36" s="11"/>
      <c r="E36" s="11"/>
      <c r="F36" s="11"/>
      <c r="G36" s="11"/>
      <c r="H36" s="11"/>
    </row>
    <row r="38" customFormat="false" ht="15" hidden="false" customHeight="false" outlineLevel="0" collapsed="false">
      <c r="B38" s="7" t="s">
        <v>35</v>
      </c>
      <c r="C38" s="7"/>
      <c r="D38" s="7"/>
      <c r="E38" s="7"/>
      <c r="F38" s="7"/>
      <c r="G38" s="7"/>
      <c r="H38" s="7"/>
    </row>
    <row r="39" customFormat="false" ht="24" hidden="false" customHeight="true" outlineLevel="0" collapsed="false">
      <c r="B39" s="12" t="s">
        <v>36</v>
      </c>
      <c r="C39" s="12"/>
      <c r="D39" s="12"/>
      <c r="E39" s="12"/>
      <c r="F39" s="12"/>
      <c r="G39" s="12"/>
      <c r="H39" s="12"/>
    </row>
    <row r="40" customFormat="false" ht="24" hidden="false" customHeight="true" outlineLevel="0" collapsed="false">
      <c r="B40" s="12" t="s">
        <v>37</v>
      </c>
      <c r="C40" s="12"/>
      <c r="D40" s="12"/>
      <c r="E40" s="12"/>
      <c r="F40" s="12"/>
      <c r="G40" s="12"/>
      <c r="H40" s="12"/>
    </row>
    <row r="41" customFormat="false" ht="24" hidden="false" customHeight="true" outlineLevel="0" collapsed="false">
      <c r="B41" s="12" t="s">
        <v>38</v>
      </c>
      <c r="C41" s="12"/>
      <c r="D41" s="12"/>
      <c r="E41" s="12"/>
      <c r="F41" s="12"/>
      <c r="G41" s="12"/>
      <c r="H41" s="12"/>
    </row>
    <row r="43" customFormat="false" ht="15" hidden="false" customHeight="true" outlineLevel="0" collapsed="false">
      <c r="B43" s="13" t="s">
        <v>39</v>
      </c>
      <c r="C43" s="13"/>
      <c r="D43" s="13"/>
      <c r="E43" s="13"/>
      <c r="F43" s="13"/>
      <c r="G43" s="13"/>
      <c r="H43" s="13"/>
    </row>
    <row r="44" customFormat="false" ht="15" hidden="false" customHeight="false" outlineLevel="0" collapsed="false">
      <c r="B44" s="13"/>
      <c r="C44" s="13"/>
      <c r="D44" s="13"/>
      <c r="E44" s="13"/>
      <c r="F44" s="13"/>
      <c r="G44" s="13"/>
      <c r="H44" s="13"/>
    </row>
    <row r="45" customFormat="false" ht="15" hidden="false" customHeight="false" outlineLevel="0" collapsed="false">
      <c r="B45" s="13"/>
      <c r="C45" s="13"/>
      <c r="D45" s="13"/>
      <c r="E45" s="13"/>
      <c r="F45" s="13"/>
      <c r="G45" s="13"/>
      <c r="H45" s="13"/>
    </row>
  </sheetData>
  <mergeCells count="20">
    <mergeCell ref="B2:H2"/>
    <mergeCell ref="B3:H3"/>
    <mergeCell ref="C8:H8"/>
    <mergeCell ref="B10:H10"/>
    <mergeCell ref="B16:H1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8:H38"/>
    <mergeCell ref="B39:H39"/>
    <mergeCell ref="B40:H40"/>
    <mergeCell ref="B41:H41"/>
    <mergeCell ref="B43:H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20.01"/>
    <col collapsed="false" customWidth="true" hidden="false" outlineLevel="0" max="6" min="3" style="0" width="10.92"/>
    <col collapsed="false" customWidth="true" hidden="false" outlineLevel="0" max="7" min="7" style="0" width="36.39"/>
  </cols>
  <sheetData>
    <row r="1" customFormat="false" ht="24" hidden="false" customHeight="true" outlineLevel="0" collapsed="false">
      <c r="A1" s="14" t="s">
        <v>40</v>
      </c>
      <c r="B1" s="14"/>
      <c r="C1" s="14"/>
      <c r="D1" s="14"/>
      <c r="E1" s="14"/>
      <c r="F1" s="14"/>
      <c r="G1" s="14"/>
      <c r="H1" s="14"/>
    </row>
    <row r="2" customFormat="false" ht="13.5" hidden="false" customHeight="true" outlineLevel="0" collapsed="false">
      <c r="A2" s="15" t="s">
        <v>41</v>
      </c>
      <c r="B2" s="15"/>
      <c r="C2" s="15"/>
      <c r="D2" s="15"/>
      <c r="E2" s="15"/>
      <c r="F2" s="15"/>
      <c r="G2" s="15"/>
      <c r="H2" s="15"/>
    </row>
    <row r="4" customFormat="false" ht="15" hidden="false" customHeight="false" outlineLevel="0" collapsed="false">
      <c r="A4" s="16" t="s">
        <v>42</v>
      </c>
      <c r="B4" s="16" t="s">
        <v>43</v>
      </c>
      <c r="C4" s="16" t="s">
        <v>44</v>
      </c>
      <c r="D4" s="16" t="s">
        <v>45</v>
      </c>
      <c r="E4" s="16" t="s">
        <v>46</v>
      </c>
      <c r="F4" s="16" t="s">
        <v>47</v>
      </c>
      <c r="G4" s="16" t="s">
        <v>48</v>
      </c>
    </row>
    <row r="5" customFormat="false" ht="25.35" hidden="false" customHeight="false" outlineLevel="0" collapsed="false">
      <c r="A5" s="10" t="s">
        <v>49</v>
      </c>
      <c r="B5" s="17" t="s">
        <v>50</v>
      </c>
      <c r="C5" s="8" t="n">
        <f aca="false">DCF!D26</f>
        <v>112.284229025296</v>
      </c>
      <c r="D5" s="8" t="n">
        <f aca="false">DCF!D26</f>
        <v>112.284229025296</v>
      </c>
      <c r="E5" s="18" t="n">
        <f aca="false">(C5+D5)/2</f>
        <v>112.284229025296</v>
      </c>
      <c r="F5" s="19" t="n">
        <f aca="false">E5/Assumptions!$C$7-1</f>
        <v>-0.0910367600963644</v>
      </c>
      <c r="G5" s="20" t="s">
        <v>51</v>
      </c>
    </row>
    <row r="6" customFormat="false" ht="15" hidden="false" customHeight="false" outlineLevel="0" collapsed="false">
      <c r="A6" s="10" t="s">
        <v>52</v>
      </c>
      <c r="B6" s="17" t="s">
        <v>53</v>
      </c>
      <c r="C6" s="8" t="n">
        <f aca="false">Scenarios!B12</f>
        <v>43.6203931318112</v>
      </c>
      <c r="D6" s="8" t="n">
        <f aca="false">Scenarios!B12</f>
        <v>43.6203931318112</v>
      </c>
      <c r="E6" s="18" t="n">
        <f aca="false">(C6+D6)/2</f>
        <v>43.6203931318112</v>
      </c>
      <c r="F6" s="19" t="n">
        <f aca="false">E6/Assumptions!$C$7-1</f>
        <v>-0.646884213293846</v>
      </c>
      <c r="G6" s="20" t="s">
        <v>54</v>
      </c>
    </row>
    <row r="7" customFormat="false" ht="25.35" hidden="false" customHeight="false" outlineLevel="0" collapsed="false">
      <c r="A7" s="10" t="s">
        <v>55</v>
      </c>
      <c r="B7" s="17" t="s">
        <v>53</v>
      </c>
      <c r="C7" s="8" t="n">
        <f aca="false">Scenarios!B21</f>
        <v>116.874916607451</v>
      </c>
      <c r="D7" s="8" t="n">
        <f aca="false">Scenarios!B21</f>
        <v>116.874916607451</v>
      </c>
      <c r="E7" s="18" t="n">
        <f aca="false">(C7+D7)/2</f>
        <v>116.874916607451</v>
      </c>
      <c r="F7" s="19" t="n">
        <f aca="false">E7/Assumptions!$C$7-1</f>
        <v>-0.0538742280624052</v>
      </c>
      <c r="G7" s="20" t="s">
        <v>56</v>
      </c>
    </row>
    <row r="8" customFormat="false" ht="15" hidden="false" customHeight="false" outlineLevel="0" collapsed="false">
      <c r="A8" s="10" t="s">
        <v>57</v>
      </c>
      <c r="B8" s="17" t="s">
        <v>53</v>
      </c>
      <c r="C8" s="8" t="n">
        <f aca="false">Scenarios!B30</f>
        <v>188.004916194419</v>
      </c>
      <c r="D8" s="8" t="n">
        <f aca="false">Scenarios!B30</f>
        <v>188.004916194419</v>
      </c>
      <c r="E8" s="18" t="n">
        <f aca="false">(C8+D8)/2</f>
        <v>188.004916194419</v>
      </c>
      <c r="F8" s="19" t="n">
        <f aca="false">E8/Assumptions!$C$7-1</f>
        <v>0.52193731234857</v>
      </c>
      <c r="G8" s="20" t="s">
        <v>58</v>
      </c>
    </row>
    <row r="9" customFormat="false" ht="15" hidden="false" customHeight="false" outlineLevel="0" collapsed="false">
      <c r="A9" s="3" t="s">
        <v>59</v>
      </c>
      <c r="B9" s="21" t="s">
        <v>60</v>
      </c>
      <c r="C9" s="8" t="n">
        <f aca="false">Relative_Val!C16</f>
        <v>82.5058523466625</v>
      </c>
      <c r="D9" s="8" t="n">
        <f aca="false">Relative_Val!C17</f>
        <v>116.674616628378</v>
      </c>
      <c r="E9" s="18" t="n">
        <f aca="false">(C9+D9)/2</f>
        <v>99.59023448752</v>
      </c>
      <c r="F9" s="19" t="n">
        <f aca="false">E9/Assumptions!$C$7-1</f>
        <v>-0.193797178923986</v>
      </c>
      <c r="G9" s="20" t="s">
        <v>61</v>
      </c>
    </row>
    <row r="10" customFormat="false" ht="15" hidden="false" customHeight="false" outlineLevel="0" collapsed="false">
      <c r="A10" s="3" t="s">
        <v>62</v>
      </c>
      <c r="B10" s="21" t="s">
        <v>60</v>
      </c>
      <c r="C10" s="8" t="n">
        <f aca="false">Relative_Val!C18</f>
        <v>89.48555393889</v>
      </c>
      <c r="D10" s="8" t="n">
        <f aca="false">Relative_Val!D18</f>
        <v>126.544874122743</v>
      </c>
      <c r="E10" s="18" t="n">
        <f aca="false">(C10+D10)/2</f>
        <v>108.015214030816</v>
      </c>
      <c r="F10" s="19" t="n">
        <f aca="false">E10/Assumptions!$C$7-1</f>
        <v>-0.125595288344399</v>
      </c>
      <c r="G10" s="20" t="s">
        <v>63</v>
      </c>
    </row>
    <row r="11" customFormat="false" ht="25.35" hidden="false" customHeight="false" outlineLevel="0" collapsed="false">
      <c r="A11" s="10" t="s">
        <v>64</v>
      </c>
      <c r="B11" s="21" t="s">
        <v>65</v>
      </c>
      <c r="C11" s="8" t="n">
        <f aca="false">FCFE!D20</f>
        <v>108.397794592512</v>
      </c>
      <c r="D11" s="8" t="n">
        <f aca="false">FCFE!D20</f>
        <v>108.397794592512</v>
      </c>
      <c r="E11" s="18" t="n">
        <f aca="false">(C11+D11)/2</f>
        <v>108.397794592512</v>
      </c>
      <c r="F11" s="19" t="n">
        <f aca="false">E11/Assumptions!$C$7-1</f>
        <v>-0.122498222354799</v>
      </c>
      <c r="G11" s="22" t="s">
        <v>66</v>
      </c>
    </row>
    <row r="12" customFormat="false" ht="15" hidden="false" customHeight="false" outlineLevel="0" collapsed="false">
      <c r="A12" s="3" t="s">
        <v>67</v>
      </c>
      <c r="C12" s="8" t="n">
        <f aca="false">Assumptions!$C$7</f>
        <v>123.53</v>
      </c>
      <c r="D12" s="8" t="n">
        <f aca="false">Assumptions!$C$7</f>
        <v>123.53</v>
      </c>
      <c r="E12" s="8" t="n">
        <f aca="false">Assumptions!$C$7</f>
        <v>123.53</v>
      </c>
    </row>
    <row r="13" customFormat="false" ht="15" hidden="false" customHeight="false" outlineLevel="0" collapsed="false">
      <c r="A13" s="3" t="s">
        <v>68</v>
      </c>
      <c r="C13" s="23" t="n">
        <f aca="false">MIN(C5,C6,C7,C8,C9,C10,C11)</f>
        <v>43.6203931318112</v>
      </c>
      <c r="D13" s="23" t="n">
        <f aca="false">MAX(D5,D6,D7,D8,D9,D10,D11)</f>
        <v>188.004916194419</v>
      </c>
      <c r="E13" s="23" t="n">
        <f aca="false">(C13+D13)/2</f>
        <v>115.812654663115</v>
      </c>
      <c r="F13" s="24" t="n">
        <f aca="false">E13/Assumptions!$C$7-1</f>
        <v>-0.0624734504726382</v>
      </c>
      <c r="G13" s="25" t="s">
        <v>69</v>
      </c>
    </row>
    <row r="15" customFormat="false" ht="15.75" hidden="false" customHeight="true" outlineLevel="0" collapsed="false">
      <c r="A15" s="26" t="s">
        <v>70</v>
      </c>
      <c r="B15" s="26"/>
      <c r="C15" s="26"/>
      <c r="D15" s="26"/>
      <c r="E15" s="26"/>
      <c r="F15" s="26"/>
      <c r="G15" s="26"/>
      <c r="H15" s="26"/>
    </row>
    <row r="16" customFormat="false" ht="15" hidden="false" customHeight="false" outlineLevel="0" collapsed="false">
      <c r="A16" s="3" t="s">
        <v>71</v>
      </c>
      <c r="B16" s="3" t="s">
        <v>72</v>
      </c>
    </row>
    <row r="17" customFormat="false" ht="15" hidden="false" customHeight="false" outlineLevel="0" collapsed="false">
      <c r="A17" s="27" t="s">
        <v>73</v>
      </c>
      <c r="B17" s="28" t="str">
        <f aca="false">REPT("▮",MAX(1,ROUND((D5-C5)/10,0)))&amp;"  ["&amp;TEXT(C5,"0")&amp;"—"&amp;TEXT(D5,"0")&amp;"]"</f>
        <v>▮  [112—112]</v>
      </c>
      <c r="C17" s="28"/>
      <c r="D17" s="28"/>
      <c r="E17" s="28"/>
      <c r="F17" s="28"/>
      <c r="G17" s="28"/>
    </row>
    <row r="18" customFormat="false" ht="15" hidden="false" customHeight="false" outlineLevel="0" collapsed="false">
      <c r="A18" s="27" t="s">
        <v>74</v>
      </c>
      <c r="B18" s="28" t="str">
        <f aca="false">REPT("▮",MAX(1,ROUND((D6-C6)/10,0)))&amp;"  ["&amp;TEXT(C6,"0")&amp;"—"&amp;TEXT(D6,"0")&amp;"]"</f>
        <v>▮  [44—44]</v>
      </c>
      <c r="C18" s="28"/>
      <c r="D18" s="28"/>
      <c r="E18" s="28"/>
      <c r="F18" s="28"/>
      <c r="G18" s="28"/>
    </row>
    <row r="19" customFormat="false" ht="15" hidden="false" customHeight="false" outlineLevel="0" collapsed="false">
      <c r="A19" s="27" t="s">
        <v>75</v>
      </c>
      <c r="B19" s="28" t="str">
        <f aca="false">REPT("▮",MAX(1,ROUND((D7-C7)/10,0)))&amp;"  ["&amp;TEXT(C7,"0")&amp;"—"&amp;TEXT(D7,"0")&amp;"]"</f>
        <v>▮  [117—117]</v>
      </c>
      <c r="C19" s="28"/>
      <c r="D19" s="28"/>
      <c r="E19" s="28"/>
      <c r="F19" s="28"/>
      <c r="G19" s="28"/>
    </row>
    <row r="20" customFormat="false" ht="15" hidden="false" customHeight="false" outlineLevel="0" collapsed="false">
      <c r="A20" s="27" t="s">
        <v>76</v>
      </c>
      <c r="B20" s="28" t="str">
        <f aca="false">REPT("▮",MAX(1,ROUND((D8-C8)/10,0)))&amp;"  ["&amp;TEXT(C8,"0")&amp;"—"&amp;TEXT(D8,"0")&amp;"]"</f>
        <v>▮  [188—188]</v>
      </c>
      <c r="C20" s="28"/>
      <c r="D20" s="28"/>
      <c r="E20" s="28"/>
      <c r="F20" s="28"/>
      <c r="G20" s="28"/>
    </row>
    <row r="21" customFormat="false" ht="15" hidden="false" customHeight="false" outlineLevel="0" collapsed="false">
      <c r="A21" s="25" t="s">
        <v>77</v>
      </c>
      <c r="B21" s="28" t="str">
        <f aca="false">REPT("▮",MAX(1,ROUND((D9-C9)/10,0)))&amp;"  ["&amp;TEXT(C9,"0")&amp;"—"&amp;TEXT(D9,"0")&amp;"]"</f>
        <v>▮▮▮  [83—117]</v>
      </c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5" t="s">
        <v>78</v>
      </c>
      <c r="B22" s="28" t="str">
        <f aca="false">REPT("▮",MAX(1,ROUND((D10-C10)/10,0)))&amp;"  ["&amp;TEXT(C10,"0")&amp;"—"&amp;TEXT(D10,"0")&amp;"]"</f>
        <v>▮▮▮▮  [89—127]</v>
      </c>
      <c r="C22" s="28"/>
      <c r="D22" s="28"/>
      <c r="E22" s="28"/>
      <c r="F22" s="28"/>
      <c r="G22" s="28"/>
    </row>
    <row r="23" customFormat="false" ht="15" hidden="false" customHeight="false" outlineLevel="0" collapsed="false">
      <c r="A23" s="27" t="s">
        <v>79</v>
      </c>
      <c r="B23" s="28" t="str">
        <f aca="false">REPT("▮",MAX(1,ROUND((D11-C11)/10,0)))&amp;"  ["&amp;TEXT(C11,"0")&amp;"—"&amp;TEXT(D11,"0")&amp;"]"</f>
        <v>▮  [108—108]</v>
      </c>
      <c r="C23" s="28"/>
      <c r="D23" s="28"/>
      <c r="E23" s="28"/>
      <c r="F23" s="28"/>
      <c r="G23" s="28"/>
    </row>
    <row r="25" customFormat="false" ht="15" hidden="false" customHeight="true" outlineLevel="0" collapsed="false">
      <c r="A25" s="3" t="s">
        <v>80</v>
      </c>
      <c r="B25" s="29" t="s">
        <v>81</v>
      </c>
      <c r="C25" s="29"/>
      <c r="D25" s="29"/>
      <c r="E25" s="29"/>
      <c r="F25" s="29"/>
      <c r="G25" s="29"/>
    </row>
    <row r="26" customFormat="false" ht="15" hidden="false" customHeight="false" outlineLevel="0" collapsed="false">
      <c r="A26" s="10" t="s">
        <v>82</v>
      </c>
      <c r="B26" s="30" t="str">
        <f aca="false">IF(""&lt;&gt;"","WAIVED: ",IF(ABS(FCFE!D22)&gt;=0.3,"警告: 差异≥30%, 复核债务调度/资本结构/终值","通过: 差异&lt;30%"))</f>
        <v>通过: 差异&lt;30%</v>
      </c>
      <c r="C26" s="30"/>
      <c r="D26" s="30"/>
      <c r="E26" s="30"/>
      <c r="F26" s="30"/>
      <c r="G26" s="30"/>
    </row>
    <row r="27" customFormat="false" ht="15" hidden="false" customHeight="false" outlineLevel="0" collapsed="false">
      <c r="A27" s="3" t="s">
        <v>83</v>
      </c>
      <c r="B27" s="30" t="str">
        <f aca="false">IF(ABS(Scenarios!B36-1)&gt;=0.3,"警告: 桥接差异≥30%, 复核简化引擎","通过: 桥接差异&lt;30%")</f>
        <v>通过: 桥接差异&lt;30%</v>
      </c>
      <c r="C27" s="30"/>
      <c r="D27" s="30"/>
      <c r="E27" s="30"/>
      <c r="F27" s="30"/>
      <c r="G27" s="30"/>
    </row>
  </sheetData>
  <mergeCells count="13">
    <mergeCell ref="A1:H1"/>
    <mergeCell ref="A2:H2"/>
    <mergeCell ref="A15:H15"/>
    <mergeCell ref="B17:G17"/>
    <mergeCell ref="B18:G18"/>
    <mergeCell ref="B19:G19"/>
    <mergeCell ref="B20:G20"/>
    <mergeCell ref="B21:G21"/>
    <mergeCell ref="B22:G22"/>
    <mergeCell ref="B23:G23"/>
    <mergeCell ref="B25:G25"/>
    <mergeCell ref="B26:G26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7.28"/>
    <col collapsed="false" customWidth="true" hidden="false" outlineLevel="0" max="7" min="3" style="0" width="10.01"/>
    <col collapsed="false" customWidth="true" hidden="false" outlineLevel="0" max="8" min="8" style="0" width="86.43"/>
  </cols>
  <sheetData>
    <row r="1" customFormat="false" ht="24" hidden="false" customHeight="true" outlineLevel="0" collapsed="false">
      <c r="A1" s="14" t="s">
        <v>84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85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6" t="s">
        <v>86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15" hidden="false" customHeight="false" outlineLevel="0" collapsed="false">
      <c r="A5" s="5" t="s">
        <v>87</v>
      </c>
      <c r="B5" s="31" t="s">
        <v>88</v>
      </c>
      <c r="C5" s="32" t="n">
        <v>2</v>
      </c>
      <c r="H5" s="20" t="s">
        <v>89</v>
      </c>
    </row>
    <row r="6" customFormat="false" ht="15" hidden="false" customHeight="false" outlineLevel="0" collapsed="false">
      <c r="A6" s="5" t="s">
        <v>90</v>
      </c>
      <c r="C6" s="33" t="s">
        <v>91</v>
      </c>
      <c r="H6" s="25" t="s">
        <v>92</v>
      </c>
    </row>
    <row r="7" customFormat="false" ht="15" hidden="false" customHeight="false" outlineLevel="0" collapsed="false">
      <c r="A7" s="5" t="s">
        <v>93</v>
      </c>
      <c r="B7" s="34" t="s">
        <v>94</v>
      </c>
      <c r="C7" s="35" t="n">
        <v>123.53</v>
      </c>
      <c r="H7" s="22" t="s">
        <v>95</v>
      </c>
    </row>
    <row r="8" customFormat="false" ht="15" hidden="false" customHeight="false" outlineLevel="0" collapsed="false">
      <c r="A8" s="5" t="s">
        <v>96</v>
      </c>
      <c r="B8" s="34" t="s">
        <v>97</v>
      </c>
      <c r="C8" s="36" t="n">
        <v>1924.4</v>
      </c>
      <c r="H8" s="20" t="s">
        <v>98</v>
      </c>
    </row>
    <row r="9" customFormat="false" ht="15" hidden="false" customHeight="false" outlineLevel="0" collapsed="false">
      <c r="A9" s="5" t="s">
        <v>99</v>
      </c>
      <c r="B9" s="34" t="s">
        <v>100</v>
      </c>
      <c r="C9" s="9" t="n">
        <f aca="false">C7*C8</f>
        <v>237721.132</v>
      </c>
      <c r="H9" s="25" t="s">
        <v>101</v>
      </c>
    </row>
    <row r="11" customFormat="false" ht="15.75" hidden="false" customHeight="true" outlineLevel="0" collapsed="false">
      <c r="A11" s="26" t="s">
        <v>102</v>
      </c>
      <c r="B11" s="26"/>
      <c r="C11" s="26"/>
      <c r="D11" s="26"/>
      <c r="E11" s="26"/>
      <c r="F11" s="26"/>
      <c r="G11" s="26"/>
      <c r="H11" s="26"/>
      <c r="I11" s="26"/>
      <c r="J11" s="26"/>
    </row>
    <row r="12" customFormat="false" ht="15" hidden="false" customHeight="false" outlineLevel="0" collapsed="false">
      <c r="A12" s="5" t="s">
        <v>103</v>
      </c>
      <c r="B12" s="34" t="s">
        <v>100</v>
      </c>
      <c r="C12" s="36" t="n">
        <v>26383.1</v>
      </c>
      <c r="H12" s="22" t="s">
        <v>104</v>
      </c>
    </row>
    <row r="13" customFormat="false" ht="15" hidden="false" customHeight="false" outlineLevel="0" collapsed="false">
      <c r="A13" s="5" t="s">
        <v>105</v>
      </c>
      <c r="B13" s="34" t="s">
        <v>100</v>
      </c>
      <c r="C13" s="36" t="n">
        <v>5740.2</v>
      </c>
      <c r="H13" s="22" t="s">
        <v>106</v>
      </c>
    </row>
    <row r="14" customFormat="false" ht="15" hidden="false" customHeight="false" outlineLevel="0" collapsed="false">
      <c r="A14" s="5" t="s">
        <v>107</v>
      </c>
      <c r="B14" s="34" t="s">
        <v>100</v>
      </c>
      <c r="C14" s="36" t="n">
        <v>38408.8</v>
      </c>
      <c r="H14" s="22" t="s">
        <v>104</v>
      </c>
    </row>
    <row r="15" customFormat="false" ht="15" hidden="false" customHeight="false" outlineLevel="0" collapsed="false">
      <c r="A15" s="5" t="s">
        <v>108</v>
      </c>
      <c r="B15" s="34" t="s">
        <v>100</v>
      </c>
      <c r="C15" s="36" t="n">
        <v>8833.8</v>
      </c>
      <c r="H15" s="22" t="s">
        <v>106</v>
      </c>
    </row>
    <row r="16" customFormat="false" ht="15" hidden="false" customHeight="false" outlineLevel="0" collapsed="false">
      <c r="A16" s="5" t="s">
        <v>109</v>
      </c>
      <c r="B16" s="34" t="s">
        <v>100</v>
      </c>
      <c r="C16" s="36" t="n">
        <v>54413</v>
      </c>
      <c r="H16" s="22" t="s">
        <v>104</v>
      </c>
    </row>
    <row r="17" customFormat="false" ht="15" hidden="false" customHeight="false" outlineLevel="0" collapsed="false">
      <c r="A17" s="5" t="s">
        <v>110</v>
      </c>
      <c r="B17" s="34" t="s">
        <v>100</v>
      </c>
      <c r="C17" s="36" t="n">
        <v>13098.5</v>
      </c>
      <c r="H17" s="22" t="s">
        <v>106</v>
      </c>
    </row>
    <row r="18" customFormat="false" ht="15" hidden="false" customHeight="false" outlineLevel="0" collapsed="false">
      <c r="A18" s="4" t="s">
        <v>111</v>
      </c>
      <c r="B18" s="34" t="s">
        <v>100</v>
      </c>
      <c r="C18" s="36" t="n">
        <v>6214.2</v>
      </c>
      <c r="H18" s="20" t="s">
        <v>112</v>
      </c>
    </row>
    <row r="19" customFormat="false" ht="15" hidden="false" customHeight="false" outlineLevel="0" collapsed="false">
      <c r="A19" s="4" t="s">
        <v>113</v>
      </c>
      <c r="B19" s="34" t="s">
        <v>100</v>
      </c>
      <c r="C19" s="36" t="n">
        <v>1242.1</v>
      </c>
      <c r="H19" s="20" t="s">
        <v>114</v>
      </c>
    </row>
    <row r="21" customFormat="false" ht="15.75" hidden="false" customHeight="true" outlineLevel="0" collapsed="false">
      <c r="A21" s="26" t="s">
        <v>115</v>
      </c>
      <c r="B21" s="26"/>
      <c r="C21" s="26"/>
      <c r="D21" s="26"/>
      <c r="E21" s="26"/>
      <c r="F21" s="26"/>
      <c r="G21" s="26"/>
      <c r="H21" s="26"/>
      <c r="I21" s="26"/>
      <c r="J21" s="26"/>
    </row>
    <row r="22" customFormat="false" ht="15" hidden="false" customHeight="false" outlineLevel="0" collapsed="false">
      <c r="A22" s="3" t="s">
        <v>116</v>
      </c>
      <c r="C22" s="37" t="s">
        <v>117</v>
      </c>
      <c r="D22" s="37" t="s">
        <v>118</v>
      </c>
      <c r="E22" s="37" t="s">
        <v>119</v>
      </c>
      <c r="F22" s="37" t="s">
        <v>120</v>
      </c>
      <c r="G22" s="37" t="s">
        <v>121</v>
      </c>
      <c r="H22" s="3" t="s">
        <v>122</v>
      </c>
    </row>
    <row r="23" customFormat="false" ht="25.35" hidden="false" customHeight="false" outlineLevel="0" collapsed="false">
      <c r="A23" s="4" t="s">
        <v>123</v>
      </c>
      <c r="B23" s="31" t="s">
        <v>124</v>
      </c>
      <c r="C23" s="38" t="n">
        <v>0.4</v>
      </c>
      <c r="D23" s="38" t="n">
        <v>0.45</v>
      </c>
      <c r="E23" s="38" t="n">
        <v>0.42</v>
      </c>
      <c r="F23" s="38" t="n">
        <v>0.26</v>
      </c>
      <c r="G23" s="38" t="n">
        <v>0.17</v>
      </c>
      <c r="H23" s="20" t="s">
        <v>125</v>
      </c>
    </row>
    <row r="24" customFormat="false" ht="15" hidden="false" customHeight="false" outlineLevel="0" collapsed="false">
      <c r="A24" s="5" t="s">
        <v>126</v>
      </c>
      <c r="B24" s="31" t="s">
        <v>124</v>
      </c>
      <c r="C24" s="38" t="n">
        <v>0.1</v>
      </c>
      <c r="D24" s="38" t="n">
        <v>0.1</v>
      </c>
      <c r="E24" s="38" t="n">
        <v>0.08</v>
      </c>
      <c r="F24" s="38" t="n">
        <v>0.06</v>
      </c>
      <c r="G24" s="38" t="n">
        <v>0.05</v>
      </c>
      <c r="H24" s="20" t="s">
        <v>127</v>
      </c>
    </row>
    <row r="26" customFormat="false" ht="15.75" hidden="false" customHeight="true" outlineLevel="0" collapsed="false">
      <c r="A26" s="26" t="s">
        <v>128</v>
      </c>
      <c r="B26" s="26"/>
      <c r="C26" s="26"/>
      <c r="D26" s="26"/>
      <c r="E26" s="26"/>
      <c r="F26" s="26"/>
      <c r="G26" s="26"/>
      <c r="H26" s="26"/>
      <c r="I26" s="26"/>
      <c r="J26" s="26"/>
    </row>
    <row r="27" customFormat="false" ht="15" hidden="false" customHeight="false" outlineLevel="0" collapsed="false">
      <c r="A27" s="4" t="s">
        <v>129</v>
      </c>
      <c r="B27" s="31" t="s">
        <v>124</v>
      </c>
      <c r="C27" s="38" t="n">
        <v>0.372</v>
      </c>
      <c r="D27" s="38" t="n">
        <v>0.38</v>
      </c>
      <c r="E27" s="38" t="n">
        <v>0.385</v>
      </c>
      <c r="F27" s="38" t="n">
        <v>0.38</v>
      </c>
      <c r="G27" s="38" t="n">
        <v>0.375</v>
      </c>
      <c r="H27" s="20" t="s">
        <v>130</v>
      </c>
    </row>
    <row r="28" customFormat="false" ht="15" hidden="false" customHeight="false" outlineLevel="0" collapsed="false">
      <c r="A28" s="5" t="s">
        <v>131</v>
      </c>
      <c r="B28" s="31" t="s">
        <v>124</v>
      </c>
      <c r="C28" s="38" t="n">
        <v>0.0288</v>
      </c>
      <c r="D28" s="38" t="n">
        <v>0.0288</v>
      </c>
      <c r="E28" s="38" t="n">
        <v>0.0288</v>
      </c>
      <c r="F28" s="38" t="n">
        <v>0.0288</v>
      </c>
      <c r="G28" s="38" t="n">
        <v>0.0288</v>
      </c>
      <c r="H28" s="22" t="s">
        <v>132</v>
      </c>
    </row>
    <row r="30" customFormat="false" ht="15.75" hidden="false" customHeight="true" outlineLevel="0" collapsed="false">
      <c r="A30" s="26" t="s">
        <v>133</v>
      </c>
      <c r="B30" s="26"/>
      <c r="C30" s="26"/>
      <c r="D30" s="26"/>
      <c r="E30" s="26"/>
      <c r="F30" s="26"/>
      <c r="G30" s="26"/>
      <c r="H30" s="26"/>
      <c r="I30" s="26"/>
      <c r="J30" s="26"/>
    </row>
    <row r="31" customFormat="false" ht="15" hidden="false" customHeight="false" outlineLevel="0" collapsed="false">
      <c r="A31" s="5" t="s">
        <v>134</v>
      </c>
      <c r="B31" s="31" t="s">
        <v>124</v>
      </c>
      <c r="C31" s="38" t="n">
        <v>0.0059</v>
      </c>
      <c r="D31" s="38" t="n">
        <v>0.0059</v>
      </c>
      <c r="E31" s="38" t="n">
        <v>0.0059</v>
      </c>
      <c r="F31" s="38" t="n">
        <v>0.0059</v>
      </c>
      <c r="G31" s="38" t="n">
        <v>0.0059</v>
      </c>
      <c r="H31" s="20" t="s">
        <v>135</v>
      </c>
    </row>
    <row r="32" customFormat="false" ht="15" hidden="false" customHeight="false" outlineLevel="0" collapsed="false">
      <c r="A32" s="5" t="s">
        <v>136</v>
      </c>
      <c r="B32" s="31" t="s">
        <v>124</v>
      </c>
      <c r="C32" s="38" t="n">
        <v>0.028</v>
      </c>
      <c r="D32" s="38" t="n">
        <v>0.028</v>
      </c>
      <c r="E32" s="38" t="n">
        <v>0.028</v>
      </c>
      <c r="F32" s="38" t="n">
        <v>0.028</v>
      </c>
      <c r="G32" s="38" t="n">
        <v>0.028</v>
      </c>
      <c r="H32" s="20" t="s">
        <v>137</v>
      </c>
    </row>
    <row r="33" customFormat="false" ht="15" hidden="false" customHeight="false" outlineLevel="0" collapsed="false">
      <c r="A33" s="5" t="s">
        <v>138</v>
      </c>
      <c r="B33" s="31" t="s">
        <v>124</v>
      </c>
      <c r="C33" s="38" t="n">
        <v>0.0222</v>
      </c>
      <c r="D33" s="38" t="n">
        <v>0.0222</v>
      </c>
      <c r="E33" s="38" t="n">
        <v>0.0222</v>
      </c>
      <c r="F33" s="38" t="n">
        <v>0.0222</v>
      </c>
      <c r="G33" s="38" t="n">
        <v>0.0222</v>
      </c>
      <c r="H33" s="20" t="s">
        <v>139</v>
      </c>
    </row>
    <row r="34" customFormat="false" ht="15" hidden="false" customHeight="false" outlineLevel="0" collapsed="false">
      <c r="A34" s="5" t="s">
        <v>140</v>
      </c>
      <c r="B34" s="31" t="s">
        <v>124</v>
      </c>
      <c r="C34" s="38" t="n">
        <v>0.0602</v>
      </c>
      <c r="D34" s="38" t="n">
        <v>0.0602</v>
      </c>
      <c r="E34" s="38" t="n">
        <v>0.0602</v>
      </c>
      <c r="F34" s="38" t="n">
        <v>0.0602</v>
      </c>
      <c r="G34" s="38" t="n">
        <v>0.0602</v>
      </c>
      <c r="H34" s="20" t="s">
        <v>141</v>
      </c>
    </row>
    <row r="35" customFormat="false" ht="15" hidden="false" customHeight="false" outlineLevel="0" collapsed="false">
      <c r="A35" s="5" t="s">
        <v>142</v>
      </c>
      <c r="B35" s="34" t="s">
        <v>100</v>
      </c>
      <c r="C35" s="39" t="n">
        <v>-174.6</v>
      </c>
      <c r="D35" s="39" t="n">
        <v>-174.6</v>
      </c>
      <c r="E35" s="39" t="n">
        <v>-174.6</v>
      </c>
      <c r="F35" s="39" t="n">
        <v>-174.6</v>
      </c>
      <c r="G35" s="39" t="n">
        <v>-174.6</v>
      </c>
      <c r="H35" s="20" t="s">
        <v>143</v>
      </c>
    </row>
    <row r="36" customFormat="false" ht="15" hidden="false" customHeight="false" outlineLevel="0" collapsed="false">
      <c r="A36" s="5" t="s">
        <v>144</v>
      </c>
      <c r="B36" s="34" t="s">
        <v>100</v>
      </c>
      <c r="C36" s="39" t="n">
        <v>-12.6</v>
      </c>
      <c r="D36" s="39" t="n">
        <v>-12.6</v>
      </c>
      <c r="E36" s="39" t="n">
        <v>-12.6</v>
      </c>
      <c r="F36" s="39" t="n">
        <v>-12.6</v>
      </c>
      <c r="G36" s="39" t="n">
        <v>-12.6</v>
      </c>
      <c r="H36" s="20" t="s">
        <v>145</v>
      </c>
    </row>
    <row r="37" customFormat="false" ht="15" hidden="false" customHeight="false" outlineLevel="0" collapsed="false">
      <c r="A37" s="5" t="s">
        <v>146</v>
      </c>
      <c r="B37" s="31" t="s">
        <v>124</v>
      </c>
      <c r="C37" s="38" t="n">
        <v>0.1317</v>
      </c>
      <c r="D37" s="38" t="n">
        <v>0.1317</v>
      </c>
      <c r="E37" s="38" t="n">
        <v>0.1317</v>
      </c>
      <c r="F37" s="38" t="n">
        <v>0.1317</v>
      </c>
      <c r="G37" s="38" t="n">
        <v>0.1317</v>
      </c>
      <c r="H37" s="20" t="s">
        <v>147</v>
      </c>
    </row>
    <row r="38" customFormat="false" ht="15" hidden="false" customHeight="false" outlineLevel="0" collapsed="false">
      <c r="A38" s="5" t="s">
        <v>148</v>
      </c>
      <c r="B38" s="31" t="s">
        <v>124</v>
      </c>
      <c r="C38" s="38" t="n">
        <v>0</v>
      </c>
      <c r="D38" s="38" t="n">
        <v>0</v>
      </c>
      <c r="E38" s="38" t="n">
        <v>0</v>
      </c>
      <c r="F38" s="38" t="n">
        <v>0</v>
      </c>
      <c r="G38" s="38" t="n">
        <v>0</v>
      </c>
      <c r="H38" s="20" t="s">
        <v>149</v>
      </c>
    </row>
    <row r="39" customFormat="false" ht="15" hidden="false" customHeight="false" outlineLevel="0" collapsed="false">
      <c r="A39" s="5" t="s">
        <v>150</v>
      </c>
      <c r="B39" s="31" t="s">
        <v>124</v>
      </c>
      <c r="C39" s="38" t="n">
        <v>-0.0036</v>
      </c>
      <c r="H39" s="20" t="s">
        <v>151</v>
      </c>
    </row>
    <row r="41" customFormat="false" ht="15.75" hidden="false" customHeight="true" outlineLevel="0" collapsed="false">
      <c r="A41" s="26" t="s">
        <v>152</v>
      </c>
      <c r="B41" s="26"/>
      <c r="C41" s="26"/>
      <c r="D41" s="26"/>
      <c r="E41" s="26"/>
      <c r="F41" s="26"/>
      <c r="G41" s="26"/>
      <c r="H41" s="26"/>
      <c r="I41" s="26"/>
      <c r="J41" s="26"/>
    </row>
    <row r="42" customFormat="false" ht="15" hidden="false" customHeight="false" outlineLevel="0" collapsed="false">
      <c r="A42" s="4" t="s">
        <v>153</v>
      </c>
      <c r="B42" s="34" t="s">
        <v>154</v>
      </c>
      <c r="C42" s="40" t="n">
        <v>106</v>
      </c>
      <c r="D42" s="40" t="n">
        <v>106</v>
      </c>
      <c r="E42" s="40" t="n">
        <v>106</v>
      </c>
      <c r="F42" s="40" t="n">
        <v>106</v>
      </c>
      <c r="G42" s="40" t="n">
        <v>106</v>
      </c>
      <c r="H42" s="20" t="s">
        <v>155</v>
      </c>
    </row>
    <row r="43" customFormat="false" ht="15" hidden="false" customHeight="false" outlineLevel="0" collapsed="false">
      <c r="A43" s="4" t="s">
        <v>156</v>
      </c>
      <c r="B43" s="34" t="s">
        <v>154</v>
      </c>
      <c r="C43" s="40" t="n">
        <v>127</v>
      </c>
      <c r="D43" s="40" t="n">
        <v>127</v>
      </c>
      <c r="E43" s="40" t="n">
        <v>127</v>
      </c>
      <c r="F43" s="40" t="n">
        <v>127</v>
      </c>
      <c r="G43" s="40" t="n">
        <v>127</v>
      </c>
      <c r="H43" s="20" t="s">
        <v>157</v>
      </c>
    </row>
    <row r="44" customFormat="false" ht="15" hidden="false" customHeight="false" outlineLevel="0" collapsed="false">
      <c r="A44" s="4" t="s">
        <v>158</v>
      </c>
      <c r="B44" s="34" t="s">
        <v>154</v>
      </c>
      <c r="C44" s="40" t="n">
        <v>198</v>
      </c>
      <c r="D44" s="40" t="n">
        <v>198</v>
      </c>
      <c r="E44" s="40" t="n">
        <v>198</v>
      </c>
      <c r="F44" s="40" t="n">
        <v>198</v>
      </c>
      <c r="G44" s="40" t="n">
        <v>198</v>
      </c>
      <c r="H44" s="20" t="s">
        <v>159</v>
      </c>
    </row>
    <row r="45" customFormat="false" ht="15" hidden="false" customHeight="false" outlineLevel="0" collapsed="false">
      <c r="A45" s="5" t="s">
        <v>160</v>
      </c>
      <c r="B45" s="31" t="s">
        <v>124</v>
      </c>
      <c r="C45" s="38" t="n">
        <v>0.0052</v>
      </c>
      <c r="D45" s="38" t="n">
        <v>0.0052</v>
      </c>
      <c r="E45" s="38" t="n">
        <v>0.0052</v>
      </c>
      <c r="F45" s="38" t="n">
        <v>0.0052</v>
      </c>
      <c r="G45" s="38" t="n">
        <v>0.0052</v>
      </c>
      <c r="H45" s="20" t="s">
        <v>161</v>
      </c>
    </row>
    <row r="46" customFormat="false" ht="15" hidden="false" customHeight="false" outlineLevel="0" collapsed="false">
      <c r="A46" s="5" t="s">
        <v>162</v>
      </c>
      <c r="B46" s="31" t="s">
        <v>124</v>
      </c>
      <c r="C46" s="38" t="n">
        <v>0.028</v>
      </c>
      <c r="D46" s="38" t="n">
        <v>0.028</v>
      </c>
      <c r="E46" s="38" t="n">
        <v>0.028</v>
      </c>
      <c r="F46" s="38" t="n">
        <v>0.028</v>
      </c>
      <c r="G46" s="38" t="n">
        <v>0.028</v>
      </c>
      <c r="H46" s="20" t="s">
        <v>163</v>
      </c>
    </row>
    <row r="47" customFormat="false" ht="15" hidden="false" customHeight="false" outlineLevel="0" collapsed="false">
      <c r="A47" s="5" t="s">
        <v>164</v>
      </c>
      <c r="B47" s="31" t="s">
        <v>124</v>
      </c>
      <c r="C47" s="38" t="n">
        <v>0.0145</v>
      </c>
      <c r="D47" s="38" t="n">
        <v>0.0145</v>
      </c>
      <c r="E47" s="38" t="n">
        <v>0.0145</v>
      </c>
      <c r="F47" s="38" t="n">
        <v>0.0145</v>
      </c>
      <c r="G47" s="38" t="n">
        <v>0.0145</v>
      </c>
      <c r="H47" s="20" t="s">
        <v>165</v>
      </c>
    </row>
    <row r="49" customFormat="false" ht="15.75" hidden="false" customHeight="true" outlineLevel="0" collapsed="false">
      <c r="A49" s="26" t="s">
        <v>166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4" t="s">
        <v>167</v>
      </c>
      <c r="B50" s="31" t="s">
        <v>124</v>
      </c>
      <c r="C50" s="38" t="n">
        <v>0.1688</v>
      </c>
      <c r="D50" s="38" t="n">
        <v>0.1435</v>
      </c>
      <c r="E50" s="38" t="n">
        <v>0.1182</v>
      </c>
      <c r="F50" s="38" t="n">
        <v>0.1013</v>
      </c>
      <c r="G50" s="38" t="n">
        <v>0.0844</v>
      </c>
      <c r="H50" s="20" t="s">
        <v>168</v>
      </c>
    </row>
    <row r="51" customFormat="false" ht="15" hidden="false" customHeight="false" outlineLevel="0" collapsed="false">
      <c r="A51" s="5" t="s">
        <v>169</v>
      </c>
      <c r="B51" s="31" t="s">
        <v>124</v>
      </c>
      <c r="C51" s="38" t="n">
        <v>0.75</v>
      </c>
      <c r="H51" s="20" t="s">
        <v>170</v>
      </c>
    </row>
    <row r="52" customFormat="false" ht="15" hidden="false" customHeight="false" outlineLevel="0" collapsed="false">
      <c r="A52" s="5" t="s">
        <v>171</v>
      </c>
      <c r="B52" s="31" t="s">
        <v>124</v>
      </c>
      <c r="C52" s="38" t="n">
        <v>0.12</v>
      </c>
      <c r="H52" s="20" t="s">
        <v>172</v>
      </c>
    </row>
    <row r="53" customFormat="false" ht="15" hidden="false" customHeight="false" outlineLevel="0" collapsed="false">
      <c r="A53" s="5" t="s">
        <v>173</v>
      </c>
      <c r="B53" s="31" t="s">
        <v>124</v>
      </c>
      <c r="C53" s="38" t="n">
        <v>0.04</v>
      </c>
      <c r="H53" s="20" t="s">
        <v>174</v>
      </c>
    </row>
    <row r="54" customFormat="false" ht="15" hidden="false" customHeight="false" outlineLevel="0" collapsed="false">
      <c r="A54" s="5" t="s">
        <v>175</v>
      </c>
      <c r="B54" s="31" t="s">
        <v>124</v>
      </c>
      <c r="C54" s="38" t="n">
        <v>0.01</v>
      </c>
      <c r="H54" s="20" t="s">
        <v>176</v>
      </c>
    </row>
    <row r="55" customFormat="false" ht="15" hidden="false" customHeight="false" outlineLevel="0" collapsed="false">
      <c r="A55" s="5" t="s">
        <v>177</v>
      </c>
      <c r="B55" s="31" t="s">
        <v>124</v>
      </c>
      <c r="C55" s="38" t="n">
        <v>0.08</v>
      </c>
      <c r="H55" s="20" t="s">
        <v>178</v>
      </c>
    </row>
    <row r="57" customFormat="false" ht="15.75" hidden="false" customHeight="true" outlineLevel="0" collapsed="false">
      <c r="A57" s="26" t="s">
        <v>179</v>
      </c>
      <c r="B57" s="26"/>
      <c r="C57" s="26"/>
      <c r="D57" s="26"/>
      <c r="E57" s="26"/>
      <c r="F57" s="26"/>
      <c r="G57" s="26"/>
      <c r="H57" s="26"/>
      <c r="I57" s="26"/>
      <c r="J57" s="26"/>
    </row>
    <row r="58" customFormat="false" ht="15" hidden="false" customHeight="false" outlineLevel="0" collapsed="false">
      <c r="A58" s="5" t="s">
        <v>180</v>
      </c>
      <c r="B58" s="31" t="s">
        <v>124</v>
      </c>
      <c r="C58" s="38" t="n">
        <v>0.3</v>
      </c>
      <c r="D58" s="38" t="n">
        <v>0.3</v>
      </c>
      <c r="E58" s="38" t="n">
        <v>0.3</v>
      </c>
      <c r="F58" s="38" t="n">
        <v>0.3</v>
      </c>
      <c r="G58" s="38" t="n">
        <v>0.3</v>
      </c>
      <c r="H58" s="20" t="s">
        <v>181</v>
      </c>
    </row>
    <row r="59" customFormat="false" ht="15" hidden="false" customHeight="false" outlineLevel="0" collapsed="false">
      <c r="A59" s="5" t="s">
        <v>182</v>
      </c>
      <c r="B59" s="31" t="s">
        <v>124</v>
      </c>
      <c r="C59" s="38" t="n">
        <v>0.1</v>
      </c>
      <c r="H59" s="20" t="s">
        <v>183</v>
      </c>
    </row>
    <row r="61" customFormat="false" ht="15.75" hidden="false" customHeight="true" outlineLevel="0" collapsed="false">
      <c r="A61" s="26" t="s">
        <v>184</v>
      </c>
      <c r="B61" s="26"/>
      <c r="C61" s="26"/>
      <c r="D61" s="26"/>
      <c r="E61" s="26"/>
      <c r="F61" s="26"/>
      <c r="G61" s="26"/>
      <c r="H61" s="26"/>
      <c r="I61" s="26"/>
      <c r="J61" s="26"/>
    </row>
    <row r="62" customFormat="false" ht="15" hidden="false" customHeight="false" outlineLevel="0" collapsed="false">
      <c r="A62" s="5" t="s">
        <v>185</v>
      </c>
      <c r="B62" s="31" t="s">
        <v>124</v>
      </c>
      <c r="C62" s="38" t="n">
        <v>0.02</v>
      </c>
      <c r="H62" s="20" t="s">
        <v>186</v>
      </c>
    </row>
    <row r="63" customFormat="false" ht="15" hidden="false" customHeight="false" outlineLevel="0" collapsed="false">
      <c r="A63" s="5" t="s">
        <v>187</v>
      </c>
      <c r="B63" s="34" t="s">
        <v>100</v>
      </c>
      <c r="C63" s="39" t="n">
        <v>0</v>
      </c>
      <c r="D63" s="39" t="n">
        <v>0</v>
      </c>
      <c r="E63" s="39" t="n">
        <v>0</v>
      </c>
      <c r="F63" s="39" t="n">
        <v>0</v>
      </c>
      <c r="G63" s="39" t="n">
        <v>0</v>
      </c>
      <c r="H63" s="20" t="s">
        <v>188</v>
      </c>
    </row>
    <row r="64" customFormat="false" ht="15" hidden="false" customHeight="false" outlineLevel="0" collapsed="false">
      <c r="A64" s="5" t="s">
        <v>189</v>
      </c>
      <c r="B64" s="34" t="s">
        <v>100</v>
      </c>
      <c r="C64" s="39" t="n">
        <v>100</v>
      </c>
      <c r="D64" s="39" t="n">
        <v>100</v>
      </c>
      <c r="E64" s="39" t="n">
        <v>100</v>
      </c>
      <c r="F64" s="39" t="n">
        <v>100</v>
      </c>
      <c r="G64" s="39" t="n">
        <v>100</v>
      </c>
      <c r="H64" s="20" t="s">
        <v>190</v>
      </c>
    </row>
    <row r="65" customFormat="false" ht="15" hidden="false" customHeight="false" outlineLevel="0" collapsed="false">
      <c r="A65" s="5" t="s">
        <v>191</v>
      </c>
      <c r="B65" s="34" t="s">
        <v>100</v>
      </c>
      <c r="C65" s="39" t="n">
        <v>377.1</v>
      </c>
      <c r="D65" s="39" t="n">
        <v>377.1</v>
      </c>
      <c r="E65" s="39" t="n">
        <v>377.1</v>
      </c>
      <c r="F65" s="39" t="n">
        <v>377.1</v>
      </c>
      <c r="G65" s="39" t="n">
        <v>377.1</v>
      </c>
      <c r="H65" s="20" t="s">
        <v>192</v>
      </c>
    </row>
    <row r="66" customFormat="false" ht="15" hidden="false" customHeight="false" outlineLevel="0" collapsed="false">
      <c r="A66" s="5" t="s">
        <v>193</v>
      </c>
      <c r="B66" s="34" t="s">
        <v>100</v>
      </c>
      <c r="C66" s="39" t="n">
        <v>2.4</v>
      </c>
      <c r="D66" s="39" t="n">
        <v>2.4</v>
      </c>
      <c r="E66" s="39" t="n">
        <v>2.4</v>
      </c>
      <c r="F66" s="39" t="n">
        <v>2.4</v>
      </c>
      <c r="G66" s="39" t="n">
        <v>2.4</v>
      </c>
      <c r="H66" s="20" t="s">
        <v>194</v>
      </c>
    </row>
    <row r="67" customFormat="false" ht="15" hidden="false" customHeight="false" outlineLevel="0" collapsed="false">
      <c r="A67" s="5" t="s">
        <v>195</v>
      </c>
      <c r="B67" s="31" t="s">
        <v>124</v>
      </c>
      <c r="C67" s="38" t="n">
        <v>0.03</v>
      </c>
      <c r="H67" s="20" t="s">
        <v>196</v>
      </c>
    </row>
    <row r="68" customFormat="false" ht="15" hidden="false" customHeight="false" outlineLevel="0" collapsed="false">
      <c r="A68" s="5" t="s">
        <v>197</v>
      </c>
      <c r="B68" s="31" t="s">
        <v>124</v>
      </c>
      <c r="C68" s="38" t="n">
        <v>0.034</v>
      </c>
      <c r="H68" s="20" t="s">
        <v>198</v>
      </c>
    </row>
    <row r="69" customFormat="false" ht="15" hidden="false" customHeight="false" outlineLevel="0" collapsed="false">
      <c r="A69" s="5" t="s">
        <v>199</v>
      </c>
      <c r="B69" s="31" t="s">
        <v>124</v>
      </c>
      <c r="C69" s="38" t="n">
        <v>0.037</v>
      </c>
      <c r="H69" s="20" t="s">
        <v>200</v>
      </c>
    </row>
    <row r="70" customFormat="false" ht="15" hidden="false" customHeight="false" outlineLevel="0" collapsed="false">
      <c r="A70" s="5" t="s">
        <v>201</v>
      </c>
      <c r="B70" s="31" t="s">
        <v>124</v>
      </c>
      <c r="C70" s="38" t="n">
        <v>0.045</v>
      </c>
      <c r="H70" s="20" t="s">
        <v>202</v>
      </c>
    </row>
    <row r="71" customFormat="false" ht="15" hidden="false" customHeight="false" outlineLevel="0" collapsed="false">
      <c r="A71" s="5" t="s">
        <v>203</v>
      </c>
      <c r="B71" s="31" t="s">
        <v>124</v>
      </c>
      <c r="C71" s="38" t="n">
        <v>0.012</v>
      </c>
      <c r="H71" s="20" t="s">
        <v>204</v>
      </c>
    </row>
    <row r="72" customFormat="false" ht="15" hidden="false" customHeight="false" outlineLevel="0" collapsed="false">
      <c r="A72" s="5" t="s">
        <v>205</v>
      </c>
      <c r="B72" s="34" t="s">
        <v>100</v>
      </c>
      <c r="C72" s="39" t="n">
        <v>30</v>
      </c>
      <c r="H72" s="20" t="s">
        <v>206</v>
      </c>
    </row>
    <row r="73" customFormat="false" ht="15" hidden="false" customHeight="false" outlineLevel="0" collapsed="false">
      <c r="A73" s="4" t="s">
        <v>207</v>
      </c>
      <c r="B73" s="34" t="s">
        <v>100</v>
      </c>
      <c r="C73" s="36" t="n">
        <v>4567.5</v>
      </c>
      <c r="H73" s="25" t="s">
        <v>208</v>
      </c>
    </row>
    <row r="75" customFormat="false" ht="15.75" hidden="false" customHeight="true" outlineLevel="0" collapsed="false">
      <c r="A75" s="26" t="s">
        <v>209</v>
      </c>
      <c r="B75" s="26"/>
      <c r="C75" s="26"/>
      <c r="D75" s="26"/>
      <c r="E75" s="26"/>
      <c r="F75" s="26"/>
      <c r="G75" s="26"/>
      <c r="H75" s="26"/>
      <c r="I75" s="26"/>
      <c r="J75" s="26"/>
    </row>
    <row r="76" customFormat="false" ht="15" hidden="false" customHeight="false" outlineLevel="0" collapsed="false">
      <c r="A76" s="5" t="s">
        <v>210</v>
      </c>
      <c r="B76" s="31" t="s">
        <v>124</v>
      </c>
      <c r="C76" s="38" t="n">
        <v>0.02</v>
      </c>
      <c r="H76" s="20" t="s">
        <v>211</v>
      </c>
    </row>
    <row r="77" customFormat="false" ht="15" hidden="false" customHeight="false" outlineLevel="0" collapsed="false">
      <c r="A77" s="5" t="s">
        <v>212</v>
      </c>
      <c r="B77" s="31" t="s">
        <v>124</v>
      </c>
      <c r="C77" s="38" t="n">
        <v>0.055</v>
      </c>
      <c r="H77" s="20" t="s">
        <v>213</v>
      </c>
    </row>
    <row r="78" customFormat="false" ht="15" hidden="false" customHeight="false" outlineLevel="0" collapsed="false">
      <c r="A78" s="5" t="s">
        <v>214</v>
      </c>
      <c r="B78" s="31" t="s">
        <v>215</v>
      </c>
      <c r="C78" s="41" t="n">
        <f aca="false">Relative_Val!$O$9</f>
        <v>1.010828480948</v>
      </c>
      <c r="H78" s="25" t="s">
        <v>216</v>
      </c>
    </row>
    <row r="79" customFormat="false" ht="15" hidden="false" customHeight="false" outlineLevel="0" collapsed="false">
      <c r="A79" s="5" t="s">
        <v>217</v>
      </c>
      <c r="B79" s="31" t="s">
        <v>124</v>
      </c>
      <c r="C79" s="19" t="n">
        <f aca="false">C73/(C73+C9)</f>
        <v>0.0188514828875669</v>
      </c>
      <c r="H79" s="25" t="s">
        <v>218</v>
      </c>
    </row>
    <row r="80" customFormat="false" ht="15" hidden="false" customHeight="false" outlineLevel="0" collapsed="false">
      <c r="A80" s="5" t="s">
        <v>219</v>
      </c>
      <c r="B80" s="31" t="s">
        <v>215</v>
      </c>
      <c r="C80" s="41" t="n">
        <f aca="false">C79/(1-C79)</f>
        <v>0.0192136894249688</v>
      </c>
      <c r="H80" s="27" t="s">
        <v>220</v>
      </c>
    </row>
    <row r="81" customFormat="false" ht="15" hidden="false" customHeight="false" outlineLevel="0" collapsed="false">
      <c r="A81" s="5" t="s">
        <v>221</v>
      </c>
      <c r="B81" s="31" t="s">
        <v>215</v>
      </c>
      <c r="C81" s="41" t="n">
        <f aca="false">C78*(1+(1-C37)*C80)</f>
        <v>1.02769238169288</v>
      </c>
      <c r="H81" s="27" t="s">
        <v>222</v>
      </c>
    </row>
    <row r="82" customFormat="false" ht="15" hidden="false" customHeight="false" outlineLevel="0" collapsed="false">
      <c r="A82" s="5" t="s">
        <v>223</v>
      </c>
      <c r="B82" s="31" t="s">
        <v>124</v>
      </c>
      <c r="C82" s="38" t="n">
        <v>0</v>
      </c>
      <c r="H82" s="20" t="s">
        <v>224</v>
      </c>
    </row>
    <row r="83" customFormat="false" ht="15" hidden="false" customHeight="false" outlineLevel="0" collapsed="false">
      <c r="A83" s="5" t="s">
        <v>225</v>
      </c>
      <c r="B83" s="31" t="s">
        <v>124</v>
      </c>
      <c r="C83" s="19" t="n">
        <f aca="false">C76+C81*C77+C82</f>
        <v>0.0765230809931084</v>
      </c>
      <c r="H83" s="27" t="s">
        <v>226</v>
      </c>
    </row>
    <row r="84" customFormat="false" ht="15" hidden="false" customHeight="false" outlineLevel="0" collapsed="false">
      <c r="A84" s="5" t="s">
        <v>227</v>
      </c>
      <c r="B84" s="31" t="s">
        <v>124</v>
      </c>
      <c r="C84" s="38" t="n">
        <v>0.034</v>
      </c>
      <c r="H84" s="20" t="s">
        <v>228</v>
      </c>
    </row>
    <row r="85" customFormat="false" ht="15" hidden="false" customHeight="false" outlineLevel="0" collapsed="false">
      <c r="A85" s="4" t="s">
        <v>229</v>
      </c>
      <c r="B85" s="31" t="s">
        <v>124</v>
      </c>
      <c r="C85" s="19" t="n">
        <f aca="false">(1-C79)*C83+C79*C84*(1-C37)</f>
        <v>0.0756370446893662</v>
      </c>
      <c r="H85" s="25" t="s">
        <v>230</v>
      </c>
    </row>
    <row r="86" customFormat="false" ht="15" hidden="false" customHeight="false" outlineLevel="0" collapsed="false">
      <c r="A86" s="4" t="s">
        <v>231</v>
      </c>
      <c r="B86" s="31" t="s">
        <v>124</v>
      </c>
      <c r="C86" s="38"/>
      <c r="H86" s="25" t="s">
        <v>232</v>
      </c>
    </row>
    <row r="87" customFormat="false" ht="15" hidden="false" customHeight="false" outlineLevel="0" collapsed="false">
      <c r="A87" s="4" t="s">
        <v>233</v>
      </c>
      <c r="B87" s="31" t="s">
        <v>124</v>
      </c>
      <c r="C87" s="24" t="n">
        <f aca="false">IF(C86="",C85,C86)</f>
        <v>0.0756370446893662</v>
      </c>
      <c r="H87" s="25" t="s">
        <v>234</v>
      </c>
    </row>
    <row r="88" customFormat="false" ht="15" hidden="false" customHeight="false" outlineLevel="0" collapsed="false">
      <c r="A88" s="5" t="s">
        <v>235</v>
      </c>
      <c r="B88" s="31" t="s">
        <v>124</v>
      </c>
      <c r="C88" s="38" t="n">
        <v>0.03</v>
      </c>
      <c r="H88" s="20" t="s">
        <v>236</v>
      </c>
    </row>
    <row r="90" customFormat="false" ht="15.75" hidden="false" customHeight="true" outlineLevel="0" collapsed="false">
      <c r="A90" s="26" t="s">
        <v>237</v>
      </c>
      <c r="B90" s="26"/>
      <c r="C90" s="26"/>
      <c r="D90" s="26"/>
      <c r="E90" s="26"/>
      <c r="F90" s="26"/>
      <c r="G90" s="26"/>
      <c r="H90" s="26"/>
      <c r="I90" s="26"/>
      <c r="J90" s="26"/>
    </row>
    <row r="91" customFormat="false" ht="15" hidden="false" customHeight="false" outlineLevel="0" collapsed="false">
      <c r="A91" s="3" t="s">
        <v>238</v>
      </c>
      <c r="C91" s="42" t="s">
        <v>239</v>
      </c>
      <c r="D91" s="42" t="s">
        <v>240</v>
      </c>
      <c r="H91" s="3" t="s">
        <v>241</v>
      </c>
    </row>
    <row r="92" customFormat="false" ht="15" hidden="false" customHeight="false" outlineLevel="0" collapsed="false">
      <c r="A92" s="43" t="s">
        <v>242</v>
      </c>
      <c r="C92" s="38" t="n">
        <v>-0.15</v>
      </c>
      <c r="D92" s="38" t="n">
        <v>-0.03</v>
      </c>
      <c r="H92" s="25" t="s">
        <v>243</v>
      </c>
    </row>
    <row r="93" customFormat="false" ht="15" hidden="false" customHeight="false" outlineLevel="0" collapsed="false">
      <c r="A93" s="3" t="s">
        <v>244</v>
      </c>
      <c r="C93" s="38" t="n">
        <v>0</v>
      </c>
      <c r="D93" s="38" t="n">
        <v>0</v>
      </c>
      <c r="H93" s="25" t="s">
        <v>245</v>
      </c>
    </row>
    <row r="94" customFormat="false" ht="15" hidden="false" customHeight="false" outlineLevel="0" collapsed="false">
      <c r="A94" s="3" t="s">
        <v>246</v>
      </c>
      <c r="C94" s="38" t="n">
        <v>0.1</v>
      </c>
      <c r="D94" s="38" t="n">
        <v>0.015</v>
      </c>
      <c r="H94" s="25" t="s">
        <v>247</v>
      </c>
    </row>
  </sheetData>
  <mergeCells count="13">
    <mergeCell ref="A1:J1"/>
    <mergeCell ref="A2:J2"/>
    <mergeCell ref="A4:J4"/>
    <mergeCell ref="A11:J11"/>
    <mergeCell ref="A21:J21"/>
    <mergeCell ref="A26:J26"/>
    <mergeCell ref="A30:J30"/>
    <mergeCell ref="A41:J41"/>
    <mergeCell ref="A49:J49"/>
    <mergeCell ref="A57:J57"/>
    <mergeCell ref="A61:J61"/>
    <mergeCell ref="A75:J75"/>
    <mergeCell ref="A90:J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81.88"/>
  </cols>
  <sheetData>
    <row r="1" customFormat="false" ht="24" hidden="false" customHeight="true" outlineLevel="0" collapsed="false">
      <c r="A1" s="14" t="s">
        <v>248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249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5" t="s">
        <v>255</v>
      </c>
      <c r="B4" s="36" t="n">
        <v>8938.3</v>
      </c>
      <c r="C4" s="36" t="n">
        <v>13341.5</v>
      </c>
      <c r="D4" s="36" t="n">
        <v>18945.2</v>
      </c>
      <c r="J4" s="25" t="s">
        <v>256</v>
      </c>
    </row>
    <row r="5" customFormat="false" ht="15.75" hidden="false" customHeight="true" outlineLevel="0" collapsed="false">
      <c r="A5" s="26" t="s">
        <v>257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258</v>
      </c>
      <c r="B6" s="9" t="n">
        <f aca="false">B7*B$4</f>
        <v>8571.8297</v>
      </c>
      <c r="C6" s="9" t="n">
        <f aca="false">C7*C$4</f>
        <v>12838.52545</v>
      </c>
      <c r="D6" s="9" t="n">
        <f aca="false">D7*D$4</f>
        <v>18143.81804</v>
      </c>
      <c r="E6" s="9" t="n">
        <f aca="false">D6*(1+E8)</f>
        <v>25401.345256</v>
      </c>
      <c r="F6" s="9" t="n">
        <f aca="false">E6*(1+F8)</f>
        <v>36831.9506212</v>
      </c>
      <c r="G6" s="9" t="n">
        <f aca="false">F6*(1+G8)</f>
        <v>52301.369882104</v>
      </c>
      <c r="H6" s="9" t="n">
        <f aca="false">G6*(1+H8)</f>
        <v>65899.726051451</v>
      </c>
      <c r="I6" s="9" t="n">
        <f aca="false">H6*(1+I8)</f>
        <v>77102.6794801977</v>
      </c>
    </row>
    <row r="7" customFormat="false" ht="15" hidden="false" customHeight="false" outlineLevel="0" collapsed="false">
      <c r="A7" s="5" t="s">
        <v>259</v>
      </c>
      <c r="B7" s="45" t="n">
        <v>0.959</v>
      </c>
      <c r="C7" s="45" t="n">
        <v>0.9623</v>
      </c>
      <c r="D7" s="45" t="n">
        <v>0.9577</v>
      </c>
      <c r="E7" s="19" t="n">
        <f aca="false">E6/E20</f>
        <v>0.966460272037252</v>
      </c>
      <c r="F7" s="19" t="n">
        <f aca="false">F6/F20</f>
        <v>0.97434839829721</v>
      </c>
      <c r="G7" s="19" t="n">
        <f aca="false">G6/G20</f>
        <v>0.980369763505851</v>
      </c>
      <c r="H7" s="19" t="n">
        <f aca="false">H6/H20</f>
        <v>0.983434056060911</v>
      </c>
      <c r="I7" s="19" t="n">
        <f aca="false">I6/I20</f>
        <v>0.985107824367827</v>
      </c>
      <c r="J7" s="25" t="s">
        <v>260</v>
      </c>
    </row>
    <row r="8" customFormat="false" ht="15" hidden="false" customHeight="false" outlineLevel="0" collapsed="false">
      <c r="A8" s="5" t="s">
        <v>261</v>
      </c>
      <c r="B8" s="34" t="s">
        <v>262</v>
      </c>
      <c r="C8" s="34" t="s">
        <v>262</v>
      </c>
      <c r="D8" s="34" t="s">
        <v>262</v>
      </c>
      <c r="E8" s="19" t="n">
        <f aca="false">(Assumptions!C$23+CHOOSE(Assumptions!$C$5,Assumptions!$C$92,Assumptions!$C$93,Assumptions!$C$94))</f>
        <v>0.4</v>
      </c>
      <c r="F8" s="19" t="n">
        <f aca="false">(Assumptions!D$23+CHOOSE(Assumptions!$C$5,Assumptions!$C$92,Assumptions!$C$93,Assumptions!$C$94))</f>
        <v>0.45</v>
      </c>
      <c r="G8" s="19" t="n">
        <f aca="false">(Assumptions!E$23+CHOOSE(Assumptions!$C$5,Assumptions!$C$92,Assumptions!$C$93,Assumptions!$C$94))</f>
        <v>0.42</v>
      </c>
      <c r="H8" s="19" t="n">
        <f aca="false">(Assumptions!F$23+CHOOSE(Assumptions!$C$5,Assumptions!$C$92,Assumptions!$C$93,Assumptions!$C$94))</f>
        <v>0.26</v>
      </c>
      <c r="I8" s="19" t="n">
        <f aca="false">(Assumptions!G$23+CHOOSE(Assumptions!$C$5,Assumptions!$C$92,Assumptions!$C$93,Assumptions!$C$94))</f>
        <v>0.17</v>
      </c>
      <c r="J8" s="25" t="s">
        <v>263</v>
      </c>
    </row>
    <row r="9" customFormat="false" ht="15" hidden="false" customHeight="false" outlineLevel="0" collapsed="false">
      <c r="A9" s="5" t="s">
        <v>264</v>
      </c>
      <c r="B9" s="45" t="n">
        <v>0.3246</v>
      </c>
      <c r="C9" s="45" t="n">
        <v>0.3585</v>
      </c>
      <c r="D9" s="45" t="n">
        <v>0.3691</v>
      </c>
      <c r="E9" s="19" t="n">
        <f aca="false">(Assumptions!C$27+CHOOSE(Assumptions!$C$5,Assumptions!$D$92,Assumptions!$D$93,Assumptions!$D$94))</f>
        <v>0.372</v>
      </c>
      <c r="F9" s="19" t="n">
        <f aca="false">(Assumptions!D$27+CHOOSE(Assumptions!$C$5,Assumptions!$D$92,Assumptions!$D$93,Assumptions!$D$94))</f>
        <v>0.38</v>
      </c>
      <c r="G9" s="19" t="n">
        <f aca="false">(Assumptions!E$27+CHOOSE(Assumptions!$C$5,Assumptions!$D$92,Assumptions!$D$93,Assumptions!$D$94))</f>
        <v>0.385</v>
      </c>
      <c r="H9" s="19" t="n">
        <f aca="false">(Assumptions!F$27+CHOOSE(Assumptions!$C$5,Assumptions!$D$92,Assumptions!$D$93,Assumptions!$D$94))</f>
        <v>0.38</v>
      </c>
      <c r="I9" s="19" t="n">
        <f aca="false">(Assumptions!G$27+CHOOSE(Assumptions!$C$5,Assumptions!$D$92,Assumptions!$D$93,Assumptions!$D$94))</f>
        <v>0.375</v>
      </c>
      <c r="J9" s="25" t="s">
        <v>265</v>
      </c>
    </row>
    <row r="10" customFormat="false" ht="15" hidden="false" customHeight="false" outlineLevel="0" collapsed="false">
      <c r="A10" s="5" t="s">
        <v>266</v>
      </c>
      <c r="B10" s="9" t="n">
        <f aca="false">B6*B9</f>
        <v>2782.41592062</v>
      </c>
      <c r="C10" s="9" t="n">
        <f aca="false">C6*C9</f>
        <v>4602.611373825</v>
      </c>
      <c r="D10" s="9" t="n">
        <f aca="false">D6*D9</f>
        <v>6696.883238564</v>
      </c>
      <c r="E10" s="9" t="n">
        <f aca="false">E6*E9</f>
        <v>9449.300435232</v>
      </c>
      <c r="F10" s="9" t="n">
        <f aca="false">F6*F9</f>
        <v>13996.141236056</v>
      </c>
      <c r="G10" s="9" t="n">
        <f aca="false">G6*G9</f>
        <v>20136.02740461</v>
      </c>
      <c r="H10" s="9" t="n">
        <f aca="false">H6*H9</f>
        <v>25041.8958995514</v>
      </c>
      <c r="I10" s="9" t="n">
        <f aca="false">I6*I9</f>
        <v>28913.5048050741</v>
      </c>
    </row>
    <row r="11" customFormat="false" ht="15" hidden="false" customHeight="true" outlineLevel="0" collapsed="false">
      <c r="A11" s="13" t="s">
        <v>267</v>
      </c>
      <c r="B11" s="13"/>
      <c r="C11" s="13"/>
      <c r="D11" s="13"/>
      <c r="E11" s="13"/>
      <c r="F11" s="13"/>
      <c r="G11" s="13"/>
      <c r="H11" s="13"/>
      <c r="I11" s="13"/>
      <c r="J11" s="13"/>
    </row>
    <row r="12" customFormat="false" ht="15.75" hidden="false" customHeight="true" outlineLevel="0" collapsed="false">
      <c r="A12" s="26" t="s">
        <v>268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5" t="s">
        <v>258</v>
      </c>
      <c r="B13" s="9" t="n">
        <f aca="false">B14*B$4</f>
        <v>366.4703</v>
      </c>
      <c r="C13" s="9" t="n">
        <f aca="false">C14*C$4</f>
        <v>502.97455</v>
      </c>
      <c r="D13" s="9" t="n">
        <f aca="false">D14*D$4</f>
        <v>801.38196</v>
      </c>
      <c r="E13" s="9" t="n">
        <f aca="false">D13*(1+E15)</f>
        <v>881.520156</v>
      </c>
      <c r="F13" s="9" t="n">
        <f aca="false">E13*(1+F15)</f>
        <v>969.6721716</v>
      </c>
      <c r="G13" s="9" t="n">
        <f aca="false">F13*(1+G15)</f>
        <v>1047.245945328</v>
      </c>
      <c r="H13" s="9" t="n">
        <f aca="false">G13*(1+H15)</f>
        <v>1110.08070204768</v>
      </c>
      <c r="I13" s="9" t="n">
        <f aca="false">H13*(1+I15)</f>
        <v>1165.58473715006</v>
      </c>
    </row>
    <row r="14" customFormat="false" ht="15" hidden="false" customHeight="false" outlineLevel="0" collapsed="false">
      <c r="A14" s="5" t="s">
        <v>259</v>
      </c>
      <c r="B14" s="45" t="n">
        <v>0.041</v>
      </c>
      <c r="C14" s="45" t="n">
        <v>0.0377</v>
      </c>
      <c r="D14" s="45" t="n">
        <v>0.0423</v>
      </c>
      <c r="E14" s="19" t="n">
        <f aca="false">E13/E20</f>
        <v>0.0335397279627481</v>
      </c>
      <c r="F14" s="19" t="n">
        <f aca="false">F13/F20</f>
        <v>0.0256516017027896</v>
      </c>
      <c r="G14" s="19" t="n">
        <f aca="false">G13/G20</f>
        <v>0.0196302364941492</v>
      </c>
      <c r="H14" s="19" t="n">
        <f aca="false">H13/H20</f>
        <v>0.0165659439390895</v>
      </c>
      <c r="I14" s="19" t="n">
        <f aca="false">I13/I20</f>
        <v>0.014892175632173</v>
      </c>
      <c r="J14" s="25" t="s">
        <v>269</v>
      </c>
    </row>
    <row r="15" customFormat="false" ht="15" hidden="false" customHeight="false" outlineLevel="0" collapsed="false">
      <c r="A15" s="5" t="s">
        <v>261</v>
      </c>
      <c r="B15" s="34" t="s">
        <v>262</v>
      </c>
      <c r="C15" s="34" t="s">
        <v>262</v>
      </c>
      <c r="D15" s="34" t="s">
        <v>262</v>
      </c>
      <c r="E15" s="19" t="n">
        <f aca="false">(Assumptions!C$24+CHOOSE(Assumptions!$C$5,Assumptions!$C$92,Assumptions!$C$93,Assumptions!$C$94))</f>
        <v>0.1</v>
      </c>
      <c r="F15" s="19" t="n">
        <f aca="false">(Assumptions!D$24+CHOOSE(Assumptions!$C$5,Assumptions!$C$92,Assumptions!$C$93,Assumptions!$C$94))</f>
        <v>0.1</v>
      </c>
      <c r="G15" s="19" t="n">
        <f aca="false">(Assumptions!E$24+CHOOSE(Assumptions!$C$5,Assumptions!$C$92,Assumptions!$C$93,Assumptions!$C$94))</f>
        <v>0.08</v>
      </c>
      <c r="H15" s="19" t="n">
        <f aca="false">(Assumptions!F$24+CHOOSE(Assumptions!$C$5,Assumptions!$C$92,Assumptions!$C$93,Assumptions!$C$94))</f>
        <v>0.06</v>
      </c>
      <c r="I15" s="19" t="n">
        <f aca="false">(Assumptions!G$24+CHOOSE(Assumptions!$C$5,Assumptions!$C$92,Assumptions!$C$93,Assumptions!$C$94))</f>
        <v>0.05</v>
      </c>
      <c r="J15" s="25" t="s">
        <v>263</v>
      </c>
    </row>
    <row r="16" customFormat="false" ht="15" hidden="false" customHeight="false" outlineLevel="0" collapsed="false">
      <c r="A16" s="5" t="s">
        <v>264</v>
      </c>
      <c r="B16" s="45" t="n">
        <v>0.0088</v>
      </c>
      <c r="C16" s="45" t="n">
        <v>0.0089</v>
      </c>
      <c r="D16" s="45" t="n">
        <v>0.0288</v>
      </c>
      <c r="E16" s="19" t="n">
        <f aca="false">(Assumptions!C$28+CHOOSE(Assumptions!$C$5,Assumptions!$D$92,Assumptions!$D$93,Assumptions!$D$94))</f>
        <v>0.0288</v>
      </c>
      <c r="F16" s="19" t="n">
        <f aca="false">(Assumptions!D$28+CHOOSE(Assumptions!$C$5,Assumptions!$D$92,Assumptions!$D$93,Assumptions!$D$94))</f>
        <v>0.0288</v>
      </c>
      <c r="G16" s="19" t="n">
        <f aca="false">(Assumptions!E$28+CHOOSE(Assumptions!$C$5,Assumptions!$D$92,Assumptions!$D$93,Assumptions!$D$94))</f>
        <v>0.0288</v>
      </c>
      <c r="H16" s="19" t="n">
        <f aca="false">(Assumptions!F$28+CHOOSE(Assumptions!$C$5,Assumptions!$D$92,Assumptions!$D$93,Assumptions!$D$94))</f>
        <v>0.0288</v>
      </c>
      <c r="I16" s="19" t="n">
        <f aca="false">(Assumptions!G$28+CHOOSE(Assumptions!$C$5,Assumptions!$D$92,Assumptions!$D$93,Assumptions!$D$94))</f>
        <v>0.0288</v>
      </c>
      <c r="J16" s="25" t="s">
        <v>265</v>
      </c>
    </row>
    <row r="17" customFormat="false" ht="15" hidden="false" customHeight="false" outlineLevel="0" collapsed="false">
      <c r="A17" s="5" t="s">
        <v>266</v>
      </c>
      <c r="B17" s="9" t="n">
        <f aca="false">B13*B16</f>
        <v>3.22493864</v>
      </c>
      <c r="C17" s="9" t="n">
        <f aca="false">C13*C16</f>
        <v>4.476473495</v>
      </c>
      <c r="D17" s="9" t="n">
        <f aca="false">D13*D16</f>
        <v>23.079800448</v>
      </c>
      <c r="E17" s="9" t="n">
        <f aca="false">E13*E16</f>
        <v>25.3877804928</v>
      </c>
      <c r="F17" s="9" t="n">
        <f aca="false">F13*F16</f>
        <v>27.92655854208</v>
      </c>
      <c r="G17" s="9" t="n">
        <f aca="false">G13*G16</f>
        <v>30.1606832254464</v>
      </c>
      <c r="H17" s="9" t="n">
        <f aca="false">H13*H16</f>
        <v>31.9703242189732</v>
      </c>
      <c r="I17" s="9" t="n">
        <f aca="false">I13*I16</f>
        <v>33.5688404299219</v>
      </c>
    </row>
    <row r="18" customFormat="false" ht="15" hidden="false" customHeight="true" outlineLevel="0" collapsed="false">
      <c r="A18" s="13" t="s">
        <v>270</v>
      </c>
      <c r="B18" s="13"/>
      <c r="C18" s="13"/>
      <c r="D18" s="13"/>
      <c r="E18" s="13"/>
      <c r="F18" s="13"/>
      <c r="G18" s="13"/>
      <c r="H18" s="13"/>
      <c r="I18" s="13"/>
      <c r="J18" s="13"/>
    </row>
    <row r="19" customFormat="false" ht="15.75" hidden="false" customHeight="true" outlineLevel="0" collapsed="false">
      <c r="A19" s="26" t="s">
        <v>271</v>
      </c>
      <c r="B19" s="26"/>
      <c r="C19" s="26"/>
      <c r="D19" s="26"/>
      <c r="E19" s="26"/>
      <c r="F19" s="26"/>
      <c r="G19" s="26"/>
      <c r="H19" s="26"/>
      <c r="I19" s="26"/>
      <c r="J19" s="26"/>
    </row>
    <row r="20" customFormat="false" ht="15" hidden="false" customHeight="false" outlineLevel="0" collapsed="false">
      <c r="A20" s="3" t="s">
        <v>272</v>
      </c>
      <c r="B20" s="46" t="n">
        <f aca="false">B6+B13</f>
        <v>8938.3</v>
      </c>
      <c r="C20" s="46" t="n">
        <f aca="false">C6+C13</f>
        <v>13341.5</v>
      </c>
      <c r="D20" s="46" t="n">
        <f aca="false">D6+D13</f>
        <v>18945.2</v>
      </c>
      <c r="E20" s="46" t="n">
        <f aca="false">E6+E13</f>
        <v>26282.865412</v>
      </c>
      <c r="F20" s="46" t="n">
        <f aca="false">F6+F13</f>
        <v>37801.6227928</v>
      </c>
      <c r="G20" s="46" t="n">
        <f aca="false">G6+G13</f>
        <v>53348.615827432</v>
      </c>
      <c r="H20" s="46" t="n">
        <f aca="false">H6+H13</f>
        <v>67009.8067534987</v>
      </c>
      <c r="I20" s="46" t="n">
        <f aca="false">I6+I13</f>
        <v>78268.2642173478</v>
      </c>
    </row>
    <row r="21" customFormat="false" ht="15" hidden="false" customHeight="false" outlineLevel="0" collapsed="false">
      <c r="A21" s="3" t="s">
        <v>273</v>
      </c>
      <c r="B21" s="47" t="n">
        <f aca="false">B10+B17</f>
        <v>2785.64085926</v>
      </c>
      <c r="C21" s="47" t="n">
        <f aca="false">C10+C17</f>
        <v>4607.08784732</v>
      </c>
      <c r="D21" s="47" t="n">
        <f aca="false">D10+D17</f>
        <v>6719.963039012</v>
      </c>
      <c r="E21" s="47" t="n">
        <f aca="false">E10+E17</f>
        <v>9474.6882157248</v>
      </c>
      <c r="F21" s="47" t="n">
        <f aca="false">F10+F17</f>
        <v>14024.0677945981</v>
      </c>
      <c r="G21" s="47" t="n">
        <f aca="false">G10+G17</f>
        <v>20166.1880878355</v>
      </c>
      <c r="H21" s="47" t="n">
        <f aca="false">H10+H17</f>
        <v>25073.8662237704</v>
      </c>
      <c r="I21" s="47" t="n">
        <f aca="false">I10+I17</f>
        <v>28947.0736455041</v>
      </c>
    </row>
    <row r="22" customFormat="false" ht="15" hidden="false" customHeight="false" outlineLevel="0" collapsed="false">
      <c r="A22" s="5" t="s">
        <v>274</v>
      </c>
      <c r="B22" s="19" t="n">
        <f aca="false">B21/B20</f>
        <v>0.3116522</v>
      </c>
      <c r="C22" s="19" t="n">
        <f aca="false">C21/C20</f>
        <v>0.34532008</v>
      </c>
      <c r="D22" s="19" t="n">
        <f aca="false">D21/D20</f>
        <v>0.35470531</v>
      </c>
      <c r="E22" s="19" t="n">
        <f aca="false">E21/E20</f>
        <v>0.360489165363185</v>
      </c>
      <c r="F22" s="19" t="n">
        <f aca="false">F21/F20</f>
        <v>0.37099115748198</v>
      </c>
      <c r="G22" s="19" t="n">
        <f aca="false">G21/G20</f>
        <v>0.378007709760784</v>
      </c>
      <c r="H22" s="19" t="n">
        <f aca="false">H21/H20</f>
        <v>0.374182040488592</v>
      </c>
      <c r="I22" s="19" t="n">
        <f aca="false">I21/I20</f>
        <v>0.369844328796142</v>
      </c>
    </row>
    <row r="23" customFormat="false" ht="15" hidden="false" customHeight="false" outlineLevel="0" collapsed="false">
      <c r="A23" s="5" t="s">
        <v>275</v>
      </c>
      <c r="C23" s="19" t="n">
        <f aca="false">C20/B20-1</f>
        <v>0.492621639461643</v>
      </c>
      <c r="D23" s="19" t="n">
        <f aca="false">D20/C20-1</f>
        <v>0.420020237604467</v>
      </c>
      <c r="E23" s="19" t="n">
        <f aca="false">E20/D20-1</f>
        <v>0.38731</v>
      </c>
      <c r="F23" s="19" t="n">
        <f aca="false">F20/E20-1</f>
        <v>0.438261095213038</v>
      </c>
      <c r="G23" s="19" t="n">
        <f aca="false">G20/F20-1</f>
        <v>0.411278455421051</v>
      </c>
      <c r="H23" s="19" t="n">
        <f aca="false">H20/G20-1</f>
        <v>0.25607395270117</v>
      </c>
      <c r="I23" s="19" t="n">
        <f aca="false">I20/H20-1</f>
        <v>0.168012086727309</v>
      </c>
    </row>
    <row r="25" customFormat="false" ht="15.75" hidden="false" customHeight="true" outlineLevel="0" collapsed="false">
      <c r="A25" s="26" t="s">
        <v>276</v>
      </c>
      <c r="B25" s="26"/>
      <c r="C25" s="26"/>
      <c r="D25" s="26"/>
      <c r="E25" s="26"/>
      <c r="F25" s="26"/>
      <c r="G25" s="26"/>
      <c r="H25" s="26"/>
      <c r="I25" s="26"/>
      <c r="J25" s="26"/>
    </row>
    <row r="26" customFormat="false" ht="15" hidden="false" customHeight="false" outlineLevel="0" collapsed="false">
      <c r="A26" s="5" t="s">
        <v>277</v>
      </c>
      <c r="D26" s="9" t="n">
        <f aca="false">D6</f>
        <v>18143.81804</v>
      </c>
      <c r="E26" s="9" t="n">
        <f aca="false">D26*(1+Assumptions!C$23)</f>
        <v>25401.345256</v>
      </c>
      <c r="F26" s="9" t="n">
        <f aca="false">E26*(1+Assumptions!D$23)</f>
        <v>36831.9506212</v>
      </c>
      <c r="G26" s="9" t="n">
        <f aca="false">F26*(1+Assumptions!E$23)</f>
        <v>52301.369882104</v>
      </c>
      <c r="H26" s="9" t="n">
        <f aca="false">G26*(1+Assumptions!F$23)</f>
        <v>65899.726051451</v>
      </c>
      <c r="I26" s="9" t="n">
        <f aca="false">H26*(1+Assumptions!G$23)</f>
        <v>77102.6794801977</v>
      </c>
    </row>
    <row r="27" customFormat="false" ht="15" hidden="false" customHeight="false" outlineLevel="0" collapsed="false">
      <c r="A27" s="5" t="s">
        <v>278</v>
      </c>
      <c r="D27" s="9" t="n">
        <f aca="false">D13</f>
        <v>801.38196</v>
      </c>
      <c r="E27" s="9" t="n">
        <f aca="false">D27*(1+Assumptions!C$24)</f>
        <v>881.520156</v>
      </c>
      <c r="F27" s="9" t="n">
        <f aca="false">E27*(1+Assumptions!D$24)</f>
        <v>969.6721716</v>
      </c>
      <c r="G27" s="9" t="n">
        <f aca="false">F27*(1+Assumptions!E$24)</f>
        <v>1047.245945328</v>
      </c>
      <c r="H27" s="9" t="n">
        <f aca="false">G27*(1+Assumptions!F$24)</f>
        <v>1110.08070204768</v>
      </c>
      <c r="I27" s="9" t="n">
        <f aca="false">H27*(1+Assumptions!G$24)</f>
        <v>1165.58473715006</v>
      </c>
    </row>
    <row r="28" customFormat="false" ht="15" hidden="false" customHeight="false" outlineLevel="0" collapsed="false">
      <c r="A28" s="3" t="s">
        <v>279</v>
      </c>
      <c r="D28" s="9" t="n">
        <f aca="false">D6+D13</f>
        <v>18945.2</v>
      </c>
      <c r="E28" s="9" t="n">
        <f aca="false">E26+E27</f>
        <v>26282.865412</v>
      </c>
      <c r="F28" s="9" t="n">
        <f aca="false">F26+F27</f>
        <v>37801.6227928</v>
      </c>
      <c r="G28" s="9" t="n">
        <f aca="false">G26+G27</f>
        <v>53348.615827432</v>
      </c>
      <c r="H28" s="9" t="n">
        <f aca="false">H26+H27</f>
        <v>67009.8067534987</v>
      </c>
      <c r="I28" s="9" t="n">
        <f aca="false">I26+I27</f>
        <v>78268.2642173478</v>
      </c>
    </row>
    <row r="29" customFormat="false" ht="15" hidden="false" customHeight="false" outlineLevel="0" collapsed="false">
      <c r="A29" s="5" t="s">
        <v>280</v>
      </c>
      <c r="E29" s="19" t="n">
        <f aca="false">E28/D28-1</f>
        <v>0.38731</v>
      </c>
      <c r="F29" s="19" t="n">
        <f aca="false">F28/E28-1</f>
        <v>0.438261095213038</v>
      </c>
      <c r="G29" s="19" t="n">
        <f aca="false">G28/F28-1</f>
        <v>0.411278455421051</v>
      </c>
      <c r="H29" s="19" t="n">
        <f aca="false">H28/G28-1</f>
        <v>0.25607395270117</v>
      </c>
      <c r="I29" s="19" t="n">
        <f aca="false">I28/H28-1</f>
        <v>0.168012086727309</v>
      </c>
    </row>
    <row r="30" customFormat="false" ht="15" hidden="false" customHeight="false" outlineLevel="0" collapsed="false">
      <c r="A30" s="5" t="s">
        <v>281</v>
      </c>
      <c r="E30" s="19" t="n">
        <f aca="false">(E26*Assumptions!C$27+E27*Assumptions!C$28)/E28</f>
        <v>0.360489165363185</v>
      </c>
      <c r="F30" s="19" t="n">
        <f aca="false">(F26*Assumptions!D$27+F27*Assumptions!D$28)/F28</f>
        <v>0.37099115748198</v>
      </c>
      <c r="G30" s="19" t="n">
        <f aca="false">(G26*Assumptions!E$27+G27*Assumptions!E$28)/G28</f>
        <v>0.378007709760784</v>
      </c>
      <c r="H30" s="19" t="n">
        <f aca="false">(H26*Assumptions!F$27+H27*Assumptions!F$28)/H28</f>
        <v>0.374182040488592</v>
      </c>
      <c r="I30" s="19" t="n">
        <f aca="false">(I26*Assumptions!G$27+I27*Assumptions!G$28)/I28</f>
        <v>0.369844328796142</v>
      </c>
    </row>
    <row r="32" customFormat="false" ht="15.75" hidden="false" customHeight="true" outlineLevel="0" collapsed="false">
      <c r="A32" s="26" t="s">
        <v>282</v>
      </c>
      <c r="B32" s="26"/>
      <c r="C32" s="26"/>
      <c r="D32" s="26"/>
      <c r="E32" s="26"/>
      <c r="F32" s="26"/>
      <c r="G32" s="26"/>
      <c r="H32" s="26"/>
      <c r="I32" s="26"/>
      <c r="J32" s="26"/>
    </row>
    <row r="33" customFormat="false" ht="24" hidden="false" customHeight="true" outlineLevel="0" collapsed="false">
      <c r="A33" s="12" t="s">
        <v>283</v>
      </c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24" hidden="false" customHeight="true" outlineLevel="0" collapsed="false">
      <c r="A34" s="12" t="s">
        <v>284</v>
      </c>
      <c r="B34" s="12"/>
      <c r="C34" s="12"/>
      <c r="D34" s="12"/>
      <c r="E34" s="12"/>
      <c r="F34" s="12"/>
      <c r="G34" s="12"/>
      <c r="H34" s="12"/>
      <c r="I34" s="12"/>
      <c r="J34" s="12"/>
    </row>
    <row r="35" customFormat="false" ht="24" hidden="false" customHeight="true" outlineLevel="0" collapsed="false">
      <c r="A35" s="12" t="s">
        <v>285</v>
      </c>
      <c r="B35" s="12"/>
      <c r="C35" s="12"/>
      <c r="D35" s="12"/>
      <c r="E35" s="12"/>
      <c r="F35" s="12"/>
      <c r="G35" s="12"/>
      <c r="H35" s="12"/>
      <c r="I35" s="12"/>
      <c r="J35" s="12"/>
    </row>
  </sheetData>
  <mergeCells count="12">
    <mergeCell ref="A1:J1"/>
    <mergeCell ref="A2:J2"/>
    <mergeCell ref="A5:J5"/>
    <mergeCell ref="A11:J11"/>
    <mergeCell ref="A12:J12"/>
    <mergeCell ref="A18:J18"/>
    <mergeCell ref="A19:J19"/>
    <mergeCell ref="A25:J25"/>
    <mergeCell ref="A32:J32"/>
    <mergeCell ref="A33:J33"/>
    <mergeCell ref="A34:J34"/>
    <mergeCell ref="A35:J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286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287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3" t="s">
        <v>288</v>
      </c>
      <c r="B4" s="47" t="n">
        <f aca="false">Revenue_Segments!B20</f>
        <v>8938.3</v>
      </c>
      <c r="C4" s="47" t="n">
        <f aca="false">Revenue_Segments!C20</f>
        <v>13341.5</v>
      </c>
      <c r="D4" s="47" t="n">
        <f aca="false">Revenue_Segments!D20</f>
        <v>18945.2</v>
      </c>
      <c r="E4" s="47" t="n">
        <f aca="false">Revenue_Segments!E20</f>
        <v>26282.865412</v>
      </c>
      <c r="F4" s="47" t="n">
        <f aca="false">Revenue_Segments!F20</f>
        <v>37801.6227928</v>
      </c>
      <c r="G4" s="47" t="n">
        <f aca="false">Revenue_Segments!G20</f>
        <v>53348.615827432</v>
      </c>
      <c r="H4" s="47" t="n">
        <f aca="false">Revenue_Segments!H20</f>
        <v>67009.8067534987</v>
      </c>
      <c r="I4" s="47" t="n">
        <f aca="false">Revenue_Segments!I20</f>
        <v>78268.2642173478</v>
      </c>
      <c r="J4" s="25" t="s">
        <v>289</v>
      </c>
    </row>
    <row r="5" customFormat="false" ht="15" hidden="false" customHeight="false" outlineLevel="0" collapsed="false">
      <c r="A5" s="5" t="s">
        <v>290</v>
      </c>
      <c r="C5" s="19" t="n">
        <f aca="false">C4/B4-1</f>
        <v>0.492621639461643</v>
      </c>
      <c r="D5" s="19" t="n">
        <f aca="false">D4/C4-1</f>
        <v>0.420020237604467</v>
      </c>
      <c r="E5" s="19" t="n">
        <f aca="false">E4/D4-1</f>
        <v>0.38731</v>
      </c>
      <c r="F5" s="19" t="n">
        <f aca="false">F4/E4-1</f>
        <v>0.438261095213038</v>
      </c>
      <c r="G5" s="19" t="n">
        <f aca="false">G4/F4-1</f>
        <v>0.411278455421051</v>
      </c>
      <c r="H5" s="19" t="n">
        <f aca="false">H4/G4-1</f>
        <v>0.25607395270117</v>
      </c>
      <c r="I5" s="19" t="n">
        <f aca="false">I4/H4-1</f>
        <v>0.168012086727309</v>
      </c>
      <c r="J5" s="25" t="s">
        <v>291</v>
      </c>
    </row>
    <row r="6" customFormat="false" ht="15" hidden="false" customHeight="false" outlineLevel="0" collapsed="false">
      <c r="A6" s="5" t="s">
        <v>292</v>
      </c>
      <c r="B6" s="36" t="n">
        <v>6166.9</v>
      </c>
      <c r="C6" s="36" t="n">
        <v>8733.4</v>
      </c>
      <c r="D6" s="36" t="n">
        <v>12224.3</v>
      </c>
      <c r="E6" s="9" t="n">
        <f aca="false">E4-Revenue_Segments!E21</f>
        <v>16808.1771962752</v>
      </c>
      <c r="F6" s="9" t="n">
        <f aca="false">F4-Revenue_Segments!F21</f>
        <v>23777.5549982019</v>
      </c>
      <c r="G6" s="9" t="n">
        <f aca="false">G4-Revenue_Segments!G21</f>
        <v>33182.4277395965</v>
      </c>
      <c r="H6" s="9" t="n">
        <f aca="false">H4-Revenue_Segments!H21</f>
        <v>41935.9405297283</v>
      </c>
      <c r="I6" s="9" t="n">
        <f aca="false">I4-Revenue_Segments!I21</f>
        <v>49321.1905718437</v>
      </c>
      <c r="J6" s="25" t="s">
        <v>293</v>
      </c>
    </row>
    <row r="7" customFormat="false" ht="15" hidden="false" customHeight="false" outlineLevel="0" collapsed="false">
      <c r="A7" s="3" t="s">
        <v>294</v>
      </c>
      <c r="B7" s="47" t="n">
        <f aca="false">B4-B6</f>
        <v>2771.4</v>
      </c>
      <c r="C7" s="47" t="n">
        <f aca="false">C4-C6</f>
        <v>4608.1</v>
      </c>
      <c r="D7" s="47" t="n">
        <f aca="false">D4-D6</f>
        <v>6720.9</v>
      </c>
      <c r="E7" s="47" t="n">
        <f aca="false">E4-E6</f>
        <v>9474.6882157248</v>
      </c>
      <c r="F7" s="47" t="n">
        <f aca="false">F4-F6</f>
        <v>14024.0677945981</v>
      </c>
      <c r="G7" s="47" t="n">
        <f aca="false">G4-G6</f>
        <v>20166.1880878355</v>
      </c>
      <c r="H7" s="47" t="n">
        <f aca="false">H4-H6</f>
        <v>25073.8662237704</v>
      </c>
      <c r="I7" s="47" t="n">
        <f aca="false">I4-I6</f>
        <v>28947.0736455041</v>
      </c>
      <c r="J7" s="25"/>
    </row>
    <row r="8" customFormat="false" ht="15" hidden="false" customHeight="false" outlineLevel="0" collapsed="false">
      <c r="A8" s="5" t="s">
        <v>264</v>
      </c>
      <c r="B8" s="19" t="n">
        <f aca="false">B7/B4</f>
        <v>0.310058959757448</v>
      </c>
      <c r="C8" s="19" t="n">
        <f aca="false">C7/C4</f>
        <v>0.345395944983698</v>
      </c>
      <c r="D8" s="19" t="n">
        <f aca="false">D7/D4</f>
        <v>0.354754766378819</v>
      </c>
      <c r="E8" s="19" t="n">
        <f aca="false">E7/E4</f>
        <v>0.360489165363185</v>
      </c>
      <c r="F8" s="19" t="n">
        <f aca="false">F7/F4</f>
        <v>0.37099115748198</v>
      </c>
      <c r="G8" s="19" t="n">
        <f aca="false">G7/G4</f>
        <v>0.378007709760784</v>
      </c>
      <c r="H8" s="19" t="n">
        <f aca="false">H7/H4</f>
        <v>0.374182040488592</v>
      </c>
      <c r="I8" s="19" t="n">
        <f aca="false">I7/I4</f>
        <v>0.369844328796142</v>
      </c>
      <c r="J8" s="27" t="s">
        <v>295</v>
      </c>
    </row>
    <row r="9" customFormat="false" ht="15" hidden="false" customHeight="false" outlineLevel="0" collapsed="false">
      <c r="A9" s="5" t="s">
        <v>296</v>
      </c>
      <c r="B9" s="36" t="n">
        <v>66.1</v>
      </c>
      <c r="C9" s="36" t="n">
        <v>99.4</v>
      </c>
      <c r="D9" s="36" t="n">
        <v>111.4</v>
      </c>
      <c r="E9" s="9" t="n">
        <f aca="false">E4*Assumptions!C$31</f>
        <v>155.0689059308</v>
      </c>
      <c r="F9" s="9" t="n">
        <f aca="false">F4*Assumptions!D$31</f>
        <v>223.02957447752</v>
      </c>
      <c r="G9" s="9" t="n">
        <f aca="false">G4*Assumptions!E$31</f>
        <v>314.756833381849</v>
      </c>
      <c r="H9" s="9" t="n">
        <f aca="false">H4*Assumptions!F$31</f>
        <v>395.357859845642</v>
      </c>
      <c r="I9" s="9" t="n">
        <f aca="false">I4*Assumptions!G$31</f>
        <v>461.782758882352</v>
      </c>
      <c r="J9" s="25" t="s">
        <v>297</v>
      </c>
    </row>
    <row r="10" customFormat="false" ht="15" hidden="false" customHeight="false" outlineLevel="0" collapsed="false">
      <c r="A10" s="5" t="s">
        <v>298</v>
      </c>
      <c r="B10" s="36" t="n">
        <v>264.9</v>
      </c>
      <c r="C10" s="36" t="n">
        <v>365.7</v>
      </c>
      <c r="D10" s="36" t="n">
        <v>531</v>
      </c>
      <c r="E10" s="9" t="n">
        <f aca="false">E4*Assumptions!C$32</f>
        <v>735.920231536</v>
      </c>
      <c r="F10" s="9" t="n">
        <f aca="false">F4*Assumptions!D$32</f>
        <v>1058.4454381984</v>
      </c>
      <c r="G10" s="9" t="n">
        <f aca="false">G4*Assumptions!E$32</f>
        <v>1493.7612431681</v>
      </c>
      <c r="H10" s="9" t="n">
        <f aca="false">H4*Assumptions!F$32</f>
        <v>1876.27458909796</v>
      </c>
      <c r="I10" s="9" t="n">
        <f aca="false">I4*Assumptions!G$32</f>
        <v>2191.51139808574</v>
      </c>
      <c r="J10" s="25" t="s">
        <v>299</v>
      </c>
    </row>
    <row r="11" customFormat="false" ht="15" hidden="false" customHeight="false" outlineLevel="0" collapsed="false">
      <c r="A11" s="5" t="s">
        <v>300</v>
      </c>
      <c r="B11" s="36" t="n">
        <v>195.8</v>
      </c>
      <c r="C11" s="36" t="n">
        <v>323.4</v>
      </c>
      <c r="D11" s="36" t="n">
        <v>420.1</v>
      </c>
      <c r="E11" s="9" t="n">
        <f aca="false">E4*Assumptions!C$33</f>
        <v>583.4796121464</v>
      </c>
      <c r="F11" s="9" t="n">
        <f aca="false">F4*Assumptions!D$33</f>
        <v>839.19602600016</v>
      </c>
      <c r="G11" s="9" t="n">
        <f aca="false">G4*Assumptions!E$33</f>
        <v>1184.33927136899</v>
      </c>
      <c r="H11" s="9" t="n">
        <f aca="false">H4*Assumptions!F$33</f>
        <v>1487.61770992767</v>
      </c>
      <c r="I11" s="9" t="n">
        <f aca="false">I4*Assumptions!G$33</f>
        <v>1737.55546562512</v>
      </c>
      <c r="J11" s="25" t="s">
        <v>301</v>
      </c>
    </row>
    <row r="12" customFormat="false" ht="15" hidden="false" customHeight="false" outlineLevel="0" collapsed="false">
      <c r="A12" s="5" t="s">
        <v>302</v>
      </c>
      <c r="B12" s="36" t="n">
        <v>538.9</v>
      </c>
      <c r="C12" s="36" t="n">
        <v>789.6</v>
      </c>
      <c r="D12" s="36" t="n">
        <v>1140.9</v>
      </c>
      <c r="E12" s="9" t="n">
        <f aca="false">E4*Assumptions!C$34</f>
        <v>1582.2284978024</v>
      </c>
      <c r="F12" s="9" t="n">
        <f aca="false">F4*Assumptions!D$34</f>
        <v>2275.65769212656</v>
      </c>
      <c r="G12" s="9" t="n">
        <f aca="false">G4*Assumptions!E$34</f>
        <v>3211.58667281141</v>
      </c>
      <c r="H12" s="9" t="n">
        <f aca="false">H4*Assumptions!F$34</f>
        <v>4033.99036656062</v>
      </c>
      <c r="I12" s="9" t="n">
        <f aca="false">I4*Assumptions!G$34</f>
        <v>4711.74950588434</v>
      </c>
      <c r="J12" s="25" t="s">
        <v>303</v>
      </c>
    </row>
    <row r="13" customFormat="false" ht="15" hidden="false" customHeight="false" outlineLevel="0" collapsed="false">
      <c r="A13" s="5" t="s">
        <v>304</v>
      </c>
      <c r="B13" s="36" t="n">
        <v>-68.1</v>
      </c>
      <c r="C13" s="36" t="n">
        <v>-182.1</v>
      </c>
      <c r="D13" s="36" t="n">
        <v>-67.9</v>
      </c>
      <c r="E13" s="9" t="n">
        <f aca="false">FIN!E67</f>
        <v>135.575710298633</v>
      </c>
      <c r="F13" s="9" t="n">
        <f aca="false">FIN!F67</f>
        <v>104.204925840692</v>
      </c>
      <c r="G13" s="9" t="n">
        <f aca="false">FIN!G67</f>
        <v>56.4591316536744</v>
      </c>
      <c r="H13" s="9" t="n">
        <f aca="false">FIN!H67</f>
        <v>20.8133892902883</v>
      </c>
      <c r="I13" s="9" t="n">
        <f aca="false">FIN!I67</f>
        <v>14.3195314834984</v>
      </c>
      <c r="J13" s="25" t="s">
        <v>305</v>
      </c>
    </row>
    <row r="14" customFormat="false" ht="15" hidden="false" customHeight="false" outlineLevel="0" collapsed="false">
      <c r="A14" s="5" t="s">
        <v>306</v>
      </c>
      <c r="B14" s="36" t="n">
        <v>-67.8</v>
      </c>
      <c r="C14" s="36" t="n">
        <v>-256.2</v>
      </c>
      <c r="D14" s="36" t="n">
        <v>-174.6</v>
      </c>
      <c r="E14" s="9" t="n">
        <f aca="false">Assumptions!C$35</f>
        <v>-174.6</v>
      </c>
      <c r="F14" s="9" t="n">
        <f aca="false">Assumptions!D$35</f>
        <v>-174.6</v>
      </c>
      <c r="G14" s="9" t="n">
        <f aca="false">Assumptions!E$35</f>
        <v>-174.6</v>
      </c>
      <c r="H14" s="9" t="n">
        <f aca="false">Assumptions!F$35</f>
        <v>-174.6</v>
      </c>
      <c r="I14" s="9" t="n">
        <f aca="false">Assumptions!G$35</f>
        <v>-174.6</v>
      </c>
      <c r="J14" s="25" t="s">
        <v>307</v>
      </c>
    </row>
    <row r="15" customFormat="false" ht="15" hidden="false" customHeight="false" outlineLevel="0" collapsed="false">
      <c r="A15" s="3" t="s">
        <v>308</v>
      </c>
      <c r="B15" s="47" t="n">
        <f aca="false">B7-B9-B10-B11-B12-B13+B14</f>
        <v>1706</v>
      </c>
      <c r="C15" s="47" t="n">
        <f aca="false">C7-C9-C10-C11-C12-C13+C14</f>
        <v>2955.9</v>
      </c>
      <c r="D15" s="47" t="n">
        <f aca="false">D7-D9-D10-D11-D12-D13+D14</f>
        <v>4410.8</v>
      </c>
      <c r="E15" s="47" t="n">
        <f aca="false">E7-E9-E10-E11-E12-E13+E14</f>
        <v>6107.81525801057</v>
      </c>
      <c r="F15" s="47" t="n">
        <f aca="false">F7-F9-F10-F11-F12-F13+F14</f>
        <v>9348.93413795475</v>
      </c>
      <c r="G15" s="47" t="n">
        <f aca="false">G7-G9-G10-G11-G12-G13+G14</f>
        <v>13730.6849354515</v>
      </c>
      <c r="H15" s="47" t="n">
        <f aca="false">H7-H9-H10-H11-H12-H13+H14</f>
        <v>17085.2123090482</v>
      </c>
      <c r="I15" s="47" t="n">
        <f aca="false">I7-I9-I10-I11-I12-I13+I14</f>
        <v>19655.554985543</v>
      </c>
      <c r="J15" s="25"/>
    </row>
    <row r="16" customFormat="false" ht="15" hidden="false" customHeight="false" outlineLevel="0" collapsed="false">
      <c r="A16" s="5" t="s">
        <v>144</v>
      </c>
      <c r="B16" s="36" t="n">
        <v>-0.6</v>
      </c>
      <c r="C16" s="36" t="n">
        <v>-6.3</v>
      </c>
      <c r="D16" s="36" t="n">
        <v>-12.6</v>
      </c>
      <c r="E16" s="9" t="n">
        <f aca="false">Assumptions!C$36</f>
        <v>-12.6</v>
      </c>
      <c r="F16" s="9" t="n">
        <f aca="false">Assumptions!D$36</f>
        <v>-12.6</v>
      </c>
      <c r="G16" s="9" t="n">
        <f aca="false">Assumptions!E$36</f>
        <v>-12.6</v>
      </c>
      <c r="H16" s="9" t="n">
        <f aca="false">Assumptions!F$36</f>
        <v>-12.6</v>
      </c>
      <c r="I16" s="9" t="n">
        <f aca="false">Assumptions!G$36</f>
        <v>-12.6</v>
      </c>
      <c r="J16" s="27" t="s">
        <v>309</v>
      </c>
    </row>
    <row r="17" customFormat="false" ht="15" hidden="false" customHeight="false" outlineLevel="0" collapsed="false">
      <c r="A17" s="3" t="s">
        <v>310</v>
      </c>
      <c r="B17" s="47" t="n">
        <f aca="false">B15+B16</f>
        <v>1705.4</v>
      </c>
      <c r="C17" s="47" t="n">
        <f aca="false">C15+C16</f>
        <v>2949.6</v>
      </c>
      <c r="D17" s="47" t="n">
        <f aca="false">D15+D16</f>
        <v>4398.2</v>
      </c>
      <c r="E17" s="47" t="n">
        <f aca="false">E15+E16</f>
        <v>6095.21525801057</v>
      </c>
      <c r="F17" s="47" t="n">
        <f aca="false">F15+F16</f>
        <v>9336.33413795475</v>
      </c>
      <c r="G17" s="47" t="n">
        <f aca="false">G15+G16</f>
        <v>13718.0849354515</v>
      </c>
      <c r="H17" s="47" t="n">
        <f aca="false">H15+H16</f>
        <v>17072.6123090482</v>
      </c>
      <c r="I17" s="47" t="n">
        <f aca="false">I15+I16</f>
        <v>19642.954985543</v>
      </c>
      <c r="J17" s="25"/>
    </row>
    <row r="18" customFormat="false" ht="15" hidden="false" customHeight="false" outlineLevel="0" collapsed="false">
      <c r="A18" s="5" t="s">
        <v>311</v>
      </c>
      <c r="B18" s="36" t="n">
        <v>215.8</v>
      </c>
      <c r="C18" s="36" t="n">
        <v>383.4</v>
      </c>
      <c r="D18" s="36" t="n">
        <v>579.5</v>
      </c>
      <c r="E18" s="9" t="n">
        <f aca="false">E17*Assumptions!C$37</f>
        <v>802.739849479992</v>
      </c>
      <c r="F18" s="9" t="n">
        <f aca="false">F17*Assumptions!D$37</f>
        <v>1229.59520596864</v>
      </c>
      <c r="G18" s="9" t="n">
        <f aca="false">G17*Assumptions!E$37</f>
        <v>1806.67178599896</v>
      </c>
      <c r="H18" s="9" t="n">
        <f aca="false">H17*Assumptions!F$37</f>
        <v>2248.46304110165</v>
      </c>
      <c r="I18" s="9" t="n">
        <f aca="false">I17*Assumptions!G$37</f>
        <v>2586.97717159602</v>
      </c>
      <c r="J18" s="25" t="s">
        <v>312</v>
      </c>
    </row>
    <row r="19" customFormat="false" ht="15" hidden="false" customHeight="false" outlineLevel="0" collapsed="false">
      <c r="A19" s="3" t="s">
        <v>313</v>
      </c>
      <c r="B19" s="47" t="n">
        <f aca="false">B17-B18</f>
        <v>1489.6</v>
      </c>
      <c r="C19" s="47" t="n">
        <f aca="false">C17-C18</f>
        <v>2566.2</v>
      </c>
      <c r="D19" s="47" t="n">
        <f aca="false">D17-D18</f>
        <v>3818.7</v>
      </c>
      <c r="E19" s="47" t="n">
        <f aca="false">E17-E18</f>
        <v>5292.47540853058</v>
      </c>
      <c r="F19" s="47" t="n">
        <f aca="false">F17-F18</f>
        <v>8106.73893198611</v>
      </c>
      <c r="G19" s="47" t="n">
        <f aca="false">G17-G18</f>
        <v>11911.4131494525</v>
      </c>
      <c r="H19" s="47" t="n">
        <f aca="false">H17-H18</f>
        <v>14824.1492679465</v>
      </c>
      <c r="I19" s="47" t="n">
        <f aca="false">I17-I18</f>
        <v>17055.977813947</v>
      </c>
      <c r="J19" s="25" t="s">
        <v>314</v>
      </c>
    </row>
    <row r="20" customFormat="false" ht="15" hidden="false" customHeight="false" outlineLevel="0" collapsed="false">
      <c r="A20" s="3" t="s">
        <v>315</v>
      </c>
      <c r="B20" s="48" t="n">
        <v>1512.5</v>
      </c>
      <c r="C20" s="48" t="n">
        <v>2587.2</v>
      </c>
      <c r="D20" s="48" t="n">
        <v>3822.3</v>
      </c>
      <c r="E20" s="47" t="n">
        <f aca="false">E19*(1-Assumptions!C$38)</f>
        <v>5292.47540853058</v>
      </c>
      <c r="F20" s="47" t="n">
        <f aca="false">F19*(1-Assumptions!D$38)</f>
        <v>8106.73893198611</v>
      </c>
      <c r="G20" s="47" t="n">
        <f aca="false">G19*(1-Assumptions!E$38)</f>
        <v>11911.4131494525</v>
      </c>
      <c r="H20" s="47" t="n">
        <f aca="false">H19*(1-Assumptions!F$38)</f>
        <v>14824.1492679465</v>
      </c>
      <c r="I20" s="47" t="n">
        <f aca="false">I19*(1-Assumptions!G$38)</f>
        <v>17055.977813947</v>
      </c>
      <c r="J20" s="25" t="s">
        <v>316</v>
      </c>
    </row>
    <row r="21" customFormat="false" ht="15" hidden="false" customHeight="false" outlineLevel="0" collapsed="false">
      <c r="A21" s="5" t="s">
        <v>317</v>
      </c>
      <c r="B21" s="9" t="n">
        <f aca="false">B19-B20</f>
        <v>-22.9000000000005</v>
      </c>
      <c r="C21" s="9" t="n">
        <f aca="false">C19-C20</f>
        <v>-20.9999999999973</v>
      </c>
      <c r="D21" s="9" t="n">
        <f aca="false">D19-D20</f>
        <v>-3.59999999999945</v>
      </c>
      <c r="E21" s="9" t="n">
        <f aca="false">E19-E20</f>
        <v>0</v>
      </c>
      <c r="F21" s="9" t="n">
        <f aca="false">F19-F20</f>
        <v>0</v>
      </c>
      <c r="G21" s="9" t="n">
        <f aca="false">G19-G20</f>
        <v>0</v>
      </c>
      <c r="H21" s="9" t="n">
        <f aca="false">H19-H20</f>
        <v>0</v>
      </c>
      <c r="I21" s="9" t="n">
        <f aca="false">I19-I20</f>
        <v>0</v>
      </c>
      <c r="J21" s="25" t="s">
        <v>318</v>
      </c>
    </row>
    <row r="22" customFormat="false" ht="15" hidden="false" customHeight="false" outlineLevel="0" collapsed="false">
      <c r="A22" s="5" t="s">
        <v>319</v>
      </c>
      <c r="B22" s="19" t="n">
        <f aca="false">B20/B4</f>
        <v>0.169215622657552</v>
      </c>
      <c r="C22" s="19" t="n">
        <f aca="false">C20/C4</f>
        <v>0.193921223250759</v>
      </c>
      <c r="D22" s="19" t="n">
        <f aca="false">D20/D4</f>
        <v>0.201755589806389</v>
      </c>
      <c r="E22" s="19" t="n">
        <f aca="false">E20/E4</f>
        <v>0.201365997411918</v>
      </c>
      <c r="F22" s="19" t="n">
        <f aca="false">F20/F4</f>
        <v>0.214454786145588</v>
      </c>
      <c r="G22" s="19" t="n">
        <f aca="false">G20/G4</f>
        <v>0.223275017818319</v>
      </c>
      <c r="H22" s="19" t="n">
        <f aca="false">H20/H4</f>
        <v>0.221223578848368</v>
      </c>
      <c r="I22" s="19" t="n">
        <f aca="false">I20/I4</f>
        <v>0.217916903926517</v>
      </c>
      <c r="J22" s="27" t="s">
        <v>320</v>
      </c>
    </row>
    <row r="23" customFormat="false" ht="15" hidden="false" customHeight="false" outlineLevel="0" collapsed="false">
      <c r="A23" s="4" t="s">
        <v>321</v>
      </c>
      <c r="B23" s="8" t="n">
        <f aca="false">B20/Equity_Roll!$C$21</f>
        <v>0.7859592600291</v>
      </c>
      <c r="C23" s="8" t="n">
        <f aca="false">C20/Equity_Roll!$C$21</f>
        <v>1.34441903970069</v>
      </c>
      <c r="D23" s="8" t="n">
        <f aca="false">D20/Equity_Roll!$C$21</f>
        <v>1.9862294741218</v>
      </c>
      <c r="E23" s="8" t="n">
        <f aca="false">E20/Equity_Roll!$C$21</f>
        <v>2.75019507822208</v>
      </c>
      <c r="F23" s="8" t="n">
        <f aca="false">F20/Equity_Roll!$C$21</f>
        <v>4.21260597172423</v>
      </c>
      <c r="G23" s="8" t="n">
        <f aca="false">G20/Equity_Roll!$C$21</f>
        <v>6.18967634039311</v>
      </c>
      <c r="H23" s="8" t="n">
        <f aca="false">H20/Equity_Roll!$C$21</f>
        <v>7.70325777798095</v>
      </c>
      <c r="I23" s="8" t="n">
        <f aca="false">I20/Equity_Roll!$C$21</f>
        <v>8.86301071188267</v>
      </c>
      <c r="J23" s="25" t="s">
        <v>322</v>
      </c>
    </row>
    <row r="24" customFormat="false" ht="15" hidden="false" customHeight="false" outlineLevel="0" collapsed="false">
      <c r="A24" s="10" t="s">
        <v>323</v>
      </c>
      <c r="B24" s="47" t="n">
        <f aca="false">B17+B13</f>
        <v>1637.3</v>
      </c>
      <c r="C24" s="47" t="n">
        <f aca="false">C17+C13</f>
        <v>2767.5</v>
      </c>
      <c r="D24" s="47" t="n">
        <f aca="false">D17+D13</f>
        <v>4330.3</v>
      </c>
      <c r="E24" s="47" t="n">
        <f aca="false">E17+E13</f>
        <v>6230.7909683092</v>
      </c>
      <c r="F24" s="47" t="n">
        <f aca="false">F17+F13</f>
        <v>9440.53906379544</v>
      </c>
      <c r="G24" s="47" t="n">
        <f aca="false">G17+G13</f>
        <v>13774.5440671051</v>
      </c>
      <c r="H24" s="47" t="n">
        <f aca="false">H17+H13</f>
        <v>17093.4256983385</v>
      </c>
      <c r="I24" s="47" t="n">
        <f aca="false">I17+I13</f>
        <v>19657.2745170265</v>
      </c>
      <c r="J24" s="25" t="s">
        <v>324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325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326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5" t="s">
        <v>327</v>
      </c>
      <c r="B4" s="36" t="n">
        <v>2097.9</v>
      </c>
      <c r="C4" s="36" t="n">
        <v>1542.7</v>
      </c>
      <c r="D4" s="36" t="n">
        <v>2579.1</v>
      </c>
      <c r="E4" s="9" t="n">
        <f aca="false">FIN!E63</f>
        <v>525.65730824</v>
      </c>
      <c r="F4" s="9" t="n">
        <f aca="false">FIN!F63</f>
        <v>756.032455856</v>
      </c>
      <c r="G4" s="9" t="n">
        <f aca="false">FIN!G63</f>
        <v>1066.97231654864</v>
      </c>
      <c r="H4" s="9" t="n">
        <f aca="false">FIN!H63</f>
        <v>1340.19613506997</v>
      </c>
      <c r="I4" s="9" t="n">
        <f aca="false">FIN!I63</f>
        <v>1565.36528434696</v>
      </c>
      <c r="J4" s="25" t="s">
        <v>328</v>
      </c>
    </row>
    <row r="5" customFormat="false" ht="15" hidden="false" customHeight="false" outlineLevel="0" collapsed="false">
      <c r="A5" s="5" t="s">
        <v>329</v>
      </c>
      <c r="B5" s="36" t="n">
        <v>50.2</v>
      </c>
      <c r="C5" s="36" t="n">
        <v>0</v>
      </c>
      <c r="D5" s="36" t="n">
        <v>0</v>
      </c>
      <c r="E5" s="9" t="n">
        <f aca="false">FIN!E61</f>
        <v>0</v>
      </c>
      <c r="F5" s="9" t="n">
        <f aca="false">FIN!F61</f>
        <v>0</v>
      </c>
      <c r="G5" s="9" t="n">
        <f aca="false">FIN!G61</f>
        <v>1071.04471700783</v>
      </c>
      <c r="H5" s="9" t="n">
        <f aca="false">FIN!H61</f>
        <v>6008.26253562355</v>
      </c>
      <c r="I5" s="9" t="n">
        <f aca="false">FIN!I61</f>
        <v>13397.5488846913</v>
      </c>
      <c r="J5" s="25" t="s">
        <v>330</v>
      </c>
    </row>
    <row r="6" customFormat="false" ht="15" hidden="false" customHeight="false" outlineLevel="0" collapsed="false">
      <c r="A6" s="5" t="s">
        <v>331</v>
      </c>
      <c r="B6" s="36" t="n">
        <v>2693.4</v>
      </c>
      <c r="C6" s="36" t="n">
        <v>4043.7</v>
      </c>
      <c r="D6" s="36" t="n">
        <v>5507.2</v>
      </c>
      <c r="E6" s="9" t="n">
        <f aca="false">Assumptions!C$42/365*IS!E4</f>
        <v>7632.83214704657</v>
      </c>
      <c r="F6" s="9" t="n">
        <f aca="false">Assumptions!D$42/365*IS!F4</f>
        <v>10978.0055233885</v>
      </c>
      <c r="G6" s="9" t="n">
        <f aca="false">Assumptions!E$42/365*IS!G4</f>
        <v>15493.0226786515</v>
      </c>
      <c r="H6" s="9" t="n">
        <f aca="false">Assumptions!F$42/365*IS!H4</f>
        <v>19460.3822352626</v>
      </c>
      <c r="I6" s="9" t="n">
        <f aca="false">Assumptions!G$42/365*IS!I4</f>
        <v>22729.9616631202</v>
      </c>
      <c r="J6" s="25" t="s">
        <v>332</v>
      </c>
    </row>
    <row r="7" customFormat="false" ht="15" hidden="false" customHeight="false" outlineLevel="0" collapsed="false">
      <c r="A7" s="5" t="s">
        <v>333</v>
      </c>
      <c r="B7" s="36" t="n">
        <v>16.4</v>
      </c>
      <c r="C7" s="36" t="n">
        <v>41.1</v>
      </c>
      <c r="D7" s="36" t="n">
        <v>98.7</v>
      </c>
      <c r="E7" s="9" t="n">
        <f aca="false">IS!E4*Assumptions!C$45</f>
        <v>136.6709001424</v>
      </c>
      <c r="F7" s="9" t="n">
        <f aca="false">IS!F4*Assumptions!D$45</f>
        <v>196.56843852256</v>
      </c>
      <c r="G7" s="9" t="n">
        <f aca="false">IS!G4*Assumptions!E$45</f>
        <v>277.412802302646</v>
      </c>
      <c r="H7" s="9" t="n">
        <f aca="false">IS!H4*Assumptions!F$45</f>
        <v>348.450995118193</v>
      </c>
      <c r="I7" s="9" t="n">
        <f aca="false">IS!I4*Assumptions!G$45</f>
        <v>406.994973930208</v>
      </c>
      <c r="J7" s="25" t="s">
        <v>334</v>
      </c>
    </row>
    <row r="8" customFormat="false" ht="15" hidden="false" customHeight="false" outlineLevel="0" collapsed="false">
      <c r="A8" s="5" t="s">
        <v>335</v>
      </c>
      <c r="B8" s="36" t="n">
        <v>23.3</v>
      </c>
      <c r="C8" s="36" t="n">
        <v>450.8</v>
      </c>
      <c r="D8" s="36" t="n">
        <v>471.6</v>
      </c>
      <c r="E8" s="9" t="n">
        <f aca="false">D8</f>
        <v>471.6</v>
      </c>
      <c r="F8" s="9" t="n">
        <f aca="false">E8</f>
        <v>471.6</v>
      </c>
      <c r="G8" s="9" t="n">
        <f aca="false">F8</f>
        <v>471.6</v>
      </c>
      <c r="H8" s="9" t="n">
        <f aca="false">G8</f>
        <v>471.6</v>
      </c>
      <c r="I8" s="9" t="n">
        <f aca="false">H8</f>
        <v>471.6</v>
      </c>
      <c r="J8" s="25" t="s">
        <v>336</v>
      </c>
    </row>
    <row r="9" customFormat="false" ht="15" hidden="false" customHeight="false" outlineLevel="0" collapsed="false">
      <c r="A9" s="5" t="s">
        <v>337</v>
      </c>
      <c r="B9" s="36" t="n">
        <v>1749.2</v>
      </c>
      <c r="C9" s="36" t="n">
        <v>2436.1</v>
      </c>
      <c r="D9" s="36" t="n">
        <v>4245.9</v>
      </c>
      <c r="E9" s="9" t="n">
        <f aca="false">Assumptions!C$43/365*IS!E6</f>
        <v>5848.32466829302</v>
      </c>
      <c r="F9" s="9" t="n">
        <f aca="false">Assumptions!D$43/365*IS!F6</f>
        <v>8273.28625964834</v>
      </c>
      <c r="G9" s="9" t="n">
        <f aca="false">Assumptions!E$43/365*IS!G6</f>
        <v>11545.666638161</v>
      </c>
      <c r="H9" s="9" t="n">
        <f aca="false">Assumptions!F$43/365*IS!H6</f>
        <v>14591.4094445904</v>
      </c>
      <c r="I9" s="9" t="n">
        <f aca="false">Assumptions!G$43/365*IS!I6</f>
        <v>17161.0717880114</v>
      </c>
      <c r="J9" s="25" t="s">
        <v>338</v>
      </c>
    </row>
    <row r="10" customFormat="false" ht="15" hidden="false" customHeight="false" outlineLevel="0" collapsed="false">
      <c r="A10" s="5" t="s">
        <v>339</v>
      </c>
      <c r="B10" s="36" t="n">
        <v>1210.5</v>
      </c>
      <c r="C10" s="36" t="n">
        <v>1163.3</v>
      </c>
      <c r="D10" s="36" t="n">
        <v>3072.6</v>
      </c>
      <c r="E10" s="9" t="n">
        <f aca="false">D10</f>
        <v>3072.6</v>
      </c>
      <c r="F10" s="9" t="n">
        <f aca="false">E10</f>
        <v>3072.6</v>
      </c>
      <c r="G10" s="9" t="n">
        <f aca="false">F10</f>
        <v>3072.6</v>
      </c>
      <c r="H10" s="9" t="n">
        <f aca="false">G10</f>
        <v>3072.6</v>
      </c>
      <c r="I10" s="9" t="n">
        <f aca="false">H10</f>
        <v>3072.6</v>
      </c>
      <c r="J10" s="25" t="s">
        <v>340</v>
      </c>
    </row>
    <row r="11" customFormat="false" ht="15" hidden="false" customHeight="false" outlineLevel="0" collapsed="false">
      <c r="A11" s="3" t="s">
        <v>341</v>
      </c>
      <c r="B11" s="46" t="n">
        <f aca="false">B4+B5+B6+B7+B8+B9+B10</f>
        <v>7840.9</v>
      </c>
      <c r="C11" s="46" t="n">
        <f aca="false">C4+C5+C6+C7+C8+C9+C10</f>
        <v>9677.7</v>
      </c>
      <c r="D11" s="46" t="n">
        <f aca="false">D4+D5+D6+D7+D8+D9+D10</f>
        <v>15975.1</v>
      </c>
      <c r="E11" s="46" t="n">
        <f aca="false">E4+E5+E6+E7+E8+E9+E10</f>
        <v>17687.685023722</v>
      </c>
      <c r="F11" s="46" t="n">
        <f aca="false">F4+F5+F6+F7+F8+F9+F10</f>
        <v>23748.0926774154</v>
      </c>
      <c r="G11" s="46" t="n">
        <f aca="false">G4+G5+G6+G7+G8+G9+G10</f>
        <v>32998.3191526716</v>
      </c>
      <c r="H11" s="46" t="n">
        <f aca="false">H4+H5+H6+H7+H8+H9+H10</f>
        <v>45292.9013456648</v>
      </c>
      <c r="I11" s="46" t="n">
        <f aca="false">I4+I5+I6+I7+I8+I9+I10</f>
        <v>58805.1425941</v>
      </c>
      <c r="J11" s="25"/>
    </row>
    <row r="12" customFormat="false" ht="15" hidden="false" customHeight="false" outlineLevel="0" collapsed="false">
      <c r="A12" s="5" t="s">
        <v>342</v>
      </c>
      <c r="B12" s="36" t="n">
        <v>4259.5</v>
      </c>
      <c r="C12" s="36" t="n">
        <v>6081.3</v>
      </c>
      <c r="D12" s="36" t="n">
        <v>8166.3</v>
      </c>
      <c r="E12" s="9" t="n">
        <f aca="false">PPE!E18</f>
        <v>11654.1322510992</v>
      </c>
      <c r="F12" s="9" t="n">
        <f aca="false">PPE!F18</f>
        <v>15573.3056351388</v>
      </c>
      <c r="G12" s="9" t="n">
        <f aca="false">PPE!G18</f>
        <v>19844.124846428</v>
      </c>
      <c r="H12" s="9" t="n">
        <f aca="false">PPE!H18</f>
        <v>24051.1635837626</v>
      </c>
      <c r="I12" s="9" t="n">
        <f aca="false">PPE!I18</f>
        <v>27552.4619949137</v>
      </c>
      <c r="J12" s="25" t="s">
        <v>343</v>
      </c>
    </row>
    <row r="13" customFormat="false" ht="15" hidden="false" customHeight="false" outlineLevel="0" collapsed="false">
      <c r="A13" s="5" t="s">
        <v>344</v>
      </c>
      <c r="B13" s="36" t="n">
        <v>0.1</v>
      </c>
      <c r="C13" s="36" t="n">
        <v>0</v>
      </c>
      <c r="D13" s="36" t="n">
        <v>19.4</v>
      </c>
      <c r="E13" s="9" t="n">
        <f aca="false">D13</f>
        <v>19.4</v>
      </c>
      <c r="F13" s="9" t="n">
        <f aca="false">E13</f>
        <v>19.4</v>
      </c>
      <c r="G13" s="9" t="n">
        <f aca="false">F13</f>
        <v>19.4</v>
      </c>
      <c r="H13" s="9" t="n">
        <f aca="false">G13</f>
        <v>19.4</v>
      </c>
      <c r="I13" s="9" t="n">
        <f aca="false">H13</f>
        <v>19.4</v>
      </c>
      <c r="J13" s="25" t="s">
        <v>336</v>
      </c>
    </row>
    <row r="14" customFormat="false" ht="15" hidden="false" customHeight="false" outlineLevel="0" collapsed="false">
      <c r="A14" s="5" t="s">
        <v>345</v>
      </c>
      <c r="B14" s="36" t="n">
        <v>374.9</v>
      </c>
      <c r="C14" s="36" t="n">
        <v>365.4</v>
      </c>
      <c r="D14" s="36" t="n">
        <v>388.7</v>
      </c>
      <c r="E14" s="9" t="n">
        <f aca="false">Schedules!E23</f>
        <v>357.604</v>
      </c>
      <c r="F14" s="9" t="n">
        <f aca="false">Schedules!F23</f>
        <v>328.99568</v>
      </c>
      <c r="G14" s="9" t="n">
        <f aca="false">Schedules!G23</f>
        <v>302.6760256</v>
      </c>
      <c r="H14" s="9" t="n">
        <f aca="false">Schedules!H23</f>
        <v>278.461943552</v>
      </c>
      <c r="I14" s="9" t="n">
        <f aca="false">Schedules!I23</f>
        <v>256.18498806784</v>
      </c>
      <c r="J14" s="25" t="s">
        <v>346</v>
      </c>
    </row>
    <row r="15" customFormat="false" ht="15" hidden="false" customHeight="false" outlineLevel="0" collapsed="false">
      <c r="A15" s="5" t="s">
        <v>347</v>
      </c>
      <c r="B15" s="36" t="n">
        <v>0</v>
      </c>
      <c r="C15" s="36" t="n">
        <v>0</v>
      </c>
      <c r="D15" s="36" t="n">
        <v>0</v>
      </c>
      <c r="E15" s="9" t="n">
        <f aca="false">D15</f>
        <v>0</v>
      </c>
      <c r="F15" s="9" t="n">
        <f aca="false">E15</f>
        <v>0</v>
      </c>
      <c r="G15" s="9" t="n">
        <f aca="false">F15</f>
        <v>0</v>
      </c>
      <c r="H15" s="9" t="n">
        <f aca="false">G15</f>
        <v>0</v>
      </c>
      <c r="I15" s="9" t="n">
        <f aca="false">H15</f>
        <v>0</v>
      </c>
      <c r="J15" s="25" t="s">
        <v>336</v>
      </c>
    </row>
    <row r="16" customFormat="false" ht="15" hidden="false" customHeight="false" outlineLevel="0" collapsed="false">
      <c r="A16" s="5" t="s">
        <v>348</v>
      </c>
      <c r="B16" s="36" t="n">
        <v>3.6</v>
      </c>
      <c r="C16" s="36" t="n">
        <v>4</v>
      </c>
      <c r="D16" s="36" t="n">
        <v>4.2</v>
      </c>
      <c r="E16" s="9" t="n">
        <f aca="false">D16</f>
        <v>4.2</v>
      </c>
      <c r="F16" s="9" t="n">
        <f aca="false">E16</f>
        <v>4.2</v>
      </c>
      <c r="G16" s="9" t="n">
        <f aca="false">F16</f>
        <v>4.2</v>
      </c>
      <c r="H16" s="9" t="n">
        <f aca="false">G16</f>
        <v>4.2</v>
      </c>
      <c r="I16" s="9" t="n">
        <f aca="false">H16</f>
        <v>4.2</v>
      </c>
      <c r="J16" s="25" t="s">
        <v>336</v>
      </c>
    </row>
    <row r="17" customFormat="false" ht="15" hidden="false" customHeight="false" outlineLevel="0" collapsed="false">
      <c r="A17" s="5" t="s">
        <v>349</v>
      </c>
      <c r="B17" s="36" t="n">
        <v>90.1</v>
      </c>
      <c r="C17" s="36" t="n">
        <v>166.4</v>
      </c>
      <c r="D17" s="36" t="n">
        <v>322.1</v>
      </c>
      <c r="E17" s="9" t="n">
        <f aca="false">D17</f>
        <v>322.1</v>
      </c>
      <c r="F17" s="9" t="n">
        <f aca="false">E17</f>
        <v>322.1</v>
      </c>
      <c r="G17" s="9" t="n">
        <f aca="false">F17</f>
        <v>322.1</v>
      </c>
      <c r="H17" s="9" t="n">
        <f aca="false">G17</f>
        <v>322.1</v>
      </c>
      <c r="I17" s="9" t="n">
        <f aca="false">H17</f>
        <v>322.1</v>
      </c>
      <c r="J17" s="25" t="s">
        <v>336</v>
      </c>
    </row>
    <row r="18" customFormat="false" ht="15" hidden="false" customHeight="false" outlineLevel="0" collapsed="false">
      <c r="A18" s="5" t="s">
        <v>350</v>
      </c>
      <c r="B18" s="36" t="n">
        <v>210.9</v>
      </c>
      <c r="C18" s="36" t="n">
        <v>430.3</v>
      </c>
      <c r="D18" s="36" t="n">
        <v>486.8</v>
      </c>
      <c r="E18" s="9" t="n">
        <f aca="false">D18</f>
        <v>486.8</v>
      </c>
      <c r="F18" s="9" t="n">
        <f aca="false">E18</f>
        <v>486.8</v>
      </c>
      <c r="G18" s="9" t="n">
        <f aca="false">F18</f>
        <v>486.8</v>
      </c>
      <c r="H18" s="9" t="n">
        <f aca="false">G18</f>
        <v>486.8</v>
      </c>
      <c r="I18" s="9" t="n">
        <f aca="false">H18</f>
        <v>486.8</v>
      </c>
      <c r="J18" s="25" t="s">
        <v>351</v>
      </c>
    </row>
    <row r="19" customFormat="false" ht="15" hidden="false" customHeight="false" outlineLevel="0" collapsed="false">
      <c r="A19" s="5" t="s">
        <v>352</v>
      </c>
      <c r="B19" s="36" t="n">
        <v>3255.6</v>
      </c>
      <c r="C19" s="36" t="n">
        <v>4454.9</v>
      </c>
      <c r="D19" s="36" t="n">
        <v>2891.7</v>
      </c>
      <c r="E19" s="9" t="n">
        <f aca="false">D19</f>
        <v>2891.7</v>
      </c>
      <c r="F19" s="9" t="n">
        <f aca="false">E19</f>
        <v>2891.7</v>
      </c>
      <c r="G19" s="9" t="n">
        <f aca="false">F19</f>
        <v>2891.7</v>
      </c>
      <c r="H19" s="9" t="n">
        <f aca="false">G19</f>
        <v>2891.7</v>
      </c>
      <c r="I19" s="9" t="n">
        <f aca="false">H19</f>
        <v>2891.7</v>
      </c>
      <c r="J19" s="25" t="s">
        <v>353</v>
      </c>
    </row>
    <row r="20" customFormat="false" ht="15" hidden="false" customHeight="false" outlineLevel="0" collapsed="false">
      <c r="A20" s="3" t="s">
        <v>354</v>
      </c>
      <c r="B20" s="46" t="n">
        <f aca="false">B12+B13+B14+B15+B16+B17+B18+B19</f>
        <v>8194.7</v>
      </c>
      <c r="C20" s="46" t="n">
        <f aca="false">C12+C13+C14+C15+C16+C17+C18+C19</f>
        <v>11502.3</v>
      </c>
      <c r="D20" s="46" t="n">
        <f aca="false">D12+D13+D14+D15+D16+D17+D18+D19</f>
        <v>12279.2</v>
      </c>
      <c r="E20" s="46" t="n">
        <f aca="false">E12+E13+E14+E15+E16+E17+E18+E19</f>
        <v>15735.9362510992</v>
      </c>
      <c r="F20" s="46" t="n">
        <f aca="false">F12+F13+F14+F15+F16+F17+F18+F19</f>
        <v>19626.5013151388</v>
      </c>
      <c r="G20" s="46" t="n">
        <f aca="false">G12+G13+G14+G15+G16+G17+G18+G19</f>
        <v>23871.000872028</v>
      </c>
      <c r="H20" s="46" t="n">
        <f aca="false">H12+H13+H14+H15+H16+H17+H18+H19</f>
        <v>28053.8255273146</v>
      </c>
      <c r="I20" s="46" t="n">
        <f aca="false">I12+I13+I14+I15+I16+I17+I18+I19</f>
        <v>31532.8469829816</v>
      </c>
      <c r="J20" s="25"/>
    </row>
    <row r="21" customFormat="false" ht="15" hidden="false" customHeight="false" outlineLevel="0" collapsed="false">
      <c r="A21" s="3" t="s">
        <v>355</v>
      </c>
      <c r="B21" s="46" t="n">
        <f aca="false">B11+B20</f>
        <v>16035.6</v>
      </c>
      <c r="C21" s="46" t="n">
        <f aca="false">C11+C20</f>
        <v>21180</v>
      </c>
      <c r="D21" s="46" t="n">
        <f aca="false">D11+D20</f>
        <v>28254.3</v>
      </c>
      <c r="E21" s="46" t="n">
        <f aca="false">E11+E20</f>
        <v>33423.6212748212</v>
      </c>
      <c r="F21" s="46" t="n">
        <f aca="false">F11+F20</f>
        <v>43374.5939925542</v>
      </c>
      <c r="G21" s="46" t="n">
        <f aca="false">G11+G20</f>
        <v>56869.3200246995</v>
      </c>
      <c r="H21" s="46" t="n">
        <f aca="false">H11+H20</f>
        <v>73346.7268729794</v>
      </c>
      <c r="I21" s="46" t="n">
        <f aca="false">I11+I20</f>
        <v>90337.9895770816</v>
      </c>
      <c r="J21" s="27" t="s">
        <v>356</v>
      </c>
    </row>
    <row r="22" customFormat="false" ht="15" hidden="false" customHeight="false" outlineLevel="0" collapsed="false">
      <c r="A22" s="5" t="s">
        <v>357</v>
      </c>
      <c r="B22" s="36" t="n">
        <v>1434.5</v>
      </c>
      <c r="C22" s="36" t="n">
        <v>1654.5</v>
      </c>
      <c r="D22" s="36" t="n">
        <v>2169.9</v>
      </c>
      <c r="E22" s="9" t="n">
        <f aca="false">FIN!E24</f>
        <v>872.053579808075</v>
      </c>
      <c r="F22" s="9" t="n">
        <f aca="false">FIN!F24</f>
        <v>513.334019206818</v>
      </c>
      <c r="G22" s="9" t="n">
        <f aca="false">FIN!G24</f>
        <v>0</v>
      </c>
      <c r="H22" s="9" t="n">
        <f aca="false">FIN!H24</f>
        <v>0</v>
      </c>
      <c r="I22" s="9" t="n">
        <f aca="false">FIN!I24</f>
        <v>0</v>
      </c>
      <c r="J22" s="25" t="s">
        <v>358</v>
      </c>
    </row>
    <row r="23" customFormat="false" ht="15" hidden="false" customHeight="false" outlineLevel="0" collapsed="false">
      <c r="A23" s="5" t="s">
        <v>359</v>
      </c>
      <c r="B23" s="36" t="n">
        <v>2623.7</v>
      </c>
      <c r="C23" s="36" t="n">
        <v>4236.9</v>
      </c>
      <c r="D23" s="36" t="n">
        <v>6629.6</v>
      </c>
      <c r="E23" s="9" t="n">
        <f aca="false">Assumptions!C$44/365*IS!E6</f>
        <v>9117.86050647257</v>
      </c>
      <c r="F23" s="9" t="n">
        <f aca="false">Assumptions!D$44/365*IS!F6</f>
        <v>12898.5092866958</v>
      </c>
      <c r="G23" s="9" t="n">
        <f aca="false">Assumptions!E$44/365*IS!G6</f>
        <v>18000.3306642195</v>
      </c>
      <c r="H23" s="9" t="n">
        <f aca="false">Assumptions!F$44/365*IS!H6</f>
        <v>22748.8115750307</v>
      </c>
      <c r="I23" s="9" t="n">
        <f aca="false">Assumptions!G$44/365*IS!I6</f>
        <v>26755.0568033563</v>
      </c>
      <c r="J23" s="25" t="s">
        <v>360</v>
      </c>
    </row>
    <row r="24" customFormat="false" ht="15" hidden="false" customHeight="false" outlineLevel="0" collapsed="false">
      <c r="A24" s="5" t="s">
        <v>361</v>
      </c>
      <c r="B24" s="36" t="n">
        <v>22.6</v>
      </c>
      <c r="C24" s="36" t="n">
        <v>28.9</v>
      </c>
      <c r="D24" s="36" t="n">
        <v>65.8</v>
      </c>
      <c r="E24" s="9" t="n">
        <f aca="false">D24</f>
        <v>65.8</v>
      </c>
      <c r="F24" s="9" t="n">
        <f aca="false">E24</f>
        <v>65.8</v>
      </c>
      <c r="G24" s="9" t="n">
        <f aca="false">F24</f>
        <v>65.8</v>
      </c>
      <c r="H24" s="9" t="n">
        <f aca="false">G24</f>
        <v>65.8</v>
      </c>
      <c r="I24" s="9" t="n">
        <f aca="false">H24</f>
        <v>65.8</v>
      </c>
      <c r="J24" s="25" t="s">
        <v>336</v>
      </c>
    </row>
    <row r="25" customFormat="false" ht="15" hidden="false" customHeight="false" outlineLevel="0" collapsed="false">
      <c r="A25" s="5" t="s">
        <v>362</v>
      </c>
      <c r="B25" s="36" t="n">
        <v>296.5</v>
      </c>
      <c r="C25" s="36" t="n">
        <v>477.1</v>
      </c>
      <c r="D25" s="36" t="n">
        <v>530.2</v>
      </c>
      <c r="E25" s="9" t="n">
        <f aca="false">IS!E4*Assumptions!C$46</f>
        <v>735.920231536</v>
      </c>
      <c r="F25" s="9" t="n">
        <f aca="false">IS!F4*Assumptions!D$46</f>
        <v>1058.4454381984</v>
      </c>
      <c r="G25" s="9" t="n">
        <f aca="false">IS!G4*Assumptions!E$46</f>
        <v>1493.7612431681</v>
      </c>
      <c r="H25" s="9" t="n">
        <f aca="false">IS!H4*Assumptions!F$46</f>
        <v>1876.27458909796</v>
      </c>
      <c r="I25" s="9" t="n">
        <f aca="false">IS!I4*Assumptions!G$46</f>
        <v>2191.51139808574</v>
      </c>
      <c r="J25" s="25" t="s">
        <v>363</v>
      </c>
    </row>
    <row r="26" customFormat="false" ht="15" hidden="false" customHeight="false" outlineLevel="0" collapsed="false">
      <c r="A26" s="5" t="s">
        <v>364</v>
      </c>
      <c r="B26" s="36" t="n">
        <v>92.3</v>
      </c>
      <c r="C26" s="36" t="n">
        <v>136.5</v>
      </c>
      <c r="D26" s="36" t="n">
        <v>274.2</v>
      </c>
      <c r="E26" s="9" t="n">
        <f aca="false">IS!E4*Assumptions!C$47</f>
        <v>381.101548474</v>
      </c>
      <c r="F26" s="9" t="n">
        <f aca="false">IS!F4*Assumptions!D$47</f>
        <v>548.1235304956</v>
      </c>
      <c r="G26" s="9" t="n">
        <f aca="false">IS!G4*Assumptions!E$47</f>
        <v>773.554929497764</v>
      </c>
      <c r="H26" s="9" t="n">
        <f aca="false">IS!H4*Assumptions!F$47</f>
        <v>971.642197925731</v>
      </c>
      <c r="I26" s="9" t="n">
        <f aca="false">IS!I4*Assumptions!G$47</f>
        <v>1134.88983115154</v>
      </c>
      <c r="J26" s="25" t="s">
        <v>365</v>
      </c>
    </row>
    <row r="27" customFormat="false" ht="15" hidden="false" customHeight="false" outlineLevel="0" collapsed="false">
      <c r="A27" s="5" t="s">
        <v>366</v>
      </c>
      <c r="B27" s="36" t="n">
        <v>228.8</v>
      </c>
      <c r="C27" s="36" t="n">
        <v>380.7</v>
      </c>
      <c r="D27" s="36" t="n">
        <v>554.1</v>
      </c>
      <c r="E27" s="9" t="n">
        <f aca="false">D27</f>
        <v>554.1</v>
      </c>
      <c r="F27" s="9" t="n">
        <f aca="false">E27</f>
        <v>554.1</v>
      </c>
      <c r="G27" s="9" t="n">
        <f aca="false">F27</f>
        <v>554.1</v>
      </c>
      <c r="H27" s="9" t="n">
        <f aca="false">G27</f>
        <v>554.1</v>
      </c>
      <c r="I27" s="9" t="n">
        <f aca="false">H27</f>
        <v>554.1</v>
      </c>
      <c r="J27" s="25" t="s">
        <v>336</v>
      </c>
    </row>
    <row r="28" customFormat="false" ht="15" hidden="false" customHeight="false" outlineLevel="0" collapsed="false">
      <c r="A28" s="5" t="s">
        <v>367</v>
      </c>
      <c r="B28" s="36" t="n">
        <v>324.4</v>
      </c>
      <c r="C28" s="36" t="n">
        <v>662</v>
      </c>
      <c r="D28" s="36" t="n">
        <v>500.1</v>
      </c>
      <c r="E28" s="9" t="n">
        <f aca="false">FIN!E32</f>
        <v>400.1</v>
      </c>
      <c r="F28" s="9" t="n">
        <f aca="false">FIN!F32</f>
        <v>300.1</v>
      </c>
      <c r="G28" s="9" t="n">
        <f aca="false">FIN!G32</f>
        <v>200.1</v>
      </c>
      <c r="H28" s="9" t="n">
        <f aca="false">FIN!H32</f>
        <v>100.1</v>
      </c>
      <c r="I28" s="9" t="n">
        <f aca="false">FIN!I32</f>
        <v>0.100000000000023</v>
      </c>
      <c r="J28" s="25" t="s">
        <v>368</v>
      </c>
    </row>
    <row r="29" customFormat="false" ht="15" hidden="false" customHeight="false" outlineLevel="0" collapsed="false">
      <c r="A29" s="5" t="s">
        <v>369</v>
      </c>
      <c r="B29" s="36" t="n">
        <v>0</v>
      </c>
      <c r="C29" s="36" t="n">
        <v>0</v>
      </c>
      <c r="D29" s="36" t="n">
        <v>0</v>
      </c>
      <c r="E29" s="9" t="n">
        <f aca="false">D29</f>
        <v>0</v>
      </c>
      <c r="F29" s="9" t="n">
        <f aca="false">E29</f>
        <v>0</v>
      </c>
      <c r="G29" s="9" t="n">
        <f aca="false">F29</f>
        <v>0</v>
      </c>
      <c r="H29" s="9" t="n">
        <f aca="false">G29</f>
        <v>0</v>
      </c>
      <c r="I29" s="9" t="n">
        <f aca="false">H29</f>
        <v>0</v>
      </c>
      <c r="J29" s="25" t="s">
        <v>353</v>
      </c>
    </row>
    <row r="30" customFormat="false" ht="15" hidden="false" customHeight="false" outlineLevel="0" collapsed="false">
      <c r="A30" s="3" t="s">
        <v>370</v>
      </c>
      <c r="B30" s="46" t="n">
        <f aca="false">B22+B23+B24+B25+B26+B27+B28+B29</f>
        <v>5022.8</v>
      </c>
      <c r="C30" s="46" t="n">
        <f aca="false">C22+C23+C24+C25+C26+C27+C28+C29</f>
        <v>7576.6</v>
      </c>
      <c r="D30" s="46" t="n">
        <f aca="false">D22+D23+D24+D25+D26+D27+D28+D29</f>
        <v>10723.9</v>
      </c>
      <c r="E30" s="46" t="n">
        <f aca="false">E22+E23+E24+E25+E26+E27+E28+E29</f>
        <v>12126.9358662906</v>
      </c>
      <c r="F30" s="46" t="n">
        <f aca="false">F22+F23+F24+F25+F26+F27+F28+F29</f>
        <v>15938.4122745967</v>
      </c>
      <c r="G30" s="46" t="n">
        <f aca="false">G22+G23+G24+G25+G26+G27+G28+G29</f>
        <v>21087.6468368853</v>
      </c>
      <c r="H30" s="46" t="n">
        <f aca="false">H22+H23+H24+H25+H26+H27+H28+H29</f>
        <v>26316.7283620544</v>
      </c>
      <c r="I30" s="46" t="n">
        <f aca="false">I22+I23+I24+I25+I26+I27+I28+I29</f>
        <v>30701.4580325936</v>
      </c>
      <c r="J30" s="25"/>
    </row>
    <row r="31" customFormat="false" ht="15" hidden="false" customHeight="false" outlineLevel="0" collapsed="false">
      <c r="A31" s="5" t="s">
        <v>371</v>
      </c>
      <c r="B31" s="36" t="n">
        <v>846.5</v>
      </c>
      <c r="C31" s="36" t="n">
        <v>1309.9</v>
      </c>
      <c r="D31" s="36" t="n">
        <v>1885.7</v>
      </c>
      <c r="E31" s="9" t="n">
        <f aca="false">FIN!E42</f>
        <v>1508.6</v>
      </c>
      <c r="F31" s="9" t="n">
        <f aca="false">FIN!F42</f>
        <v>1131.5</v>
      </c>
      <c r="G31" s="9" t="n">
        <f aca="false">FIN!G42</f>
        <v>0</v>
      </c>
      <c r="H31" s="9" t="n">
        <f aca="false">FIN!H42</f>
        <v>0</v>
      </c>
      <c r="I31" s="9" t="n">
        <f aca="false">FIN!I42</f>
        <v>0</v>
      </c>
      <c r="J31" s="25" t="s">
        <v>372</v>
      </c>
    </row>
    <row r="32" customFormat="false" ht="15" hidden="false" customHeight="false" outlineLevel="0" collapsed="false">
      <c r="A32" s="5" t="s">
        <v>373</v>
      </c>
      <c r="B32" s="36" t="n">
        <v>0</v>
      </c>
      <c r="C32" s="36" t="n">
        <v>0</v>
      </c>
      <c r="D32" s="36" t="n">
        <v>11.8</v>
      </c>
      <c r="E32" s="9" t="n">
        <f aca="false">FIN!E50</f>
        <v>9.4</v>
      </c>
      <c r="F32" s="9" t="n">
        <f aca="false">FIN!F50</f>
        <v>7</v>
      </c>
      <c r="G32" s="9" t="n">
        <f aca="false">FIN!G50</f>
        <v>4.6</v>
      </c>
      <c r="H32" s="9" t="n">
        <f aca="false">FIN!H50</f>
        <v>2.2</v>
      </c>
      <c r="I32" s="9" t="n">
        <f aca="false">FIN!I50</f>
        <v>0</v>
      </c>
      <c r="J32" s="25" t="s">
        <v>368</v>
      </c>
    </row>
    <row r="33" customFormat="false" ht="15" hidden="false" customHeight="false" outlineLevel="0" collapsed="false">
      <c r="A33" s="5" t="s">
        <v>374</v>
      </c>
      <c r="B33" s="36" t="n">
        <v>329</v>
      </c>
      <c r="C33" s="36" t="n">
        <v>392</v>
      </c>
      <c r="D33" s="36" t="n">
        <v>504.6</v>
      </c>
      <c r="E33" s="9" t="n">
        <f aca="false">D33</f>
        <v>504.6</v>
      </c>
      <c r="F33" s="9" t="n">
        <f aca="false">E33</f>
        <v>504.6</v>
      </c>
      <c r="G33" s="9" t="n">
        <f aca="false">F33</f>
        <v>504.6</v>
      </c>
      <c r="H33" s="9" t="n">
        <f aca="false">G33</f>
        <v>504.6</v>
      </c>
      <c r="I33" s="9" t="n">
        <f aca="false">H33</f>
        <v>504.6</v>
      </c>
      <c r="J33" s="25" t="s">
        <v>375</v>
      </c>
    </row>
    <row r="34" customFormat="false" ht="15" hidden="false" customHeight="false" outlineLevel="0" collapsed="false">
      <c r="A34" s="3" t="s">
        <v>376</v>
      </c>
      <c r="B34" s="46" t="n">
        <f aca="false">B31+B32+B33</f>
        <v>1175.5</v>
      </c>
      <c r="C34" s="46" t="n">
        <f aca="false">C31+C32+C33</f>
        <v>1701.9</v>
      </c>
      <c r="D34" s="46" t="n">
        <f aca="false">D31+D32+D33</f>
        <v>2402.1</v>
      </c>
      <c r="E34" s="46" t="n">
        <f aca="false">E31+E32+E33</f>
        <v>2022.6</v>
      </c>
      <c r="F34" s="46" t="n">
        <f aca="false">F31+F32+F33</f>
        <v>1643.1</v>
      </c>
      <c r="G34" s="46" t="n">
        <f aca="false">G31+G32+G33</f>
        <v>509.2</v>
      </c>
      <c r="H34" s="46" t="n">
        <f aca="false">H31+H32+H33</f>
        <v>506.8</v>
      </c>
      <c r="I34" s="46" t="n">
        <f aca="false">I31+I32+I33</f>
        <v>504.6</v>
      </c>
      <c r="J34" s="25"/>
    </row>
    <row r="35" customFormat="false" ht="15" hidden="false" customHeight="false" outlineLevel="0" collapsed="false">
      <c r="A35" s="3" t="s">
        <v>377</v>
      </c>
      <c r="B35" s="46" t="n">
        <f aca="false">B30+B34</f>
        <v>6198.3</v>
      </c>
      <c r="C35" s="46" t="n">
        <f aca="false">C30+C34</f>
        <v>9278.5</v>
      </c>
      <c r="D35" s="46" t="n">
        <f aca="false">D30+D34</f>
        <v>13126</v>
      </c>
      <c r="E35" s="46" t="n">
        <f aca="false">E30+E34</f>
        <v>14149.5358662907</v>
      </c>
      <c r="F35" s="46" t="n">
        <f aca="false">F30+F34</f>
        <v>17581.5122745967</v>
      </c>
      <c r="G35" s="46" t="n">
        <f aca="false">G30+G34</f>
        <v>21596.8468368853</v>
      </c>
      <c r="H35" s="46" t="n">
        <f aca="false">H30+H34</f>
        <v>26823.5283620544</v>
      </c>
      <c r="I35" s="46" t="n">
        <f aca="false">I30+I34</f>
        <v>31206.0580325936</v>
      </c>
    </row>
    <row r="36" customFormat="false" ht="15" hidden="false" customHeight="false" outlineLevel="0" collapsed="false">
      <c r="A36" s="5" t="s">
        <v>378</v>
      </c>
      <c r="B36" s="36" t="n">
        <v>1908.6</v>
      </c>
      <c r="C36" s="36" t="n">
        <v>1918.6</v>
      </c>
      <c r="D36" s="36" t="n">
        <v>1924.4</v>
      </c>
      <c r="E36" s="9" t="n">
        <f aca="false">Equity_Roll!E5</f>
        <v>1924.4</v>
      </c>
      <c r="F36" s="9" t="n">
        <f aca="false">Equity_Roll!F5</f>
        <v>1924.4</v>
      </c>
      <c r="G36" s="9" t="n">
        <f aca="false">Equity_Roll!G5</f>
        <v>1924.4</v>
      </c>
      <c r="H36" s="9" t="n">
        <f aca="false">Equity_Roll!H5</f>
        <v>1924.4</v>
      </c>
      <c r="I36" s="9" t="n">
        <f aca="false">Equity_Roll!I5</f>
        <v>1924.4</v>
      </c>
      <c r="J36" s="25" t="s">
        <v>379</v>
      </c>
    </row>
    <row r="37" customFormat="false" ht="15" hidden="false" customHeight="false" outlineLevel="0" collapsed="false">
      <c r="A37" s="5" t="s">
        <v>380</v>
      </c>
      <c r="B37" s="36" t="n">
        <v>556.8</v>
      </c>
      <c r="C37" s="36" t="n">
        <v>762.8</v>
      </c>
      <c r="D37" s="36" t="n">
        <v>1070.2</v>
      </c>
      <c r="E37" s="9" t="n">
        <f aca="false">Equity_Roll!E6</f>
        <v>1070.2</v>
      </c>
      <c r="F37" s="9" t="n">
        <f aca="false">Equity_Roll!F6</f>
        <v>1070.2</v>
      </c>
      <c r="G37" s="9" t="n">
        <f aca="false">Equity_Roll!G6</f>
        <v>1070.2</v>
      </c>
      <c r="H37" s="9" t="n">
        <f aca="false">Equity_Roll!H6</f>
        <v>1070.2</v>
      </c>
      <c r="I37" s="9" t="n">
        <f aca="false">Equity_Roll!I6</f>
        <v>1070.2</v>
      </c>
      <c r="J37" s="25" t="s">
        <v>379</v>
      </c>
    </row>
    <row r="38" customFormat="false" ht="15" hidden="false" customHeight="false" outlineLevel="0" collapsed="false">
      <c r="A38" s="5" t="s">
        <v>381</v>
      </c>
      <c r="B38" s="36" t="n">
        <v>0</v>
      </c>
      <c r="C38" s="36" t="n">
        <v>0</v>
      </c>
      <c r="D38" s="36" t="n">
        <v>0</v>
      </c>
      <c r="E38" s="9" t="n">
        <f aca="false">Equity_Roll!E7</f>
        <v>0</v>
      </c>
      <c r="F38" s="9" t="n">
        <f aca="false">Equity_Roll!F7</f>
        <v>0</v>
      </c>
      <c r="G38" s="9" t="n">
        <f aca="false">Equity_Roll!G7</f>
        <v>0</v>
      </c>
      <c r="H38" s="9" t="n">
        <f aca="false">Equity_Roll!H7</f>
        <v>0</v>
      </c>
      <c r="I38" s="9" t="n">
        <f aca="false">Equity_Roll!I7</f>
        <v>0</v>
      </c>
      <c r="J38" s="25" t="s">
        <v>379</v>
      </c>
    </row>
    <row r="39" customFormat="false" ht="15" hidden="false" customHeight="false" outlineLevel="0" collapsed="false">
      <c r="A39" s="5" t="s">
        <v>382</v>
      </c>
      <c r="B39" s="36" t="n">
        <v>100.4</v>
      </c>
      <c r="C39" s="36" t="n">
        <v>310</v>
      </c>
      <c r="D39" s="36" t="n">
        <v>408.2</v>
      </c>
      <c r="E39" s="9" t="n">
        <f aca="false">Equity_Roll!E8</f>
        <v>408.2</v>
      </c>
      <c r="F39" s="9" t="n">
        <f aca="false">Equity_Roll!F8</f>
        <v>408.2</v>
      </c>
      <c r="G39" s="9" t="n">
        <f aca="false">Equity_Roll!G8</f>
        <v>408.2</v>
      </c>
      <c r="H39" s="9" t="n">
        <f aca="false">Equity_Roll!H8</f>
        <v>408.2</v>
      </c>
      <c r="I39" s="9" t="n">
        <f aca="false">Equity_Roll!I8</f>
        <v>408.2</v>
      </c>
      <c r="J39" s="25" t="s">
        <v>379</v>
      </c>
    </row>
    <row r="40" customFormat="false" ht="15" hidden="false" customHeight="false" outlineLevel="0" collapsed="false">
      <c r="A40" s="5" t="s">
        <v>383</v>
      </c>
      <c r="B40" s="36" t="n">
        <v>908.8</v>
      </c>
      <c r="C40" s="36" t="n">
        <v>1164.8</v>
      </c>
      <c r="D40" s="36" t="n">
        <v>1164.8</v>
      </c>
      <c r="E40" s="9" t="n">
        <f aca="false">Equity_Roll!E10</f>
        <v>1694.04754085306</v>
      </c>
      <c r="F40" s="9" t="n">
        <f aca="false">Equity_Roll!F10</f>
        <v>2504.72143405167</v>
      </c>
      <c r="G40" s="9" t="n">
        <f aca="false">Equity_Roll!G10</f>
        <v>3695.86274899692</v>
      </c>
      <c r="H40" s="9" t="n">
        <f aca="false">Equity_Roll!H10</f>
        <v>5178.27767579157</v>
      </c>
      <c r="I40" s="9" t="n">
        <f aca="false">Equity_Roll!I10</f>
        <v>6883.87545718627</v>
      </c>
      <c r="J40" s="25" t="s">
        <v>384</v>
      </c>
    </row>
    <row r="41" customFormat="false" ht="15" hidden="false" customHeight="false" outlineLevel="0" collapsed="false">
      <c r="A41" s="5" t="s">
        <v>385</v>
      </c>
      <c r="B41" s="36" t="n">
        <v>6310.1</v>
      </c>
      <c r="C41" s="36" t="n">
        <v>7684.5</v>
      </c>
      <c r="D41" s="36" t="n">
        <v>10545.1</v>
      </c>
      <c r="E41" s="9" t="n">
        <f aca="false">Equity_Roll!E12</f>
        <v>14161.6378676775</v>
      </c>
      <c r="F41" s="9" t="n">
        <f aca="false">Equity_Roll!F12</f>
        <v>19869.9602839058</v>
      </c>
      <c r="G41" s="9" t="n">
        <f aca="false">Equity_Roll!G12</f>
        <v>28158.2104388173</v>
      </c>
      <c r="H41" s="9" t="n">
        <f aca="false">Equity_Roll!H12</f>
        <v>37926.5208351334</v>
      </c>
      <c r="I41" s="9" t="n">
        <f aca="false">Equity_Roll!I12</f>
        <v>48829.6560873017</v>
      </c>
      <c r="J41" s="25" t="s">
        <v>386</v>
      </c>
    </row>
    <row r="42" customFormat="false" ht="15" hidden="false" customHeight="false" outlineLevel="0" collapsed="false">
      <c r="A42" s="5" t="s">
        <v>387</v>
      </c>
      <c r="B42" s="36" t="n">
        <v>0.1</v>
      </c>
      <c r="C42" s="36" t="n">
        <v>0.2</v>
      </c>
      <c r="D42" s="36" t="n">
        <v>0.2</v>
      </c>
      <c r="E42" s="9" t="n">
        <f aca="false">D42</f>
        <v>0.2</v>
      </c>
      <c r="F42" s="9" t="n">
        <f aca="false">E42</f>
        <v>0.2</v>
      </c>
      <c r="G42" s="9" t="n">
        <f aca="false">F42</f>
        <v>0.2</v>
      </c>
      <c r="H42" s="9" t="n">
        <f aca="false">G42</f>
        <v>0.2</v>
      </c>
      <c r="I42" s="9" t="n">
        <f aca="false">H42</f>
        <v>0.2</v>
      </c>
      <c r="J42" s="25" t="s">
        <v>388</v>
      </c>
    </row>
    <row r="43" customFormat="false" ht="15" hidden="false" customHeight="false" outlineLevel="0" collapsed="false">
      <c r="A43" s="3" t="s">
        <v>389</v>
      </c>
      <c r="B43" s="46" t="n">
        <f aca="false">B36+B37-B38+B39+B40+B41+B42</f>
        <v>9784.8</v>
      </c>
      <c r="C43" s="46" t="n">
        <f aca="false">C36+C37-C38+C39+C40+C41+C42</f>
        <v>11840.9</v>
      </c>
      <c r="D43" s="46" t="n">
        <f aca="false">D36+D37-D38+D39+D40+D41+D42</f>
        <v>15112.9</v>
      </c>
      <c r="E43" s="46" t="n">
        <f aca="false">E36+E37-E38+E39+E40+E41+E42</f>
        <v>19258.6854085306</v>
      </c>
      <c r="F43" s="46" t="n">
        <f aca="false">F36+F37-F38+F39+F40+F41+F42</f>
        <v>25777.6817179575</v>
      </c>
      <c r="G43" s="46" t="n">
        <f aca="false">G36+G37-G38+G39+G40+G41+G42</f>
        <v>35257.0731878142</v>
      </c>
      <c r="H43" s="46" t="n">
        <f aca="false">H36+H37-H38+H39+H40+H41+H42</f>
        <v>46507.798510925</v>
      </c>
      <c r="I43" s="46" t="n">
        <f aca="false">I36+I37-I38+I39+I40+I41+I42</f>
        <v>59116.531544488</v>
      </c>
    </row>
    <row r="44" customFormat="false" ht="15" hidden="false" customHeight="false" outlineLevel="0" collapsed="false">
      <c r="A44" s="5" t="s">
        <v>390</v>
      </c>
      <c r="B44" s="36" t="n">
        <v>52.5</v>
      </c>
      <c r="C44" s="36" t="n">
        <v>60.6</v>
      </c>
      <c r="D44" s="36" t="n">
        <v>15.4</v>
      </c>
      <c r="E44" s="9" t="n">
        <f aca="false">D44</f>
        <v>15.4</v>
      </c>
      <c r="F44" s="9" t="n">
        <f aca="false">E44</f>
        <v>15.4</v>
      </c>
      <c r="G44" s="9" t="n">
        <f aca="false">F44</f>
        <v>15.4</v>
      </c>
      <c r="H44" s="9" t="n">
        <f aca="false">G44</f>
        <v>15.4</v>
      </c>
      <c r="I44" s="9" t="n">
        <f aca="false">H44</f>
        <v>15.4</v>
      </c>
      <c r="J44" s="25" t="s">
        <v>336</v>
      </c>
    </row>
    <row r="45" customFormat="false" ht="15" hidden="false" customHeight="false" outlineLevel="0" collapsed="false">
      <c r="A45" s="3" t="s">
        <v>391</v>
      </c>
      <c r="B45" s="47" t="n">
        <f aca="false">B43+B44</f>
        <v>9837.3</v>
      </c>
      <c r="C45" s="47" t="n">
        <f aca="false">C43+C44</f>
        <v>11901.5</v>
      </c>
      <c r="D45" s="47" t="n">
        <f aca="false">D43+D44</f>
        <v>15128.3</v>
      </c>
      <c r="E45" s="47" t="n">
        <f aca="false">E43+E44</f>
        <v>19274.0854085306</v>
      </c>
      <c r="F45" s="47" t="n">
        <f aca="false">F43+F44</f>
        <v>25793.0817179575</v>
      </c>
      <c r="G45" s="47" t="n">
        <f aca="false">G43+G44</f>
        <v>35272.4731878142</v>
      </c>
      <c r="H45" s="47" t="n">
        <f aca="false">H43+H44</f>
        <v>46523.198510925</v>
      </c>
      <c r="I45" s="47" t="n">
        <f aca="false">I43+I44</f>
        <v>59131.931544488</v>
      </c>
    </row>
    <row r="46" customFormat="false" ht="15" hidden="false" customHeight="false" outlineLevel="0" collapsed="false">
      <c r="A46" s="3" t="s">
        <v>392</v>
      </c>
      <c r="B46" s="46" t="n">
        <f aca="false">B35+B45</f>
        <v>16035.6</v>
      </c>
      <c r="C46" s="46" t="n">
        <f aca="false">C35+C45</f>
        <v>21180</v>
      </c>
      <c r="D46" s="46" t="n">
        <f aca="false">D35+D45</f>
        <v>28254.3</v>
      </c>
      <c r="E46" s="46" t="n">
        <f aca="false">E35+E45</f>
        <v>33423.6212748212</v>
      </c>
      <c r="F46" s="46" t="n">
        <f aca="false">F35+F45</f>
        <v>43374.5939925542</v>
      </c>
      <c r="G46" s="46" t="n">
        <f aca="false">G35+G45</f>
        <v>56869.3200246995</v>
      </c>
      <c r="H46" s="46" t="n">
        <f aca="false">H35+H45</f>
        <v>73346.7268729794</v>
      </c>
      <c r="I46" s="46" t="n">
        <f aca="false">I35+I45</f>
        <v>90337.9895770816</v>
      </c>
    </row>
    <row r="47" customFormat="false" ht="15" hidden="false" customHeight="false" outlineLevel="0" collapsed="false">
      <c r="A47" s="43" t="s">
        <v>393</v>
      </c>
      <c r="B47" s="49" t="n">
        <f aca="false">B21-B46</f>
        <v>0</v>
      </c>
      <c r="C47" s="49" t="n">
        <f aca="false">C21-C46</f>
        <v>0</v>
      </c>
      <c r="D47" s="49" t="n">
        <f aca="false">D21-D46</f>
        <v>0</v>
      </c>
      <c r="E47" s="49" t="n">
        <f aca="false">E21-E46</f>
        <v>0</v>
      </c>
      <c r="F47" s="49" t="n">
        <f aca="false">F21-F46</f>
        <v>0</v>
      </c>
      <c r="G47" s="49" t="n">
        <f aca="false">G21-G46</f>
        <v>0</v>
      </c>
      <c r="H47" s="49" t="n">
        <f aca="false">H21-H46</f>
        <v>0</v>
      </c>
      <c r="I47" s="49" t="n">
        <f aca="false">I21-I46</f>
        <v>0</v>
      </c>
      <c r="J47" s="25" t="s">
        <v>394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395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396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5" t="s">
        <v>315</v>
      </c>
      <c r="B4" s="36" t="n">
        <v>1512.5</v>
      </c>
      <c r="C4" s="36" t="n">
        <v>2587.2</v>
      </c>
      <c r="D4" s="36" t="n">
        <v>3822.3</v>
      </c>
      <c r="E4" s="9" t="n">
        <f aca="false">IS!E20</f>
        <v>5292.47540853058</v>
      </c>
      <c r="F4" s="9" t="n">
        <f aca="false">IS!F20</f>
        <v>8106.73893198611</v>
      </c>
      <c r="G4" s="9" t="n">
        <f aca="false">IS!G20</f>
        <v>11911.4131494525</v>
      </c>
      <c r="H4" s="9" t="n">
        <f aca="false">IS!H20</f>
        <v>14824.1492679465</v>
      </c>
      <c r="I4" s="9" t="n">
        <f aca="false">IS!I20</f>
        <v>17055.977813947</v>
      </c>
      <c r="J4" s="25" t="s">
        <v>397</v>
      </c>
    </row>
    <row r="5" customFormat="false" ht="15" hidden="false" customHeight="false" outlineLevel="0" collapsed="false">
      <c r="A5" s="5" t="s">
        <v>398</v>
      </c>
      <c r="B5" s="36" t="n">
        <v>415.8</v>
      </c>
      <c r="C5" s="36" t="n">
        <v>490.2</v>
      </c>
      <c r="D5" s="36" t="n">
        <v>601.1</v>
      </c>
      <c r="E5" s="9" t="n">
        <f aca="false">PPE!E19</f>
        <v>922.748430446368</v>
      </c>
      <c r="F5" s="9" t="n">
        <f aca="false">PPE!F19</f>
        <v>1434.66785342014</v>
      </c>
      <c r="G5" s="9" t="n">
        <f aca="false">PPE!G19</f>
        <v>1923.44545203978</v>
      </c>
      <c r="H5" s="9" t="n">
        <f aca="false">PPE!H19</f>
        <v>2427.05995497494</v>
      </c>
      <c r="I5" s="9" t="n">
        <f aca="false">PPE!I19</f>
        <v>2908.33675064901</v>
      </c>
      <c r="J5" s="25" t="s">
        <v>399</v>
      </c>
    </row>
    <row r="6" customFormat="false" ht="15" hidden="false" customHeight="false" outlineLevel="0" collapsed="false">
      <c r="A6" s="5" t="s">
        <v>400</v>
      </c>
      <c r="B6" s="34" t="s">
        <v>262</v>
      </c>
      <c r="C6" s="34" t="s">
        <v>262</v>
      </c>
      <c r="D6" s="34" t="s">
        <v>262</v>
      </c>
      <c r="E6" s="9" t="n">
        <f aca="false">FIN!E64</f>
        <v>124.204254148073</v>
      </c>
      <c r="F6" s="9" t="n">
        <f aca="false">FIN!F64</f>
        <v>81.8950644252685</v>
      </c>
      <c r="G6" s="9" t="n">
        <f aca="false">FIN!G64</f>
        <v>37.3971602881023</v>
      </c>
      <c r="H6" s="9" t="n">
        <f aca="false">FIN!H64</f>
        <v>5.2564</v>
      </c>
      <c r="I6" s="9" t="n">
        <f aca="false">FIN!I64</f>
        <v>1.7529</v>
      </c>
      <c r="J6" s="25" t="s">
        <v>401</v>
      </c>
    </row>
    <row r="7" customFormat="false" ht="15" hidden="false" customHeight="false" outlineLevel="0" collapsed="false">
      <c r="A7" s="5" t="s">
        <v>402</v>
      </c>
      <c r="B7" s="34" t="s">
        <v>262</v>
      </c>
      <c r="C7" s="34" t="s">
        <v>262</v>
      </c>
      <c r="D7" s="34" t="s">
        <v>262</v>
      </c>
      <c r="E7" s="9" t="n">
        <f aca="false">-Schedules!E18</f>
        <v>-965.145428999417</v>
      </c>
      <c r="F7" s="9" t="n">
        <f aca="false">-Schedules!F18</f>
        <v>-1559.83653717014</v>
      </c>
      <c r="G7" s="9" t="n">
        <f aca="false">-Schedules!G18</f>
        <v>-2105.67331606021</v>
      </c>
      <c r="H7" s="9" t="n">
        <f aca="false">-Schedules!H18</f>
        <v>-1755.05903068705</v>
      </c>
      <c r="I7" s="9" t="n">
        <f aca="false">-Schedules!I18</f>
        <v>-1413.05607955134</v>
      </c>
      <c r="J7" s="25" t="s">
        <v>403</v>
      </c>
    </row>
    <row r="8" customFormat="false" ht="15" hidden="false" customHeight="false" outlineLevel="0" collapsed="false">
      <c r="A8" s="3" t="s">
        <v>404</v>
      </c>
      <c r="B8" s="48" t="n">
        <v>2243.3</v>
      </c>
      <c r="C8" s="48" t="n">
        <v>2325.2</v>
      </c>
      <c r="D8" s="48" t="n">
        <v>3872</v>
      </c>
      <c r="E8" s="47" t="n">
        <f aca="false">E4+E5+E6+E7</f>
        <v>5374.2826641256</v>
      </c>
      <c r="F8" s="47" t="n">
        <f aca="false">F4+F5+F6+F7</f>
        <v>8063.46531266137</v>
      </c>
      <c r="G8" s="47" t="n">
        <f aca="false">G4+G5+G6+G7</f>
        <v>11766.5824457202</v>
      </c>
      <c r="H8" s="47" t="n">
        <f aca="false">H4+H5+H6+H7</f>
        <v>15501.4065922344</v>
      </c>
      <c r="I8" s="47" t="n">
        <f aca="false">I4+I5+I6+I7</f>
        <v>18553.0113850447</v>
      </c>
      <c r="J8" s="25" t="s">
        <v>405</v>
      </c>
    </row>
    <row r="9" customFormat="false" ht="15" hidden="false" customHeight="false" outlineLevel="0" collapsed="false">
      <c r="A9" s="5" t="s">
        <v>406</v>
      </c>
      <c r="B9" s="36" t="n">
        <v>-810.5</v>
      </c>
      <c r="C9" s="36" t="n">
        <v>-2147.8</v>
      </c>
      <c r="D9" s="36" t="n">
        <v>-3198.5</v>
      </c>
      <c r="E9" s="9" t="n">
        <f aca="false">-PPE!E14</f>
        <v>-4436.5476815456</v>
      </c>
      <c r="F9" s="9" t="n">
        <f aca="false">-PPE!F14</f>
        <v>-5424.5328707668</v>
      </c>
      <c r="G9" s="9" t="n">
        <f aca="false">-PPE!G14</f>
        <v>-6305.80639080246</v>
      </c>
      <c r="H9" s="9" t="n">
        <f aca="false">-PPE!H14</f>
        <v>-6788.09342412942</v>
      </c>
      <c r="I9" s="9" t="n">
        <f aca="false">-PPE!I14</f>
        <v>-6605.84149994415</v>
      </c>
      <c r="J9" s="25" t="s">
        <v>407</v>
      </c>
    </row>
    <row r="10" customFormat="false" ht="15" hidden="false" customHeight="false" outlineLevel="0" collapsed="false">
      <c r="A10" s="5" t="s">
        <v>408</v>
      </c>
      <c r="B10" s="34" t="s">
        <v>262</v>
      </c>
      <c r="C10" s="34" t="s">
        <v>262</v>
      </c>
      <c r="D10" s="34" t="s">
        <v>262</v>
      </c>
      <c r="E10" s="9" t="n">
        <f aca="false">PPE!E9</f>
        <v>57.063</v>
      </c>
      <c r="F10" s="9" t="n">
        <f aca="false">PPE!F9</f>
        <v>99.2999533071283</v>
      </c>
      <c r="G10" s="9" t="n">
        <f aca="false">PPE!G9</f>
        <v>137.861381873505</v>
      </c>
      <c r="H10" s="9" t="n">
        <f aca="false">PPE!H9</f>
        <v>178.208813867803</v>
      </c>
      <c r="I10" s="9" t="n">
        <f aca="false">PPE!I9</f>
        <v>218.483293628183</v>
      </c>
      <c r="J10" s="25" t="s">
        <v>409</v>
      </c>
    </row>
    <row r="11" customFormat="false" ht="15" hidden="false" customHeight="false" outlineLevel="0" collapsed="false">
      <c r="A11" s="5" t="s">
        <v>410</v>
      </c>
      <c r="B11" s="34" t="s">
        <v>262</v>
      </c>
      <c r="C11" s="34" t="s">
        <v>262</v>
      </c>
      <c r="D11" s="34" t="s">
        <v>262</v>
      </c>
      <c r="E11" s="9" t="n">
        <f aca="false">-FIN!E62</f>
        <v>-0</v>
      </c>
      <c r="F11" s="9" t="n">
        <f aca="false">-FIN!F62</f>
        <v>-0</v>
      </c>
      <c r="G11" s="9" t="n">
        <f aca="false">-FIN!G62</f>
        <v>-1071.04471700783</v>
      </c>
      <c r="H11" s="9" t="n">
        <f aca="false">-FIN!H62</f>
        <v>-4937.21781861572</v>
      </c>
      <c r="I11" s="9" t="n">
        <f aca="false">-FIN!I62</f>
        <v>-7389.28634906777</v>
      </c>
      <c r="J11" s="25" t="s">
        <v>411</v>
      </c>
    </row>
    <row r="12" customFormat="false" ht="15" hidden="false" customHeight="false" outlineLevel="0" collapsed="false">
      <c r="A12" s="3" t="s">
        <v>412</v>
      </c>
      <c r="B12" s="48" t="n">
        <v>-1870</v>
      </c>
      <c r="C12" s="48" t="n">
        <v>-3034.9</v>
      </c>
      <c r="D12" s="48" t="n">
        <v>-2655.1</v>
      </c>
      <c r="E12" s="47" t="n">
        <f aca="false">E9+E10+E11</f>
        <v>-4379.4846815456</v>
      </c>
      <c r="F12" s="47" t="n">
        <f aca="false">F9+F10+F11</f>
        <v>-5325.23291745967</v>
      </c>
      <c r="G12" s="47" t="n">
        <f aca="false">G9+G10+G11</f>
        <v>-7238.98972593679</v>
      </c>
      <c r="H12" s="47" t="n">
        <f aca="false">H9+H10+H11</f>
        <v>-11547.1024288773</v>
      </c>
      <c r="I12" s="47" t="n">
        <f aca="false">I9+I10+I11</f>
        <v>-13776.6445553837</v>
      </c>
      <c r="J12" s="25" t="s">
        <v>413</v>
      </c>
    </row>
    <row r="13" customFormat="false" ht="15" hidden="false" customHeight="false" outlineLevel="0" collapsed="false">
      <c r="A13" s="5" t="s">
        <v>414</v>
      </c>
      <c r="B13" s="34" t="s">
        <v>262</v>
      </c>
      <c r="C13" s="34" t="s">
        <v>262</v>
      </c>
      <c r="D13" s="34" t="s">
        <v>262</v>
      </c>
      <c r="E13" s="9" t="n">
        <f aca="false">FIN!E57</f>
        <v>-1777.34642019193</v>
      </c>
      <c r="F13" s="9" t="n">
        <f aca="false">FIN!F57</f>
        <v>-838.219560601257</v>
      </c>
      <c r="G13" s="9" t="n">
        <f aca="false">FIN!G57</f>
        <v>-1747.23401920682</v>
      </c>
      <c r="H13" s="9" t="n">
        <f aca="false">FIN!H57</f>
        <v>-102.4</v>
      </c>
      <c r="I13" s="9" t="n">
        <f aca="false">FIN!I57</f>
        <v>-102.2</v>
      </c>
      <c r="J13" s="25" t="s">
        <v>415</v>
      </c>
    </row>
    <row r="14" customFormat="false" ht="15" hidden="false" customHeight="false" outlineLevel="0" collapsed="false">
      <c r="A14" s="5" t="s">
        <v>416</v>
      </c>
      <c r="B14" s="34" t="s">
        <v>262</v>
      </c>
      <c r="C14" s="34" t="s">
        <v>262</v>
      </c>
      <c r="D14" s="34" t="s">
        <v>262</v>
      </c>
      <c r="E14" s="9" t="n">
        <f aca="false">-FIN!E64</f>
        <v>-124.204254148073</v>
      </c>
      <c r="F14" s="9" t="n">
        <f aca="false">-FIN!F64</f>
        <v>-81.8950644252685</v>
      </c>
      <c r="G14" s="9" t="n">
        <f aca="false">-FIN!G64</f>
        <v>-37.3971602881023</v>
      </c>
      <c r="H14" s="9" t="n">
        <f aca="false">-FIN!H64</f>
        <v>-5.2564</v>
      </c>
      <c r="I14" s="9" t="n">
        <f aca="false">-FIN!I64</f>
        <v>-1.7529</v>
      </c>
      <c r="J14" s="25" t="s">
        <v>417</v>
      </c>
    </row>
    <row r="15" customFormat="false" ht="15" hidden="false" customHeight="false" outlineLevel="0" collapsed="false">
      <c r="A15" s="5" t="s">
        <v>418</v>
      </c>
      <c r="B15" s="34" t="s">
        <v>262</v>
      </c>
      <c r="C15" s="34" t="s">
        <v>262</v>
      </c>
      <c r="D15" s="34" t="s">
        <v>262</v>
      </c>
      <c r="E15" s="9" t="n">
        <f aca="false">-Schedules!E26</f>
        <v>-1146.69</v>
      </c>
      <c r="F15" s="9" t="n">
        <f aca="false">-Schedules!F26</f>
        <v>-1587.74262255917</v>
      </c>
      <c r="G15" s="9" t="n">
        <f aca="false">-Schedules!G26</f>
        <v>-2432.02167959583</v>
      </c>
      <c r="H15" s="9" t="n">
        <f aca="false">-Schedules!H26</f>
        <v>-3573.42394483575</v>
      </c>
      <c r="I15" s="9" t="n">
        <f aca="false">-Schedules!I26</f>
        <v>-4447.24478038396</v>
      </c>
      <c r="J15" s="25" t="s">
        <v>419</v>
      </c>
    </row>
    <row r="16" customFormat="false" ht="15" hidden="false" customHeight="false" outlineLevel="0" collapsed="false">
      <c r="A16" s="3" t="s">
        <v>420</v>
      </c>
      <c r="B16" s="48" t="n">
        <v>428.3</v>
      </c>
      <c r="C16" s="48" t="n">
        <v>71.4</v>
      </c>
      <c r="D16" s="48" t="n">
        <v>-209.7</v>
      </c>
      <c r="E16" s="47" t="n">
        <f aca="false">E13+E14+E15</f>
        <v>-3048.24067434</v>
      </c>
      <c r="F16" s="47" t="n">
        <f aca="false">F13+F14+F15</f>
        <v>-2507.8572475857</v>
      </c>
      <c r="G16" s="47" t="n">
        <f aca="false">G13+G14+G15</f>
        <v>-4216.65285909075</v>
      </c>
      <c r="H16" s="47" t="n">
        <f aca="false">H13+H14+H15</f>
        <v>-3681.08034483575</v>
      </c>
      <c r="I16" s="47" t="n">
        <f aca="false">I13+I14+I15</f>
        <v>-4551.19768038396</v>
      </c>
      <c r="J16" s="25" t="s">
        <v>421</v>
      </c>
    </row>
    <row r="17" customFormat="false" ht="15" hidden="false" customHeight="false" outlineLevel="0" collapsed="false">
      <c r="A17" s="3" t="s">
        <v>422</v>
      </c>
      <c r="B17" s="34" t="s">
        <v>262</v>
      </c>
      <c r="C17" s="34" t="s">
        <v>262</v>
      </c>
      <c r="D17" s="34" t="s">
        <v>262</v>
      </c>
      <c r="E17" s="47" t="n">
        <f aca="false">E8+E12+E16</f>
        <v>-2053.44269176</v>
      </c>
      <c r="F17" s="47" t="n">
        <f aca="false">F8+F12+F16</f>
        <v>230.375147615999</v>
      </c>
      <c r="G17" s="47" t="n">
        <f aca="false">G8+G12+G16</f>
        <v>310.93986069264</v>
      </c>
      <c r="H17" s="47" t="n">
        <f aca="false">H8+H12+H16</f>
        <v>273.223818521334</v>
      </c>
      <c r="I17" s="47" t="n">
        <f aca="false">I8+I12+I16</f>
        <v>225.16914927698</v>
      </c>
      <c r="J17" s="25"/>
    </row>
    <row r="18" customFormat="false" ht="15" hidden="false" customHeight="false" outlineLevel="0" collapsed="false">
      <c r="A18" s="5" t="s">
        <v>423</v>
      </c>
      <c r="B18" s="34" t="s">
        <v>262</v>
      </c>
      <c r="C18" s="34" t="s">
        <v>262</v>
      </c>
      <c r="D18" s="34" t="s">
        <v>262</v>
      </c>
      <c r="E18" s="9" t="n">
        <f aca="false">BS!D4</f>
        <v>2579.1</v>
      </c>
      <c r="F18" s="9" t="n">
        <f aca="false">E19</f>
        <v>525.65730824</v>
      </c>
      <c r="G18" s="9" t="n">
        <f aca="false">F19</f>
        <v>756.032455855999</v>
      </c>
      <c r="H18" s="9" t="n">
        <f aca="false">G19</f>
        <v>1066.97231654864</v>
      </c>
      <c r="I18" s="9" t="n">
        <f aca="false">H19</f>
        <v>1340.19613506997</v>
      </c>
      <c r="J18" s="27" t="s">
        <v>424</v>
      </c>
    </row>
    <row r="19" customFormat="false" ht="15" hidden="false" customHeight="false" outlineLevel="0" collapsed="false">
      <c r="A19" s="3" t="s">
        <v>425</v>
      </c>
      <c r="B19" s="48" t="n">
        <v>2097.9</v>
      </c>
      <c r="C19" s="48" t="n">
        <v>1542.7</v>
      </c>
      <c r="D19" s="48" t="n">
        <v>2579.1</v>
      </c>
      <c r="E19" s="47" t="n">
        <f aca="false">E18+E17</f>
        <v>525.65730824</v>
      </c>
      <c r="F19" s="47" t="n">
        <f aca="false">F18+F17</f>
        <v>756.032455855999</v>
      </c>
      <c r="G19" s="47" t="n">
        <f aca="false">G18+G17</f>
        <v>1066.97231654864</v>
      </c>
      <c r="H19" s="47" t="n">
        <f aca="false">H18+H17</f>
        <v>1340.19613506997</v>
      </c>
      <c r="I19" s="47" t="n">
        <f aca="false">I18+I17</f>
        <v>1565.36528434695</v>
      </c>
      <c r="J19" s="25" t="s">
        <v>426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427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428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.75" hidden="false" customHeight="true" outlineLevel="0" collapsed="false">
      <c r="A5" s="26" t="s">
        <v>429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331</v>
      </c>
      <c r="B6" s="9" t="n">
        <f aca="false">BS!B6</f>
        <v>2693.4</v>
      </c>
      <c r="C6" s="9" t="n">
        <f aca="false">BS!C6</f>
        <v>4043.7</v>
      </c>
      <c r="D6" s="9" t="n">
        <f aca="false">BS!D6</f>
        <v>5507.2</v>
      </c>
      <c r="E6" s="9" t="n">
        <f aca="false">BS!E6</f>
        <v>7632.83214704657</v>
      </c>
      <c r="F6" s="9" t="n">
        <f aca="false">BS!F6</f>
        <v>10978.0055233885</v>
      </c>
      <c r="G6" s="9" t="n">
        <f aca="false">BS!G6</f>
        <v>15493.0226786515</v>
      </c>
      <c r="H6" s="9" t="n">
        <f aca="false">BS!H6</f>
        <v>19460.3822352626</v>
      </c>
      <c r="I6" s="9" t="n">
        <f aca="false">BS!I6</f>
        <v>22729.9616631202</v>
      </c>
      <c r="J6" s="25" t="s">
        <v>430</v>
      </c>
    </row>
    <row r="7" customFormat="false" ht="15" hidden="false" customHeight="false" outlineLevel="0" collapsed="false">
      <c r="A7" s="5" t="s">
        <v>333</v>
      </c>
      <c r="B7" s="9" t="n">
        <f aca="false">BS!B7</f>
        <v>16.4</v>
      </c>
      <c r="C7" s="9" t="n">
        <f aca="false">BS!C7</f>
        <v>41.1</v>
      </c>
      <c r="D7" s="9" t="n">
        <f aca="false">BS!D7</f>
        <v>98.7</v>
      </c>
      <c r="E7" s="9" t="n">
        <f aca="false">BS!E7</f>
        <v>136.6709001424</v>
      </c>
      <c r="F7" s="9" t="n">
        <f aca="false">BS!F7</f>
        <v>196.56843852256</v>
      </c>
      <c r="G7" s="9" t="n">
        <f aca="false">BS!G7</f>
        <v>277.412802302646</v>
      </c>
      <c r="H7" s="9" t="n">
        <f aca="false">BS!H7</f>
        <v>348.450995118193</v>
      </c>
      <c r="I7" s="9" t="n">
        <f aca="false">BS!I7</f>
        <v>406.994973930208</v>
      </c>
      <c r="J7" s="25" t="s">
        <v>431</v>
      </c>
    </row>
    <row r="8" customFormat="false" ht="15" hidden="false" customHeight="false" outlineLevel="0" collapsed="false">
      <c r="A8" s="5" t="s">
        <v>335</v>
      </c>
      <c r="B8" s="9" t="n">
        <f aca="false">BS!B8</f>
        <v>23.3</v>
      </c>
      <c r="C8" s="9" t="n">
        <f aca="false">BS!C8</f>
        <v>450.8</v>
      </c>
      <c r="D8" s="9" t="n">
        <f aca="false">BS!D8</f>
        <v>471.6</v>
      </c>
      <c r="E8" s="9" t="n">
        <f aca="false">BS!E8</f>
        <v>471.6</v>
      </c>
      <c r="F8" s="9" t="n">
        <f aca="false">BS!F8</f>
        <v>471.6</v>
      </c>
      <c r="G8" s="9" t="n">
        <f aca="false">BS!G8</f>
        <v>471.6</v>
      </c>
      <c r="H8" s="9" t="n">
        <f aca="false">BS!H8</f>
        <v>471.6</v>
      </c>
      <c r="I8" s="9" t="n">
        <f aca="false">BS!I8</f>
        <v>471.6</v>
      </c>
      <c r="J8" s="25" t="s">
        <v>432</v>
      </c>
    </row>
    <row r="9" customFormat="false" ht="15" hidden="false" customHeight="false" outlineLevel="0" collapsed="false">
      <c r="A9" s="5" t="s">
        <v>337</v>
      </c>
      <c r="B9" s="9" t="n">
        <f aca="false">BS!B9</f>
        <v>1749.2</v>
      </c>
      <c r="C9" s="9" t="n">
        <f aca="false">BS!C9</f>
        <v>2436.1</v>
      </c>
      <c r="D9" s="9" t="n">
        <f aca="false">BS!D9</f>
        <v>4245.9</v>
      </c>
      <c r="E9" s="9" t="n">
        <f aca="false">BS!E9</f>
        <v>5848.32466829302</v>
      </c>
      <c r="F9" s="9" t="n">
        <f aca="false">BS!F9</f>
        <v>8273.28625964834</v>
      </c>
      <c r="G9" s="9" t="n">
        <f aca="false">BS!G9</f>
        <v>11545.666638161</v>
      </c>
      <c r="H9" s="9" t="n">
        <f aca="false">BS!H9</f>
        <v>14591.4094445904</v>
      </c>
      <c r="I9" s="9" t="n">
        <f aca="false">BS!I9</f>
        <v>17161.0717880114</v>
      </c>
      <c r="J9" s="25" t="s">
        <v>433</v>
      </c>
    </row>
    <row r="10" customFormat="false" ht="15" hidden="false" customHeight="false" outlineLevel="0" collapsed="false">
      <c r="A10" s="3" t="s">
        <v>434</v>
      </c>
      <c r="B10" s="9" t="n">
        <f aca="false">SUM(B6:B9)</f>
        <v>4482.3</v>
      </c>
      <c r="C10" s="9" t="n">
        <f aca="false">SUM(C6:C9)</f>
        <v>6971.7</v>
      </c>
      <c r="D10" s="9" t="n">
        <f aca="false">SUM(D6:D9)</f>
        <v>10323.4</v>
      </c>
      <c r="E10" s="9" t="n">
        <f aca="false">SUM(E6:E9)</f>
        <v>14089.427715482</v>
      </c>
      <c r="F10" s="9" t="n">
        <f aca="false">SUM(F6:F9)</f>
        <v>19919.4602215594</v>
      </c>
      <c r="G10" s="9" t="n">
        <f aca="false">SUM(G6:G9)</f>
        <v>27787.7021191151</v>
      </c>
      <c r="H10" s="9" t="n">
        <f aca="false">SUM(H6:H9)</f>
        <v>34871.8426749712</v>
      </c>
      <c r="I10" s="9" t="n">
        <f aca="false">SUM(I6:I9)</f>
        <v>40769.6284250618</v>
      </c>
      <c r="J10" s="25"/>
    </row>
    <row r="11" customFormat="false" ht="15" hidden="false" customHeight="false" outlineLevel="0" collapsed="false">
      <c r="A11" s="5" t="s">
        <v>359</v>
      </c>
      <c r="B11" s="9" t="n">
        <f aca="false">BS!B23</f>
        <v>2623.7</v>
      </c>
      <c r="C11" s="9" t="n">
        <f aca="false">BS!C23</f>
        <v>4236.9</v>
      </c>
      <c r="D11" s="9" t="n">
        <f aca="false">BS!D23</f>
        <v>6629.6</v>
      </c>
      <c r="E11" s="9" t="n">
        <f aca="false">BS!E23</f>
        <v>9117.86050647257</v>
      </c>
      <c r="F11" s="9" t="n">
        <f aca="false">BS!F23</f>
        <v>12898.5092866958</v>
      </c>
      <c r="G11" s="9" t="n">
        <f aca="false">BS!G23</f>
        <v>18000.3306642195</v>
      </c>
      <c r="H11" s="9" t="n">
        <f aca="false">BS!H23</f>
        <v>22748.8115750307</v>
      </c>
      <c r="I11" s="9" t="n">
        <f aca="false">BS!I23</f>
        <v>26755.0568033563</v>
      </c>
      <c r="J11" s="25" t="s">
        <v>435</v>
      </c>
    </row>
    <row r="12" customFormat="false" ht="15" hidden="false" customHeight="false" outlineLevel="0" collapsed="false">
      <c r="A12" s="5" t="s">
        <v>361</v>
      </c>
      <c r="B12" s="9" t="n">
        <f aca="false">BS!B24</f>
        <v>22.6</v>
      </c>
      <c r="C12" s="9" t="n">
        <f aca="false">BS!C24</f>
        <v>28.9</v>
      </c>
      <c r="D12" s="9" t="n">
        <f aca="false">BS!D24</f>
        <v>65.8</v>
      </c>
      <c r="E12" s="9" t="n">
        <f aca="false">BS!E24</f>
        <v>65.8</v>
      </c>
      <c r="F12" s="9" t="n">
        <f aca="false">BS!F24</f>
        <v>65.8</v>
      </c>
      <c r="G12" s="9" t="n">
        <f aca="false">BS!G24</f>
        <v>65.8</v>
      </c>
      <c r="H12" s="9" t="n">
        <f aca="false">BS!H24</f>
        <v>65.8</v>
      </c>
      <c r="I12" s="9" t="n">
        <f aca="false">BS!I24</f>
        <v>65.8</v>
      </c>
      <c r="J12" s="25" t="s">
        <v>436</v>
      </c>
    </row>
    <row r="13" customFormat="false" ht="15" hidden="false" customHeight="false" outlineLevel="0" collapsed="false">
      <c r="A13" s="5" t="s">
        <v>362</v>
      </c>
      <c r="B13" s="9" t="n">
        <f aca="false">BS!B25</f>
        <v>296.5</v>
      </c>
      <c r="C13" s="9" t="n">
        <f aca="false">BS!C25</f>
        <v>477.1</v>
      </c>
      <c r="D13" s="9" t="n">
        <f aca="false">BS!D25</f>
        <v>530.2</v>
      </c>
      <c r="E13" s="9" t="n">
        <f aca="false">BS!E25</f>
        <v>735.920231536</v>
      </c>
      <c r="F13" s="9" t="n">
        <f aca="false">BS!F25</f>
        <v>1058.4454381984</v>
      </c>
      <c r="G13" s="9" t="n">
        <f aca="false">BS!G25</f>
        <v>1493.7612431681</v>
      </c>
      <c r="H13" s="9" t="n">
        <f aca="false">BS!H25</f>
        <v>1876.27458909796</v>
      </c>
      <c r="I13" s="9" t="n">
        <f aca="false">BS!I25</f>
        <v>2191.51139808574</v>
      </c>
      <c r="J13" s="25" t="s">
        <v>437</v>
      </c>
    </row>
    <row r="14" customFormat="false" ht="15" hidden="false" customHeight="false" outlineLevel="0" collapsed="false">
      <c r="A14" s="5" t="s">
        <v>364</v>
      </c>
      <c r="B14" s="9" t="n">
        <f aca="false">BS!B26</f>
        <v>92.3</v>
      </c>
      <c r="C14" s="9" t="n">
        <f aca="false">BS!C26</f>
        <v>136.5</v>
      </c>
      <c r="D14" s="9" t="n">
        <f aca="false">BS!D26</f>
        <v>274.2</v>
      </c>
      <c r="E14" s="9" t="n">
        <f aca="false">BS!E26</f>
        <v>381.101548474</v>
      </c>
      <c r="F14" s="9" t="n">
        <f aca="false">BS!F26</f>
        <v>548.1235304956</v>
      </c>
      <c r="G14" s="9" t="n">
        <f aca="false">BS!G26</f>
        <v>773.554929497764</v>
      </c>
      <c r="H14" s="9" t="n">
        <f aca="false">BS!H26</f>
        <v>971.642197925731</v>
      </c>
      <c r="I14" s="9" t="n">
        <f aca="false">BS!I26</f>
        <v>1134.88983115154</v>
      </c>
      <c r="J14" s="25" t="s">
        <v>437</v>
      </c>
    </row>
    <row r="15" customFormat="false" ht="15" hidden="false" customHeight="false" outlineLevel="0" collapsed="false">
      <c r="A15" s="5" t="s">
        <v>366</v>
      </c>
      <c r="B15" s="9" t="n">
        <f aca="false">BS!B27</f>
        <v>228.8</v>
      </c>
      <c r="C15" s="9" t="n">
        <f aca="false">BS!C27</f>
        <v>380.7</v>
      </c>
      <c r="D15" s="9" t="n">
        <f aca="false">BS!D27</f>
        <v>554.1</v>
      </c>
      <c r="E15" s="9" t="n">
        <f aca="false">BS!E27</f>
        <v>554.1</v>
      </c>
      <c r="F15" s="9" t="n">
        <f aca="false">BS!F27</f>
        <v>554.1</v>
      </c>
      <c r="G15" s="9" t="n">
        <f aca="false">BS!G27</f>
        <v>554.1</v>
      </c>
      <c r="H15" s="9" t="n">
        <f aca="false">BS!H27</f>
        <v>554.1</v>
      </c>
      <c r="I15" s="9" t="n">
        <f aca="false">BS!I27</f>
        <v>554.1</v>
      </c>
      <c r="J15" s="25" t="s">
        <v>436</v>
      </c>
    </row>
    <row r="16" customFormat="false" ht="15" hidden="false" customHeight="false" outlineLevel="0" collapsed="false">
      <c r="A16" s="3" t="s">
        <v>438</v>
      </c>
      <c r="B16" s="9" t="n">
        <f aca="false">SUM(B11:B15)</f>
        <v>3263.9</v>
      </c>
      <c r="C16" s="9" t="n">
        <f aca="false">SUM(C11:C15)</f>
        <v>5260.1</v>
      </c>
      <c r="D16" s="9" t="n">
        <f aca="false">SUM(D11:D15)</f>
        <v>8053.9</v>
      </c>
      <c r="E16" s="9" t="n">
        <f aca="false">SUM(E11:E15)</f>
        <v>10854.7822864826</v>
      </c>
      <c r="F16" s="9" t="n">
        <f aca="false">SUM(F11:F15)</f>
        <v>15124.9782553898</v>
      </c>
      <c r="G16" s="9" t="n">
        <f aca="false">SUM(G11:G15)</f>
        <v>20887.5468368853</v>
      </c>
      <c r="H16" s="9" t="n">
        <f aca="false">SUM(H11:H15)</f>
        <v>26216.6283620544</v>
      </c>
      <c r="I16" s="9" t="n">
        <f aca="false">SUM(I11:I15)</f>
        <v>30701.3580325936</v>
      </c>
      <c r="J16" s="25"/>
    </row>
    <row r="17" customFormat="false" ht="15" hidden="false" customHeight="false" outlineLevel="0" collapsed="false">
      <c r="A17" s="3" t="s">
        <v>439</v>
      </c>
      <c r="B17" s="9" t="n">
        <f aca="false">B10-B16</f>
        <v>1218.4</v>
      </c>
      <c r="C17" s="9" t="n">
        <f aca="false">C10-C16</f>
        <v>1711.6</v>
      </c>
      <c r="D17" s="9" t="n">
        <f aca="false">D10-D16</f>
        <v>2269.5</v>
      </c>
      <c r="E17" s="9" t="n">
        <f aca="false">E10-E16</f>
        <v>3234.64542899942</v>
      </c>
      <c r="F17" s="9" t="n">
        <f aca="false">F10-F16</f>
        <v>4794.48196616956</v>
      </c>
      <c r="G17" s="9" t="n">
        <f aca="false">G10-G16</f>
        <v>6900.15528222977</v>
      </c>
      <c r="H17" s="9" t="n">
        <f aca="false">H10-H16</f>
        <v>8655.21431291683</v>
      </c>
      <c r="I17" s="9" t="n">
        <f aca="false">I10-I16</f>
        <v>10068.2703924682</v>
      </c>
      <c r="J17" s="25" t="s">
        <v>440</v>
      </c>
    </row>
    <row r="18" customFormat="false" ht="15" hidden="false" customHeight="false" outlineLevel="0" collapsed="false">
      <c r="A18" s="4" t="s">
        <v>441</v>
      </c>
      <c r="E18" s="9" t="n">
        <f aca="false">E17-D17</f>
        <v>965.145428999417</v>
      </c>
      <c r="F18" s="9" t="n">
        <f aca="false">F17-E17</f>
        <v>1559.83653717014</v>
      </c>
      <c r="G18" s="9" t="n">
        <f aca="false">G17-F17</f>
        <v>2105.67331606021</v>
      </c>
      <c r="H18" s="9" t="n">
        <f aca="false">H17-G17</f>
        <v>1755.05903068705</v>
      </c>
      <c r="I18" s="9" t="n">
        <f aca="false">I17-H17</f>
        <v>1413.05607955134</v>
      </c>
      <c r="J18" s="27" t="s">
        <v>442</v>
      </c>
    </row>
    <row r="20" customFormat="false" ht="15.75" hidden="false" customHeight="true" outlineLevel="0" collapsed="false">
      <c r="A20" s="26" t="s">
        <v>443</v>
      </c>
      <c r="B20" s="26"/>
      <c r="C20" s="26"/>
      <c r="D20" s="26"/>
      <c r="E20" s="26"/>
      <c r="F20" s="26"/>
      <c r="G20" s="26"/>
      <c r="H20" s="26"/>
      <c r="I20" s="26"/>
      <c r="J20" s="26"/>
    </row>
    <row r="21" customFormat="false" ht="15" hidden="false" customHeight="false" outlineLevel="0" collapsed="false">
      <c r="A21" s="5" t="s">
        <v>444</v>
      </c>
      <c r="E21" s="9" t="n">
        <f aca="false">BS!D14</f>
        <v>388.7</v>
      </c>
      <c r="F21" s="9" t="n">
        <f aca="false">E23</f>
        <v>357.604</v>
      </c>
      <c r="G21" s="9" t="n">
        <f aca="false">F23</f>
        <v>328.99568</v>
      </c>
      <c r="H21" s="9" t="n">
        <f aca="false">G23</f>
        <v>302.6760256</v>
      </c>
      <c r="I21" s="9" t="n">
        <f aca="false">H23</f>
        <v>278.461943552</v>
      </c>
      <c r="J21" s="27" t="s">
        <v>445</v>
      </c>
    </row>
    <row r="22" customFormat="false" ht="15" hidden="false" customHeight="false" outlineLevel="0" collapsed="false">
      <c r="A22" s="5" t="s">
        <v>446</v>
      </c>
      <c r="E22" s="9" t="n">
        <f aca="false">E21*Assumptions!$C$55</f>
        <v>31.096</v>
      </c>
      <c r="F22" s="9" t="n">
        <f aca="false">F21*Assumptions!$C$55</f>
        <v>28.60832</v>
      </c>
      <c r="G22" s="9" t="n">
        <f aca="false">G21*Assumptions!$C$55</f>
        <v>26.3196544</v>
      </c>
      <c r="H22" s="9" t="n">
        <f aca="false">H21*Assumptions!$C$55</f>
        <v>24.214082048</v>
      </c>
      <c r="I22" s="9" t="n">
        <f aca="false">I21*Assumptions!$C$55</f>
        <v>22.27695548416</v>
      </c>
      <c r="J22" s="25" t="s">
        <v>447</v>
      </c>
    </row>
    <row r="23" customFormat="false" ht="15" hidden="false" customHeight="false" outlineLevel="0" collapsed="false">
      <c r="A23" s="5" t="s">
        <v>448</v>
      </c>
      <c r="E23" s="9" t="n">
        <f aca="false">E21-E22</f>
        <v>357.604</v>
      </c>
      <c r="F23" s="9" t="n">
        <f aca="false">F21-F22</f>
        <v>328.99568</v>
      </c>
      <c r="G23" s="9" t="n">
        <f aca="false">G21-G22</f>
        <v>302.6760256</v>
      </c>
      <c r="H23" s="9" t="n">
        <f aca="false">H21-H22</f>
        <v>278.461943552</v>
      </c>
      <c r="I23" s="9" t="n">
        <f aca="false">I21-I22</f>
        <v>256.18498806784</v>
      </c>
      <c r="J23" s="25" t="s">
        <v>449</v>
      </c>
    </row>
    <row r="25" customFormat="false" ht="15.75" hidden="false" customHeight="true" outlineLevel="0" collapsed="false">
      <c r="A25" s="26" t="s">
        <v>450</v>
      </c>
      <c r="B25" s="26"/>
      <c r="C25" s="26"/>
      <c r="D25" s="26"/>
      <c r="E25" s="26"/>
      <c r="F25" s="26"/>
      <c r="G25" s="26"/>
      <c r="H25" s="26"/>
      <c r="I25" s="26"/>
      <c r="J25" s="26"/>
    </row>
    <row r="26" customFormat="false" ht="15" hidden="false" customHeight="false" outlineLevel="0" collapsed="false">
      <c r="A26" s="5" t="s">
        <v>451</v>
      </c>
      <c r="E26" s="9" t="n">
        <f aca="false">IS!D20*Assumptions!C$58</f>
        <v>1146.69</v>
      </c>
      <c r="F26" s="9" t="n">
        <f aca="false">IS!E20*Assumptions!D$58</f>
        <v>1587.74262255917</v>
      </c>
      <c r="G26" s="9" t="n">
        <f aca="false">IS!F20*Assumptions!E$58</f>
        <v>2432.02167959583</v>
      </c>
      <c r="H26" s="9" t="n">
        <f aca="false">IS!G20*Assumptions!F$58</f>
        <v>3573.42394483575</v>
      </c>
      <c r="I26" s="9" t="n">
        <f aca="false">IS!H20*Assumptions!G$58</f>
        <v>4447.24478038396</v>
      </c>
      <c r="J26" s="25" t="s">
        <v>452</v>
      </c>
    </row>
  </sheetData>
  <mergeCells count="5">
    <mergeCell ref="A1:J1"/>
    <mergeCell ref="A2:J2"/>
    <mergeCell ref="A5:J5"/>
    <mergeCell ref="A20:J20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453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454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.75" hidden="false" customHeight="true" outlineLevel="0" collapsed="false">
      <c r="A5" s="26" t="s">
        <v>455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456</v>
      </c>
      <c r="E6" s="36" t="n">
        <v>5706.3</v>
      </c>
      <c r="F6" s="9" t="n">
        <f aca="false">E10</f>
        <v>9929.99533071283</v>
      </c>
      <c r="G6" s="9" t="n">
        <f aca="false">F10</f>
        <v>13786.1381873505</v>
      </c>
      <c r="H6" s="9" t="n">
        <f aca="false">G10</f>
        <v>17820.8813867803</v>
      </c>
      <c r="I6" s="9" t="n">
        <f aca="false">H10</f>
        <v>21848.3293628183</v>
      </c>
      <c r="J6" s="27" t="s">
        <v>457</v>
      </c>
    </row>
    <row r="7" customFormat="false" ht="15" hidden="false" customHeight="false" outlineLevel="0" collapsed="false">
      <c r="A7" s="5" t="s">
        <v>458</v>
      </c>
      <c r="E7" s="9" t="n">
        <f aca="false">(E13+E14)*Assumptions!$C$51</f>
        <v>5172.4107611592</v>
      </c>
      <c r="F7" s="9" t="n">
        <f aca="false">(F13+F14)*Assumptions!$C$51</f>
        <v>5361.5023433649</v>
      </c>
      <c r="G7" s="9" t="n">
        <f aca="false">(G13+G14)*Assumptions!$C$51</f>
        <v>6069.73037894307</v>
      </c>
      <c r="H7" s="9" t="n">
        <f aca="false">(H13+H14)*Assumptions!$C$51</f>
        <v>6608.50266283283</v>
      </c>
      <c r="I7" s="9" t="n">
        <f aca="false">(I13+I14)*Assumptions!$C$51</f>
        <v>6606.50679066632</v>
      </c>
      <c r="J7" s="25" t="s">
        <v>459</v>
      </c>
    </row>
    <row r="8" customFormat="false" ht="15" hidden="false" customHeight="false" outlineLevel="0" collapsed="false">
      <c r="A8" s="5" t="s">
        <v>460</v>
      </c>
      <c r="E8" s="9" t="n">
        <f aca="false">E6*Assumptions!$C$52+E7*Assumptions!$C$53</f>
        <v>891.652430446368</v>
      </c>
      <c r="F8" s="9" t="n">
        <f aca="false">F6*Assumptions!$C$52+F7*Assumptions!$C$53</f>
        <v>1406.05953342014</v>
      </c>
      <c r="G8" s="9" t="n">
        <f aca="false">G6*Assumptions!$C$52+G7*Assumptions!$C$53</f>
        <v>1897.12579763978</v>
      </c>
      <c r="H8" s="9" t="n">
        <f aca="false">H6*Assumptions!$C$52+H7*Assumptions!$C$53</f>
        <v>2402.84587292694</v>
      </c>
      <c r="I8" s="9" t="n">
        <f aca="false">I6*Assumptions!$C$52+I7*Assumptions!$C$53</f>
        <v>2886.05979516485</v>
      </c>
      <c r="J8" s="25" t="s">
        <v>461</v>
      </c>
    </row>
    <row r="9" customFormat="false" ht="15" hidden="false" customHeight="false" outlineLevel="0" collapsed="false">
      <c r="A9" s="5" t="s">
        <v>462</v>
      </c>
      <c r="E9" s="9" t="n">
        <f aca="false">E6*Assumptions!$C$54</f>
        <v>57.063</v>
      </c>
      <c r="F9" s="9" t="n">
        <f aca="false">F6*Assumptions!$C$54</f>
        <v>99.2999533071283</v>
      </c>
      <c r="G9" s="9" t="n">
        <f aca="false">G6*Assumptions!$C$54</f>
        <v>137.861381873505</v>
      </c>
      <c r="H9" s="9" t="n">
        <f aca="false">H6*Assumptions!$C$54</f>
        <v>178.208813867803</v>
      </c>
      <c r="I9" s="9" t="n">
        <f aca="false">I6*Assumptions!$C$54</f>
        <v>218.483293628183</v>
      </c>
      <c r="J9" s="25" t="s">
        <v>463</v>
      </c>
    </row>
    <row r="10" customFormat="false" ht="15" hidden="false" customHeight="false" outlineLevel="0" collapsed="false">
      <c r="A10" s="3" t="s">
        <v>464</v>
      </c>
      <c r="E10" s="9" t="n">
        <f aca="false">E6+E7-E8-E9</f>
        <v>9929.99533071283</v>
      </c>
      <c r="F10" s="9" t="n">
        <f aca="false">F6+F7-F8-F9</f>
        <v>13786.1381873505</v>
      </c>
      <c r="G10" s="9" t="n">
        <f aca="false">G6+G7-G8-G9</f>
        <v>17820.8813867803</v>
      </c>
      <c r="H10" s="9" t="n">
        <f aca="false">H6+H7-H8-H9</f>
        <v>21848.3293628183</v>
      </c>
      <c r="I10" s="9" t="n">
        <f aca="false">I6+I7-I8-I9</f>
        <v>25350.2930646916</v>
      </c>
      <c r="J10" s="25" t="s">
        <v>465</v>
      </c>
    </row>
    <row r="12" customFormat="false" ht="15.75" hidden="false" customHeight="true" outlineLevel="0" collapsed="false">
      <c r="A12" s="26" t="s">
        <v>466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5" t="s">
        <v>467</v>
      </c>
      <c r="E13" s="36" t="n">
        <v>2460</v>
      </c>
      <c r="F13" s="9" t="n">
        <f aca="false">E15</f>
        <v>1724.1369203864</v>
      </c>
      <c r="G13" s="9" t="n">
        <f aca="false">F15</f>
        <v>1787.1674477883</v>
      </c>
      <c r="H13" s="9" t="n">
        <f aca="false">G15</f>
        <v>2023.24345964769</v>
      </c>
      <c r="I13" s="9" t="n">
        <f aca="false">H15</f>
        <v>2202.83422094428</v>
      </c>
      <c r="J13" s="27" t="s">
        <v>468</v>
      </c>
    </row>
    <row r="14" customFormat="false" ht="15" hidden="false" customHeight="false" outlineLevel="0" collapsed="false">
      <c r="A14" s="5" t="s">
        <v>469</v>
      </c>
      <c r="E14" s="9" t="n">
        <f aca="false">IS!E4*Assumptions!C$50</f>
        <v>4436.5476815456</v>
      </c>
      <c r="F14" s="9" t="n">
        <f aca="false">IS!F4*Assumptions!D$50</f>
        <v>5424.5328707668</v>
      </c>
      <c r="G14" s="9" t="n">
        <f aca="false">IS!G4*Assumptions!E$50</f>
        <v>6305.80639080246</v>
      </c>
      <c r="H14" s="9" t="n">
        <f aca="false">IS!H4*Assumptions!F$50</f>
        <v>6788.09342412942</v>
      </c>
      <c r="I14" s="9" t="n">
        <f aca="false">IS!I4*Assumptions!G$50</f>
        <v>6605.84149994415</v>
      </c>
      <c r="J14" s="25" t="s">
        <v>470</v>
      </c>
    </row>
    <row r="15" customFormat="false" ht="15" hidden="false" customHeight="false" outlineLevel="0" collapsed="false">
      <c r="A15" s="3" t="s">
        <v>471</v>
      </c>
      <c r="E15" s="9" t="n">
        <f aca="false">E13+E14-E7</f>
        <v>1724.1369203864</v>
      </c>
      <c r="F15" s="9" t="n">
        <f aca="false">F13+F14-F7</f>
        <v>1787.1674477883</v>
      </c>
      <c r="G15" s="9" t="n">
        <f aca="false">G13+G14-G7</f>
        <v>2023.24345964769</v>
      </c>
      <c r="H15" s="9" t="n">
        <f aca="false">H13+H14-H7</f>
        <v>2202.83422094428</v>
      </c>
      <c r="I15" s="9" t="n">
        <f aca="false">I13+I14-I7</f>
        <v>2202.16893022211</v>
      </c>
      <c r="J15" s="25" t="s">
        <v>472</v>
      </c>
    </row>
    <row r="17" customFormat="false" ht="15.75" hidden="false" customHeight="true" outlineLevel="0" collapsed="false">
      <c r="A17" s="26" t="s">
        <v>473</v>
      </c>
      <c r="B17" s="26"/>
      <c r="C17" s="26"/>
      <c r="D17" s="26"/>
      <c r="E17" s="26"/>
      <c r="F17" s="26"/>
      <c r="G17" s="26"/>
      <c r="H17" s="26"/>
      <c r="I17" s="26"/>
      <c r="J17" s="26"/>
    </row>
    <row r="18" customFormat="false" ht="15" hidden="false" customHeight="false" outlineLevel="0" collapsed="false">
      <c r="A18" s="3" t="s">
        <v>474</v>
      </c>
      <c r="B18" s="9" t="n">
        <f aca="false">BS!B12</f>
        <v>4259.5</v>
      </c>
      <c r="C18" s="9" t="n">
        <f aca="false">BS!C12</f>
        <v>6081.3</v>
      </c>
      <c r="D18" s="9" t="n">
        <f aca="false">BS!D12</f>
        <v>8166.3</v>
      </c>
      <c r="E18" s="9" t="n">
        <f aca="false">E10+E15</f>
        <v>11654.1322510992</v>
      </c>
      <c r="F18" s="9" t="n">
        <f aca="false">F10+F15</f>
        <v>15573.3056351388</v>
      </c>
      <c r="G18" s="9" t="n">
        <f aca="false">G10+G15</f>
        <v>19844.124846428</v>
      </c>
      <c r="H18" s="9" t="n">
        <f aca="false">H10+H15</f>
        <v>24051.1635837626</v>
      </c>
      <c r="I18" s="9" t="n">
        <f aca="false">I10+I15</f>
        <v>27552.4619949137</v>
      </c>
      <c r="J18" s="25" t="s">
        <v>475</v>
      </c>
    </row>
    <row r="19" customFormat="false" ht="15" hidden="false" customHeight="false" outlineLevel="0" collapsed="false">
      <c r="A19" s="10" t="s">
        <v>476</v>
      </c>
      <c r="B19" s="9" t="n">
        <f aca="false">CF!B5</f>
        <v>415.8</v>
      </c>
      <c r="C19" s="9" t="n">
        <f aca="false">CF!C5</f>
        <v>490.2</v>
      </c>
      <c r="D19" s="9" t="n">
        <f aca="false">CF!D5</f>
        <v>601.1</v>
      </c>
      <c r="E19" s="9" t="n">
        <f aca="false">E8+Schedules!E22</f>
        <v>922.748430446368</v>
      </c>
      <c r="F19" s="9" t="n">
        <f aca="false">F8+Schedules!F22</f>
        <v>1434.66785342014</v>
      </c>
      <c r="G19" s="9" t="n">
        <f aca="false">G8+Schedules!G22</f>
        <v>1923.44545203978</v>
      </c>
      <c r="H19" s="9" t="n">
        <f aca="false">H8+Schedules!H22</f>
        <v>2427.05995497494</v>
      </c>
      <c r="I19" s="9" t="n">
        <f aca="false">I8+Schedules!I22</f>
        <v>2908.33675064901</v>
      </c>
      <c r="J19" s="25" t="s">
        <v>477</v>
      </c>
    </row>
    <row r="20" customFormat="false" ht="15" hidden="false" customHeight="false" outlineLevel="0" collapsed="false">
      <c r="A20" s="5" t="s">
        <v>478</v>
      </c>
      <c r="E20" s="19" t="n">
        <f aca="false">E8/E6</f>
        <v>0.156257545247598</v>
      </c>
      <c r="F20" s="19" t="n">
        <f aca="false">F8/F6</f>
        <v>0.14159719985681</v>
      </c>
      <c r="G20" s="19" t="n">
        <f aca="false">G8/G6</f>
        <v>0.137611111382918</v>
      </c>
      <c r="H20" s="19" t="n">
        <f aca="false">H8/H6</f>
        <v>0.134833166821334</v>
      </c>
      <c r="I20" s="19" t="n">
        <f aca="false">I8/I6</f>
        <v>0.132095216400224</v>
      </c>
      <c r="J20" s="25" t="s">
        <v>479</v>
      </c>
    </row>
    <row r="21" customFormat="false" ht="15" hidden="false" customHeight="false" outlineLevel="0" collapsed="false">
      <c r="A21" s="5" t="s">
        <v>480</v>
      </c>
      <c r="E21" s="50" t="n">
        <f aca="false">E6/E8</f>
        <v>6.39969096158173</v>
      </c>
      <c r="F21" s="50" t="n">
        <f aca="false">F6/F8</f>
        <v>7.06228654953098</v>
      </c>
      <c r="G21" s="50" t="n">
        <f aca="false">G6/G8</f>
        <v>7.2668550522595</v>
      </c>
      <c r="H21" s="50" t="n">
        <f aca="false">H6/H8</f>
        <v>7.41657281791127</v>
      </c>
      <c r="I21" s="50" t="n">
        <f aca="false">I6/I8</f>
        <v>7.57029684534667</v>
      </c>
      <c r="J21" s="25" t="s">
        <v>481</v>
      </c>
    </row>
  </sheetData>
  <mergeCells count="5">
    <mergeCell ref="A1:J1"/>
    <mergeCell ref="A2:J2"/>
    <mergeCell ref="A5:J5"/>
    <mergeCell ref="A12:J12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482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483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.75" hidden="false" customHeight="true" outlineLevel="0" collapsed="false">
      <c r="A5" s="26" t="s">
        <v>484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423</v>
      </c>
      <c r="E6" s="9" t="n">
        <f aca="false">D63</f>
        <v>2579.1</v>
      </c>
      <c r="F6" s="9" t="n">
        <f aca="false">E63</f>
        <v>525.65730824</v>
      </c>
      <c r="G6" s="9" t="n">
        <f aca="false">F63</f>
        <v>756.032455856</v>
      </c>
      <c r="H6" s="9" t="n">
        <f aca="false">G63</f>
        <v>1066.97231654864</v>
      </c>
      <c r="I6" s="9" t="n">
        <f aca="false">H63</f>
        <v>1340.19613506997</v>
      </c>
      <c r="J6" s="27" t="s">
        <v>485</v>
      </c>
    </row>
    <row r="7" customFormat="false" ht="15" hidden="false" customHeight="false" outlineLevel="0" collapsed="false">
      <c r="A7" s="5" t="s">
        <v>486</v>
      </c>
      <c r="E7" s="9" t="n">
        <f aca="false">CF!E8</f>
        <v>5374.2826641256</v>
      </c>
      <c r="F7" s="9" t="n">
        <f aca="false">CF!F8</f>
        <v>8063.46531266137</v>
      </c>
      <c r="G7" s="9" t="n">
        <f aca="false">CF!G8</f>
        <v>11766.5824457202</v>
      </c>
      <c r="H7" s="9" t="n">
        <f aca="false">CF!H8</f>
        <v>15501.4065922344</v>
      </c>
      <c r="I7" s="9" t="n">
        <f aca="false">CF!I8</f>
        <v>18553.0113850447</v>
      </c>
      <c r="J7" s="25" t="s">
        <v>487</v>
      </c>
    </row>
    <row r="8" customFormat="false" ht="15" hidden="false" customHeight="false" outlineLevel="0" collapsed="false">
      <c r="A8" s="5" t="s">
        <v>488</v>
      </c>
      <c r="E8" s="9" t="n">
        <f aca="false">-PPE!E14+PPE!E9</f>
        <v>-4379.4846815456</v>
      </c>
      <c r="F8" s="9" t="n">
        <f aca="false">-PPE!F14+PPE!F9</f>
        <v>-5325.23291745967</v>
      </c>
      <c r="G8" s="9" t="n">
        <f aca="false">-PPE!G14+PPE!G9</f>
        <v>-6167.94500892896</v>
      </c>
      <c r="H8" s="9" t="n">
        <f aca="false">-PPE!H14+PPE!H9</f>
        <v>-6609.88461026162</v>
      </c>
      <c r="I8" s="9" t="n">
        <f aca="false">-PPE!I14+PPE!I9</f>
        <v>-6387.35820631597</v>
      </c>
      <c r="J8" s="25" t="s">
        <v>489</v>
      </c>
    </row>
    <row r="9" customFormat="false" ht="15" hidden="false" customHeight="false" outlineLevel="0" collapsed="false">
      <c r="A9" s="5" t="s">
        <v>490</v>
      </c>
      <c r="E9" s="9" t="n">
        <f aca="false">-Schedules!E26</f>
        <v>-1146.69</v>
      </c>
      <c r="F9" s="9" t="n">
        <f aca="false">-Schedules!F26</f>
        <v>-1587.74262255917</v>
      </c>
      <c r="G9" s="9" t="n">
        <f aca="false">-Schedules!G26</f>
        <v>-2432.02167959583</v>
      </c>
      <c r="H9" s="9" t="n">
        <f aca="false">-Schedules!H26</f>
        <v>-3573.42394483575</v>
      </c>
      <c r="I9" s="9" t="n">
        <f aca="false">-Schedules!I26</f>
        <v>-4447.24478038396</v>
      </c>
      <c r="J9" s="25" t="s">
        <v>491</v>
      </c>
    </row>
    <row r="10" customFormat="false" ht="15" hidden="false" customHeight="false" outlineLevel="0" collapsed="false">
      <c r="A10" s="5" t="s">
        <v>492</v>
      </c>
      <c r="E10" s="9" t="n">
        <f aca="false">-E64</f>
        <v>-124.204254148073</v>
      </c>
      <c r="F10" s="9" t="n">
        <f aca="false">-F64</f>
        <v>-81.8950644252685</v>
      </c>
      <c r="G10" s="9" t="n">
        <f aca="false">-G64</f>
        <v>-37.3971602881023</v>
      </c>
      <c r="H10" s="9" t="n">
        <f aca="false">-H64</f>
        <v>-5.2564</v>
      </c>
      <c r="I10" s="9" t="n">
        <f aca="false">-I64</f>
        <v>-1.7529</v>
      </c>
      <c r="J10" s="25" t="s">
        <v>493</v>
      </c>
    </row>
    <row r="11" customFormat="false" ht="15" hidden="false" customHeight="false" outlineLevel="0" collapsed="false">
      <c r="A11" s="5" t="s">
        <v>494</v>
      </c>
      <c r="E11" s="9" t="n">
        <f aca="false">-(E20+E31+E39+E49)</f>
        <v>-479.5</v>
      </c>
      <c r="F11" s="9" t="n">
        <f aca="false">-(F20+F31+F39+F49)</f>
        <v>-479.5</v>
      </c>
      <c r="G11" s="9" t="n">
        <f aca="false">-(G20+G31+G39+G49)</f>
        <v>-479.5</v>
      </c>
      <c r="H11" s="9" t="n">
        <f aca="false">-(H20+H31+H39+H49)</f>
        <v>-102.4</v>
      </c>
      <c r="I11" s="9" t="n">
        <f aca="false">-(I20+I31+I39+I49)</f>
        <v>-102.2</v>
      </c>
      <c r="J11" s="25" t="s">
        <v>495</v>
      </c>
    </row>
    <row r="12" customFormat="false" ht="15" hidden="false" customHeight="false" outlineLevel="0" collapsed="false">
      <c r="A12" s="3" t="s">
        <v>496</v>
      </c>
      <c r="E12" s="9" t="n">
        <f aca="false">E6+E7+E8+E9+E10+E11</f>
        <v>1823.50372843193</v>
      </c>
      <c r="F12" s="9" t="n">
        <f aca="false">F6+F7+F8+F9+F10+F11</f>
        <v>1114.75201645726</v>
      </c>
      <c r="G12" s="9" t="n">
        <f aca="false">G6+G7+G8+G9+G10+G11</f>
        <v>3405.75105276329</v>
      </c>
      <c r="H12" s="9" t="n">
        <f aca="false">H6+H7+H8+H9+H10+H11</f>
        <v>6277.41395368569</v>
      </c>
      <c r="I12" s="9" t="n">
        <f aca="false">I6+I7+I8+I9+I10+I11</f>
        <v>8954.65163341473</v>
      </c>
      <c r="J12" s="25" t="s">
        <v>497</v>
      </c>
    </row>
    <row r="13" customFormat="false" ht="15" hidden="false" customHeight="false" outlineLevel="0" collapsed="false">
      <c r="A13" s="5" t="s">
        <v>498</v>
      </c>
      <c r="E13" s="9" t="n">
        <f aca="false">IS!E4*Assumptions!$C$62</f>
        <v>525.65730824</v>
      </c>
      <c r="F13" s="9" t="n">
        <f aca="false">IS!F4*Assumptions!$C$62</f>
        <v>756.032455856</v>
      </c>
      <c r="G13" s="9" t="n">
        <f aca="false">IS!G4*Assumptions!$C$62</f>
        <v>1066.97231654864</v>
      </c>
      <c r="H13" s="9" t="n">
        <f aca="false">IS!H4*Assumptions!$C$62</f>
        <v>1340.19613506997</v>
      </c>
      <c r="I13" s="9" t="n">
        <f aca="false">IS!I4*Assumptions!$C$62</f>
        <v>1565.36528434696</v>
      </c>
      <c r="J13" s="25" t="s">
        <v>499</v>
      </c>
    </row>
    <row r="14" customFormat="false" ht="15" hidden="false" customHeight="false" outlineLevel="0" collapsed="false">
      <c r="A14" s="3" t="s">
        <v>500</v>
      </c>
      <c r="E14" s="9" t="n">
        <f aca="false">MAX(0,E13-E12)</f>
        <v>0</v>
      </c>
      <c r="F14" s="9" t="n">
        <f aca="false">MAX(0,F13-F12)</f>
        <v>0</v>
      </c>
      <c r="G14" s="9" t="n">
        <f aca="false">MAX(0,G13-G12)</f>
        <v>0</v>
      </c>
      <c r="H14" s="9" t="n">
        <f aca="false">MAX(0,H13-H12)</f>
        <v>0</v>
      </c>
      <c r="I14" s="9" t="n">
        <f aca="false">MAX(0,I13-I12)</f>
        <v>0</v>
      </c>
      <c r="J14" s="25" t="s">
        <v>501</v>
      </c>
    </row>
    <row r="15" customFormat="false" ht="15" hidden="false" customHeight="false" outlineLevel="0" collapsed="false">
      <c r="A15" s="3" t="s">
        <v>502</v>
      </c>
      <c r="E15" s="9" t="n">
        <f aca="false">MAX(0,E12+E14-E13)</f>
        <v>1297.84642019193</v>
      </c>
      <c r="F15" s="9" t="n">
        <f aca="false">MAX(0,F12+F14-F13)</f>
        <v>358.719560601257</v>
      </c>
      <c r="G15" s="9" t="n">
        <f aca="false">MAX(0,G12+G14-G13)</f>
        <v>2338.77873621465</v>
      </c>
      <c r="H15" s="9" t="n">
        <f aca="false">MAX(0,H12+H14-H13)</f>
        <v>4937.21781861572</v>
      </c>
      <c r="I15" s="9" t="n">
        <f aca="false">MAX(0,I12+I14-I13)</f>
        <v>7389.28634906777</v>
      </c>
      <c r="J15" s="25" t="s">
        <v>503</v>
      </c>
    </row>
    <row r="17" customFormat="false" ht="15.75" hidden="false" customHeight="true" outlineLevel="0" collapsed="false">
      <c r="A17" s="51" t="s">
        <v>504</v>
      </c>
      <c r="B17" s="51"/>
      <c r="C17" s="51"/>
      <c r="D17" s="51"/>
      <c r="E17" s="51"/>
      <c r="F17" s="51"/>
      <c r="G17" s="51"/>
      <c r="H17" s="51"/>
      <c r="I17" s="51"/>
      <c r="J17" s="51"/>
    </row>
    <row r="18" customFormat="false" ht="15" hidden="false" customHeight="false" outlineLevel="0" collapsed="false">
      <c r="A18" s="5" t="s">
        <v>505</v>
      </c>
      <c r="E18" s="9" t="n">
        <f aca="false">D24</f>
        <v>2169.9</v>
      </c>
      <c r="F18" s="9" t="n">
        <f aca="false">E24</f>
        <v>872.053579808075</v>
      </c>
      <c r="G18" s="9" t="n">
        <f aca="false">F24</f>
        <v>513.334019206818</v>
      </c>
      <c r="H18" s="9" t="n">
        <f aca="false">G24</f>
        <v>0</v>
      </c>
      <c r="I18" s="9" t="n">
        <f aca="false">H24</f>
        <v>0</v>
      </c>
      <c r="J18" s="25" t="s">
        <v>506</v>
      </c>
    </row>
    <row r="19" customFormat="false" ht="15" hidden="false" customHeight="false" outlineLevel="0" collapsed="false">
      <c r="A19" s="5" t="s">
        <v>507</v>
      </c>
      <c r="E19" s="9" t="n">
        <f aca="false">Assumptions!C$63</f>
        <v>0</v>
      </c>
      <c r="F19" s="9" t="n">
        <f aca="false">Assumptions!D$63</f>
        <v>0</v>
      </c>
      <c r="G19" s="9" t="n">
        <f aca="false">Assumptions!E$63</f>
        <v>0</v>
      </c>
      <c r="H19" s="9" t="n">
        <f aca="false">Assumptions!F$63</f>
        <v>0</v>
      </c>
      <c r="I19" s="9" t="n">
        <f aca="false">Assumptions!G$63</f>
        <v>0</v>
      </c>
      <c r="J19" s="25" t="s">
        <v>508</v>
      </c>
    </row>
    <row r="20" customFormat="false" ht="15" hidden="false" customHeight="false" outlineLevel="0" collapsed="false">
      <c r="A20" s="5" t="s">
        <v>509</v>
      </c>
      <c r="E20" s="9" t="n">
        <f aca="false">MIN(E19,E18)</f>
        <v>0</v>
      </c>
      <c r="F20" s="9" t="n">
        <f aca="false">MIN(F19,F18)</f>
        <v>0</v>
      </c>
      <c r="G20" s="9" t="n">
        <f aca="false">MIN(G19,G18)</f>
        <v>0</v>
      </c>
      <c r="H20" s="9" t="n">
        <f aca="false">MIN(H19,H18)</f>
        <v>0</v>
      </c>
      <c r="I20" s="9" t="n">
        <f aca="false">MIN(I19,I18)</f>
        <v>0</v>
      </c>
      <c r="J20" s="25" t="s">
        <v>510</v>
      </c>
    </row>
    <row r="21" customFormat="false" ht="15" hidden="false" customHeight="false" outlineLevel="0" collapsed="false">
      <c r="A21" s="5" t="s">
        <v>511</v>
      </c>
      <c r="E21" s="9" t="n">
        <f aca="false">E14</f>
        <v>0</v>
      </c>
      <c r="F21" s="9" t="n">
        <f aca="false">F14</f>
        <v>0</v>
      </c>
      <c r="G21" s="9" t="n">
        <f aca="false">G14</f>
        <v>0</v>
      </c>
      <c r="H21" s="9" t="n">
        <f aca="false">H14</f>
        <v>0</v>
      </c>
      <c r="I21" s="9" t="n">
        <f aca="false">I14</f>
        <v>0</v>
      </c>
      <c r="J21" s="25" t="s">
        <v>512</v>
      </c>
    </row>
    <row r="22" customFormat="false" ht="15" hidden="false" customHeight="false" outlineLevel="0" collapsed="false">
      <c r="A22" s="4" t="s">
        <v>513</v>
      </c>
      <c r="E22" s="9" t="n">
        <f aca="false">E18-E20+E21</f>
        <v>2169.9</v>
      </c>
      <c r="F22" s="9" t="n">
        <f aca="false">F18-F20+F21</f>
        <v>872.053579808075</v>
      </c>
      <c r="G22" s="9" t="n">
        <f aca="false">G18-G20+G21</f>
        <v>513.334019206818</v>
      </c>
      <c r="H22" s="9" t="n">
        <f aca="false">H18-H20+H21</f>
        <v>0</v>
      </c>
      <c r="I22" s="9" t="n">
        <f aca="false">I18-I20+I21</f>
        <v>0</v>
      </c>
      <c r="J22" s="25" t="s">
        <v>514</v>
      </c>
    </row>
    <row r="23" customFormat="false" ht="15" hidden="false" customHeight="false" outlineLevel="0" collapsed="false">
      <c r="A23" s="5" t="s">
        <v>515</v>
      </c>
      <c r="E23" s="9" t="n">
        <f aca="false">MIN(E15,E22)</f>
        <v>1297.84642019193</v>
      </c>
      <c r="F23" s="9" t="n">
        <f aca="false">MIN(F15,F22)</f>
        <v>358.719560601257</v>
      </c>
      <c r="G23" s="9" t="n">
        <f aca="false">MIN(G15,G22)</f>
        <v>513.334019206818</v>
      </c>
      <c r="H23" s="9" t="n">
        <f aca="false">MIN(H15,H22)</f>
        <v>0</v>
      </c>
      <c r="I23" s="9" t="n">
        <f aca="false">MIN(I15,I22)</f>
        <v>0</v>
      </c>
      <c r="J23" s="25" t="s">
        <v>516</v>
      </c>
    </row>
    <row r="24" customFormat="false" ht="15" hidden="false" customHeight="false" outlineLevel="0" collapsed="false">
      <c r="A24" s="3" t="s">
        <v>517</v>
      </c>
      <c r="D24" s="9" t="n">
        <f aca="false">BS!D22</f>
        <v>2169.9</v>
      </c>
      <c r="E24" s="9" t="n">
        <f aca="false">E22-E23</f>
        <v>872.053579808075</v>
      </c>
      <c r="F24" s="9" t="n">
        <f aca="false">F22-F23</f>
        <v>513.334019206818</v>
      </c>
      <c r="G24" s="9" t="n">
        <f aca="false">G22-G23</f>
        <v>0</v>
      </c>
      <c r="H24" s="9" t="n">
        <f aca="false">H22-H23</f>
        <v>0</v>
      </c>
      <c r="I24" s="9" t="n">
        <f aca="false">I22-I23</f>
        <v>0</v>
      </c>
      <c r="J24" s="25" t="s">
        <v>518</v>
      </c>
    </row>
    <row r="25" customFormat="false" ht="15" hidden="false" customHeight="false" outlineLevel="0" collapsed="false">
      <c r="A25" s="5" t="s">
        <v>519</v>
      </c>
      <c r="E25" s="9" t="n">
        <f aca="false">(E18+E24)/2</f>
        <v>1520.97678990404</v>
      </c>
      <c r="F25" s="9" t="n">
        <f aca="false">(F18+F24)/2</f>
        <v>692.693799507446</v>
      </c>
      <c r="G25" s="9" t="n">
        <f aca="false">(G18+G24)/2</f>
        <v>256.667009603409</v>
      </c>
      <c r="H25" s="9" t="n">
        <f aca="false">(H18+H24)/2</f>
        <v>0</v>
      </c>
      <c r="I25" s="9" t="n">
        <f aca="false">(I18+I24)/2</f>
        <v>0</v>
      </c>
      <c r="J25" s="25" t="s">
        <v>520</v>
      </c>
    </row>
    <row r="26" customFormat="false" ht="15" hidden="false" customHeight="false" outlineLevel="0" collapsed="false">
      <c r="A26" s="5" t="s">
        <v>521</v>
      </c>
      <c r="E26" s="9" t="n">
        <f aca="false">E25*Assumptions!$C$67</f>
        <v>45.6293036971211</v>
      </c>
      <c r="F26" s="9" t="n">
        <f aca="false">F25*Assumptions!$C$67</f>
        <v>20.7808139852234</v>
      </c>
      <c r="G26" s="9" t="n">
        <f aca="false">G25*Assumptions!$C$67</f>
        <v>7.70001028810226</v>
      </c>
      <c r="H26" s="9" t="n">
        <f aca="false">H25*Assumptions!$C$67</f>
        <v>0</v>
      </c>
      <c r="I26" s="9" t="n">
        <f aca="false">I25*Assumptions!$C$67</f>
        <v>0</v>
      </c>
      <c r="J26" s="25" t="s">
        <v>522</v>
      </c>
    </row>
    <row r="28" customFormat="false" ht="15.75" hidden="false" customHeight="true" outlineLevel="0" collapsed="false">
      <c r="A28" s="51" t="s">
        <v>523</v>
      </c>
      <c r="B28" s="51"/>
      <c r="C28" s="51"/>
      <c r="D28" s="51"/>
      <c r="E28" s="51"/>
      <c r="F28" s="51"/>
      <c r="G28" s="51"/>
      <c r="H28" s="51"/>
      <c r="I28" s="51"/>
      <c r="J28" s="51"/>
    </row>
    <row r="29" customFormat="false" ht="15" hidden="false" customHeight="false" outlineLevel="0" collapsed="false">
      <c r="A29" s="5" t="s">
        <v>505</v>
      </c>
      <c r="E29" s="9" t="n">
        <f aca="false">D32</f>
        <v>500.1</v>
      </c>
      <c r="F29" s="9" t="n">
        <f aca="false">E32</f>
        <v>400.1</v>
      </c>
      <c r="G29" s="9" t="n">
        <f aca="false">F32</f>
        <v>300.1</v>
      </c>
      <c r="H29" s="9" t="n">
        <f aca="false">G32</f>
        <v>200.1</v>
      </c>
      <c r="I29" s="9" t="n">
        <f aca="false">H32</f>
        <v>100.1</v>
      </c>
      <c r="J29" s="25" t="s">
        <v>506</v>
      </c>
    </row>
    <row r="30" customFormat="false" ht="15" hidden="false" customHeight="false" outlineLevel="0" collapsed="false">
      <c r="A30" s="5" t="s">
        <v>507</v>
      </c>
      <c r="E30" s="9" t="n">
        <f aca="false">Assumptions!C$64</f>
        <v>100</v>
      </c>
      <c r="F30" s="9" t="n">
        <f aca="false">Assumptions!D$64</f>
        <v>100</v>
      </c>
      <c r="G30" s="9" t="n">
        <f aca="false">Assumptions!E$64</f>
        <v>100</v>
      </c>
      <c r="H30" s="9" t="n">
        <f aca="false">Assumptions!F$64</f>
        <v>100</v>
      </c>
      <c r="I30" s="9" t="n">
        <f aca="false">Assumptions!G$64</f>
        <v>100</v>
      </c>
      <c r="J30" s="25" t="s">
        <v>524</v>
      </c>
    </row>
    <row r="31" customFormat="false" ht="15" hidden="false" customHeight="false" outlineLevel="0" collapsed="false">
      <c r="A31" s="5" t="s">
        <v>509</v>
      </c>
      <c r="E31" s="9" t="n">
        <f aca="false">MIN(E30,E29)</f>
        <v>100</v>
      </c>
      <c r="F31" s="9" t="n">
        <f aca="false">MIN(F30,F29)</f>
        <v>100</v>
      </c>
      <c r="G31" s="9" t="n">
        <f aca="false">MIN(G30,G29)</f>
        <v>100</v>
      </c>
      <c r="H31" s="9" t="n">
        <f aca="false">MIN(H30,H29)</f>
        <v>100</v>
      </c>
      <c r="I31" s="9" t="n">
        <f aca="false">MIN(I30,I29)</f>
        <v>100</v>
      </c>
      <c r="J31" s="25" t="s">
        <v>510</v>
      </c>
    </row>
    <row r="32" customFormat="false" ht="15" hidden="false" customHeight="false" outlineLevel="0" collapsed="false">
      <c r="A32" s="3" t="s">
        <v>517</v>
      </c>
      <c r="D32" s="9" t="n">
        <f aca="false">BS!D28</f>
        <v>500.1</v>
      </c>
      <c r="E32" s="9" t="n">
        <f aca="false">E29-E31</f>
        <v>400.1</v>
      </c>
      <c r="F32" s="9" t="n">
        <f aca="false">F29-F31</f>
        <v>300.1</v>
      </c>
      <c r="G32" s="9" t="n">
        <f aca="false">G29-G31</f>
        <v>200.1</v>
      </c>
      <c r="H32" s="9" t="n">
        <f aca="false">H29-H31</f>
        <v>100.1</v>
      </c>
      <c r="I32" s="9" t="n">
        <f aca="false">I29-I31</f>
        <v>0.100000000000023</v>
      </c>
      <c r="J32" s="25" t="s">
        <v>525</v>
      </c>
    </row>
    <row r="33" customFormat="false" ht="15" hidden="false" customHeight="false" outlineLevel="0" collapsed="false">
      <c r="A33" s="5" t="s">
        <v>519</v>
      </c>
      <c r="E33" s="9" t="n">
        <f aca="false">(E29+E32)/2</f>
        <v>450.1</v>
      </c>
      <c r="F33" s="9" t="n">
        <f aca="false">(F29+F32)/2</f>
        <v>350.1</v>
      </c>
      <c r="G33" s="9" t="n">
        <f aca="false">(G29+G32)/2</f>
        <v>250.1</v>
      </c>
      <c r="H33" s="9" t="n">
        <f aca="false">(H29+H32)/2</f>
        <v>150.1</v>
      </c>
      <c r="I33" s="9" t="n">
        <f aca="false">(I29+I32)/2</f>
        <v>50.1</v>
      </c>
      <c r="J33" s="25" t="s">
        <v>520</v>
      </c>
    </row>
    <row r="34" customFormat="false" ht="15" hidden="false" customHeight="false" outlineLevel="0" collapsed="false">
      <c r="A34" s="5" t="s">
        <v>521</v>
      </c>
      <c r="E34" s="9" t="n">
        <f aca="false">E33*Assumptions!$C$68</f>
        <v>15.3034</v>
      </c>
      <c r="F34" s="9" t="n">
        <f aca="false">F33*Assumptions!$C$68</f>
        <v>11.9034</v>
      </c>
      <c r="G34" s="9" t="n">
        <f aca="false">G33*Assumptions!$C$68</f>
        <v>8.5034</v>
      </c>
      <c r="H34" s="9" t="n">
        <f aca="false">H33*Assumptions!$C$68</f>
        <v>5.1034</v>
      </c>
      <c r="I34" s="9" t="n">
        <f aca="false">I33*Assumptions!$C$68</f>
        <v>1.7034</v>
      </c>
      <c r="J34" s="25" t="s">
        <v>522</v>
      </c>
    </row>
    <row r="36" customFormat="false" ht="15.75" hidden="false" customHeight="true" outlineLevel="0" collapsed="false">
      <c r="A36" s="51" t="s">
        <v>526</v>
      </c>
      <c r="B36" s="51"/>
      <c r="C36" s="51"/>
      <c r="D36" s="51"/>
      <c r="E36" s="51"/>
      <c r="F36" s="51"/>
      <c r="G36" s="51"/>
      <c r="H36" s="51"/>
      <c r="I36" s="51"/>
      <c r="J36" s="51"/>
    </row>
    <row r="37" customFormat="false" ht="15" hidden="false" customHeight="false" outlineLevel="0" collapsed="false">
      <c r="A37" s="5" t="s">
        <v>505</v>
      </c>
      <c r="E37" s="9" t="n">
        <f aca="false">D42</f>
        <v>1885.7</v>
      </c>
      <c r="F37" s="9" t="n">
        <f aca="false">E42</f>
        <v>1508.6</v>
      </c>
      <c r="G37" s="9" t="n">
        <f aca="false">F42</f>
        <v>1131.5</v>
      </c>
      <c r="H37" s="9" t="n">
        <f aca="false">G42</f>
        <v>0</v>
      </c>
      <c r="I37" s="9" t="n">
        <f aca="false">H42</f>
        <v>0</v>
      </c>
      <c r="J37" s="25" t="s">
        <v>506</v>
      </c>
    </row>
    <row r="38" customFormat="false" ht="15" hidden="false" customHeight="false" outlineLevel="0" collapsed="false">
      <c r="A38" s="5" t="s">
        <v>507</v>
      </c>
      <c r="E38" s="9" t="n">
        <f aca="false">Assumptions!C$65</f>
        <v>377.1</v>
      </c>
      <c r="F38" s="9" t="n">
        <f aca="false">Assumptions!D$65</f>
        <v>377.1</v>
      </c>
      <c r="G38" s="9" t="n">
        <f aca="false">Assumptions!E$65</f>
        <v>377.1</v>
      </c>
      <c r="H38" s="9" t="n">
        <f aca="false">Assumptions!F$65</f>
        <v>377.1</v>
      </c>
      <c r="I38" s="9" t="n">
        <f aca="false">Assumptions!G$65</f>
        <v>377.1</v>
      </c>
      <c r="J38" s="25" t="s">
        <v>527</v>
      </c>
    </row>
    <row r="39" customFormat="false" ht="15" hidden="false" customHeight="false" outlineLevel="0" collapsed="false">
      <c r="A39" s="5" t="s">
        <v>509</v>
      </c>
      <c r="E39" s="9" t="n">
        <f aca="false">MIN(E38,E37)</f>
        <v>377.1</v>
      </c>
      <c r="F39" s="9" t="n">
        <f aca="false">MIN(F38,F37)</f>
        <v>377.1</v>
      </c>
      <c r="G39" s="9" t="n">
        <f aca="false">MIN(G38,G37)</f>
        <v>377.1</v>
      </c>
      <c r="H39" s="9" t="n">
        <f aca="false">MIN(H38,H37)</f>
        <v>0</v>
      </c>
      <c r="I39" s="9" t="n">
        <f aca="false">MIN(I38,I37)</f>
        <v>0</v>
      </c>
      <c r="J39" s="25" t="s">
        <v>510</v>
      </c>
    </row>
    <row r="40" customFormat="false" ht="15" hidden="false" customHeight="false" outlineLevel="0" collapsed="false">
      <c r="A40" s="4" t="s">
        <v>513</v>
      </c>
      <c r="E40" s="9" t="n">
        <f aca="false">E37-E39</f>
        <v>1508.6</v>
      </c>
      <c r="F40" s="9" t="n">
        <f aca="false">F37-F39</f>
        <v>1131.5</v>
      </c>
      <c r="G40" s="9" t="n">
        <f aca="false">G37-G39</f>
        <v>754.4</v>
      </c>
      <c r="H40" s="9" t="n">
        <f aca="false">H37-H39</f>
        <v>0</v>
      </c>
      <c r="I40" s="9" t="n">
        <f aca="false">I37-I39</f>
        <v>0</v>
      </c>
      <c r="J40" s="25" t="s">
        <v>514</v>
      </c>
    </row>
    <row r="41" customFormat="false" ht="15" hidden="false" customHeight="false" outlineLevel="0" collapsed="false">
      <c r="A41" s="5" t="s">
        <v>515</v>
      </c>
      <c r="E41" s="9" t="n">
        <f aca="false">MIN(E15-E23,E40)</f>
        <v>0</v>
      </c>
      <c r="F41" s="9" t="n">
        <f aca="false">MIN(F15-F23,F40)</f>
        <v>0</v>
      </c>
      <c r="G41" s="9" t="n">
        <f aca="false">MIN(G15-G23,G40)</f>
        <v>754.4</v>
      </c>
      <c r="H41" s="9" t="n">
        <f aca="false">MIN(H15-H23,H40)</f>
        <v>0</v>
      </c>
      <c r="I41" s="9" t="n">
        <f aca="false">MIN(I15-I23,I40)</f>
        <v>0</v>
      </c>
      <c r="J41" s="25" t="s">
        <v>516</v>
      </c>
    </row>
    <row r="42" customFormat="false" ht="15" hidden="false" customHeight="false" outlineLevel="0" collapsed="false">
      <c r="A42" s="3" t="s">
        <v>517</v>
      </c>
      <c r="D42" s="9" t="n">
        <f aca="false">BS!D31</f>
        <v>1885.7</v>
      </c>
      <c r="E42" s="9" t="n">
        <f aca="false">E40-E41</f>
        <v>1508.6</v>
      </c>
      <c r="F42" s="9" t="n">
        <f aca="false">F40-F41</f>
        <v>1131.5</v>
      </c>
      <c r="G42" s="9" t="n">
        <f aca="false">G40-G41</f>
        <v>0</v>
      </c>
      <c r="H42" s="9" t="n">
        <f aca="false">H40-H41</f>
        <v>0</v>
      </c>
      <c r="I42" s="9" t="n">
        <f aca="false">I40-I41</f>
        <v>0</v>
      </c>
      <c r="J42" s="25" t="s">
        <v>518</v>
      </c>
    </row>
    <row r="43" customFormat="false" ht="15" hidden="false" customHeight="false" outlineLevel="0" collapsed="false">
      <c r="A43" s="5" t="s">
        <v>519</v>
      </c>
      <c r="E43" s="9" t="n">
        <f aca="false">(E37+E42)/2</f>
        <v>1697.15</v>
      </c>
      <c r="F43" s="9" t="n">
        <f aca="false">(F37+F42)/2</f>
        <v>1320.05</v>
      </c>
      <c r="G43" s="9" t="n">
        <f aca="false">(G37+G42)/2</f>
        <v>565.75</v>
      </c>
      <c r="H43" s="9" t="n">
        <f aca="false">(H37+H42)/2</f>
        <v>0</v>
      </c>
      <c r="I43" s="9" t="n">
        <f aca="false">(I37+I42)/2</f>
        <v>0</v>
      </c>
      <c r="J43" s="25" t="s">
        <v>520</v>
      </c>
    </row>
    <row r="44" customFormat="false" ht="15" hidden="false" customHeight="false" outlineLevel="0" collapsed="false">
      <c r="A44" s="5" t="s">
        <v>521</v>
      </c>
      <c r="E44" s="9" t="n">
        <f aca="false">E43*Assumptions!$C$69</f>
        <v>62.79455</v>
      </c>
      <c r="F44" s="9" t="n">
        <f aca="false">F43*Assumptions!$C$69</f>
        <v>48.84185</v>
      </c>
      <c r="G44" s="9" t="n">
        <f aca="false">G43*Assumptions!$C$69</f>
        <v>20.93275</v>
      </c>
      <c r="H44" s="9" t="n">
        <f aca="false">H43*Assumptions!$C$69</f>
        <v>0</v>
      </c>
      <c r="I44" s="9" t="n">
        <f aca="false">I43*Assumptions!$C$69</f>
        <v>0</v>
      </c>
      <c r="J44" s="25" t="s">
        <v>522</v>
      </c>
    </row>
    <row r="46" customFormat="false" ht="15.75" hidden="false" customHeight="true" outlineLevel="0" collapsed="false">
      <c r="A46" s="51" t="s">
        <v>528</v>
      </c>
      <c r="B46" s="51"/>
      <c r="C46" s="51"/>
      <c r="D46" s="51"/>
      <c r="E46" s="51"/>
      <c r="F46" s="51"/>
      <c r="G46" s="51"/>
      <c r="H46" s="51"/>
      <c r="I46" s="51"/>
      <c r="J46" s="51"/>
    </row>
    <row r="47" customFormat="false" ht="15" hidden="false" customHeight="false" outlineLevel="0" collapsed="false">
      <c r="A47" s="5" t="s">
        <v>505</v>
      </c>
      <c r="E47" s="9" t="n">
        <f aca="false">D50</f>
        <v>11.8</v>
      </c>
      <c r="F47" s="9" t="n">
        <f aca="false">E50</f>
        <v>9.4</v>
      </c>
      <c r="G47" s="9" t="n">
        <f aca="false">F50</f>
        <v>7</v>
      </c>
      <c r="H47" s="9" t="n">
        <f aca="false">G50</f>
        <v>4.6</v>
      </c>
      <c r="I47" s="9" t="n">
        <f aca="false">H50</f>
        <v>2.2</v>
      </c>
      <c r="J47" s="25" t="s">
        <v>506</v>
      </c>
    </row>
    <row r="48" customFormat="false" ht="15" hidden="false" customHeight="false" outlineLevel="0" collapsed="false">
      <c r="A48" s="5" t="s">
        <v>507</v>
      </c>
      <c r="E48" s="9" t="n">
        <f aca="false">Assumptions!C$66</f>
        <v>2.4</v>
      </c>
      <c r="F48" s="9" t="n">
        <f aca="false">Assumptions!D$66</f>
        <v>2.4</v>
      </c>
      <c r="G48" s="9" t="n">
        <f aca="false">Assumptions!E$66</f>
        <v>2.4</v>
      </c>
      <c r="H48" s="9" t="n">
        <f aca="false">Assumptions!F$66</f>
        <v>2.4</v>
      </c>
      <c r="I48" s="9" t="n">
        <f aca="false">Assumptions!G$66</f>
        <v>2.4</v>
      </c>
      <c r="J48" s="25" t="s">
        <v>529</v>
      </c>
    </row>
    <row r="49" customFormat="false" ht="15" hidden="false" customHeight="false" outlineLevel="0" collapsed="false">
      <c r="A49" s="5" t="s">
        <v>509</v>
      </c>
      <c r="E49" s="9" t="n">
        <f aca="false">MIN(E48,E47)</f>
        <v>2.4</v>
      </c>
      <c r="F49" s="9" t="n">
        <f aca="false">MIN(F48,F47)</f>
        <v>2.4</v>
      </c>
      <c r="G49" s="9" t="n">
        <f aca="false">MIN(G48,G47)</f>
        <v>2.4</v>
      </c>
      <c r="H49" s="9" t="n">
        <f aca="false">MIN(H48,H47)</f>
        <v>2.4</v>
      </c>
      <c r="I49" s="9" t="n">
        <f aca="false">MIN(I48,I47)</f>
        <v>2.2</v>
      </c>
      <c r="J49" s="25" t="s">
        <v>510</v>
      </c>
    </row>
    <row r="50" customFormat="false" ht="15" hidden="false" customHeight="false" outlineLevel="0" collapsed="false">
      <c r="A50" s="3" t="s">
        <v>517</v>
      </c>
      <c r="D50" s="9" t="n">
        <f aca="false">BS!D32</f>
        <v>11.8</v>
      </c>
      <c r="E50" s="9" t="n">
        <f aca="false">E47-E49</f>
        <v>9.4</v>
      </c>
      <c r="F50" s="9" t="n">
        <f aca="false">F47-F49</f>
        <v>7</v>
      </c>
      <c r="G50" s="9" t="n">
        <f aca="false">G47-G49</f>
        <v>4.6</v>
      </c>
      <c r="H50" s="9" t="n">
        <f aca="false">H47-H49</f>
        <v>2.2</v>
      </c>
      <c r="I50" s="9" t="n">
        <f aca="false">I47-I49</f>
        <v>0</v>
      </c>
      <c r="J50" s="25" t="s">
        <v>525</v>
      </c>
    </row>
    <row r="51" customFormat="false" ht="15" hidden="false" customHeight="false" outlineLevel="0" collapsed="false">
      <c r="A51" s="5" t="s">
        <v>519</v>
      </c>
      <c r="E51" s="9" t="n">
        <f aca="false">(E47+E50)/2</f>
        <v>10.6</v>
      </c>
      <c r="F51" s="9" t="n">
        <f aca="false">(F47+F50)/2</f>
        <v>8.2</v>
      </c>
      <c r="G51" s="9" t="n">
        <f aca="false">(G47+G50)/2</f>
        <v>5.8</v>
      </c>
      <c r="H51" s="9" t="n">
        <f aca="false">(H47+H50)/2</f>
        <v>3.4</v>
      </c>
      <c r="I51" s="9" t="n">
        <f aca="false">(I47+I50)/2</f>
        <v>1.1</v>
      </c>
      <c r="J51" s="25" t="s">
        <v>520</v>
      </c>
    </row>
    <row r="52" customFormat="false" ht="15" hidden="false" customHeight="false" outlineLevel="0" collapsed="false">
      <c r="A52" s="5" t="s">
        <v>521</v>
      </c>
      <c r="E52" s="9" t="n">
        <f aca="false">E51*Assumptions!$C$70</f>
        <v>0.477</v>
      </c>
      <c r="F52" s="9" t="n">
        <f aca="false">F51*Assumptions!$C$70</f>
        <v>0.369</v>
      </c>
      <c r="G52" s="9" t="n">
        <f aca="false">G51*Assumptions!$C$70</f>
        <v>0.261</v>
      </c>
      <c r="H52" s="9" t="n">
        <f aca="false">H51*Assumptions!$C$70</f>
        <v>0.153</v>
      </c>
      <c r="I52" s="9" t="n">
        <f aca="false">I51*Assumptions!$C$70</f>
        <v>0.0495</v>
      </c>
      <c r="J52" s="25" t="s">
        <v>522</v>
      </c>
    </row>
    <row r="54" customFormat="false" ht="15.75" hidden="false" customHeight="true" outlineLevel="0" collapsed="false">
      <c r="A54" s="26" t="s">
        <v>530</v>
      </c>
      <c r="B54" s="26"/>
      <c r="C54" s="26"/>
      <c r="D54" s="26"/>
      <c r="E54" s="26"/>
      <c r="F54" s="26"/>
      <c r="G54" s="26"/>
      <c r="H54" s="26"/>
      <c r="I54" s="26"/>
      <c r="J54" s="26"/>
    </row>
    <row r="55" customFormat="false" ht="15" hidden="false" customHeight="false" outlineLevel="0" collapsed="false">
      <c r="A55" s="5" t="s">
        <v>531</v>
      </c>
      <c r="D55" s="9" t="n">
        <f aca="false">D56</f>
        <v>4567.5</v>
      </c>
      <c r="E55" s="9" t="n">
        <f aca="false">E18+E29+E37+E47</f>
        <v>4567.5</v>
      </c>
      <c r="F55" s="9" t="n">
        <f aca="false">F18+F29+F37+F47</f>
        <v>2790.15357980807</v>
      </c>
      <c r="G55" s="9" t="n">
        <f aca="false">G18+G29+G37+G47</f>
        <v>1951.93401920682</v>
      </c>
      <c r="H55" s="9" t="n">
        <f aca="false">H18+H29+H37+H47</f>
        <v>204.7</v>
      </c>
      <c r="I55" s="9" t="n">
        <f aca="false">I18+I29+I37+I47</f>
        <v>102.3</v>
      </c>
      <c r="J55" s="25" t="s">
        <v>532</v>
      </c>
    </row>
    <row r="56" customFormat="false" ht="15" hidden="false" customHeight="false" outlineLevel="0" collapsed="false">
      <c r="A56" s="3" t="s">
        <v>533</v>
      </c>
      <c r="D56" s="9" t="n">
        <f aca="false">D24+D32+D42+D50</f>
        <v>4567.5</v>
      </c>
      <c r="E56" s="9" t="n">
        <f aca="false">E24+E32+E42+E50</f>
        <v>2790.15357980807</v>
      </c>
      <c r="F56" s="9" t="n">
        <f aca="false">F24+F32+F42+F50</f>
        <v>1951.93401920682</v>
      </c>
      <c r="G56" s="9" t="n">
        <f aca="false">G24+G32+G42+G50</f>
        <v>204.7</v>
      </c>
      <c r="H56" s="9" t="n">
        <f aca="false">H24+H32+H42+H50</f>
        <v>102.3</v>
      </c>
      <c r="I56" s="9" t="n">
        <f aca="false">I24+I32+I42+I50</f>
        <v>0.100000000000023</v>
      </c>
      <c r="J56" s="25" t="s">
        <v>534</v>
      </c>
    </row>
    <row r="57" customFormat="false" ht="15" hidden="false" customHeight="false" outlineLevel="0" collapsed="false">
      <c r="A57" s="5" t="s">
        <v>535</v>
      </c>
      <c r="E57" s="9" t="n">
        <f aca="false">E56-E55</f>
        <v>-1777.34642019193</v>
      </c>
      <c r="F57" s="9" t="n">
        <f aca="false">F56-F55</f>
        <v>-838.219560601257</v>
      </c>
      <c r="G57" s="9" t="n">
        <f aca="false">G56-G55</f>
        <v>-1747.23401920682</v>
      </c>
      <c r="H57" s="9" t="n">
        <f aca="false">H56-H55</f>
        <v>-102.4</v>
      </c>
      <c r="I57" s="9" t="n">
        <f aca="false">I56-I55</f>
        <v>-102.2</v>
      </c>
      <c r="J57" s="25" t="s">
        <v>536</v>
      </c>
    </row>
    <row r="58" customFormat="false" ht="15" hidden="false" customHeight="false" outlineLevel="0" collapsed="false">
      <c r="A58" s="5" t="s">
        <v>537</v>
      </c>
      <c r="E58" s="9" t="n">
        <f aca="false">E23+E41</f>
        <v>1297.84642019193</v>
      </c>
      <c r="F58" s="9" t="n">
        <f aca="false">F23+F41</f>
        <v>358.719560601257</v>
      </c>
      <c r="G58" s="9" t="n">
        <f aca="false">G23+G41</f>
        <v>1267.73401920682</v>
      </c>
      <c r="H58" s="9" t="n">
        <f aca="false">H23+H41</f>
        <v>0</v>
      </c>
      <c r="I58" s="9" t="n">
        <f aca="false">I23+I41</f>
        <v>0</v>
      </c>
      <c r="J58" s="25" t="s">
        <v>538</v>
      </c>
    </row>
    <row r="59" customFormat="false" ht="15" hidden="false" customHeight="false" outlineLevel="0" collapsed="false">
      <c r="A59" s="5" t="s">
        <v>539</v>
      </c>
      <c r="E59" s="9" t="n">
        <f aca="false">E15-E58</f>
        <v>0</v>
      </c>
      <c r="F59" s="9" t="n">
        <f aca="false">F15-F58</f>
        <v>0</v>
      </c>
      <c r="G59" s="9" t="n">
        <f aca="false">G15-G58</f>
        <v>1071.04471700783</v>
      </c>
      <c r="H59" s="9" t="n">
        <f aca="false">H15-H58</f>
        <v>4937.21781861572</v>
      </c>
      <c r="I59" s="9" t="n">
        <f aca="false">I15-I58</f>
        <v>7389.28634906777</v>
      </c>
      <c r="J59" s="25" t="s">
        <v>540</v>
      </c>
    </row>
    <row r="60" customFormat="false" ht="15" hidden="false" customHeight="false" outlineLevel="0" collapsed="false">
      <c r="A60" s="5" t="s">
        <v>541</v>
      </c>
      <c r="E60" s="9" t="n">
        <f aca="false">D61</f>
        <v>0</v>
      </c>
      <c r="F60" s="9" t="n">
        <f aca="false">E61</f>
        <v>0</v>
      </c>
      <c r="G60" s="9" t="n">
        <f aca="false">F61</f>
        <v>0</v>
      </c>
      <c r="H60" s="9" t="n">
        <f aca="false">G61</f>
        <v>1071.04471700783</v>
      </c>
      <c r="I60" s="9" t="n">
        <f aca="false">H61</f>
        <v>6008.26253562355</v>
      </c>
      <c r="J60" s="27" t="s">
        <v>542</v>
      </c>
    </row>
    <row r="61" customFormat="false" ht="15" hidden="false" customHeight="false" outlineLevel="0" collapsed="false">
      <c r="A61" s="5" t="s">
        <v>543</v>
      </c>
      <c r="D61" s="9" t="n">
        <f aca="false">BS!D5</f>
        <v>0</v>
      </c>
      <c r="E61" s="9" t="n">
        <f aca="false">E60+E59</f>
        <v>0</v>
      </c>
      <c r="F61" s="9" t="n">
        <f aca="false">F60+F59</f>
        <v>0</v>
      </c>
      <c r="G61" s="9" t="n">
        <f aca="false">G60+G59</f>
        <v>1071.04471700783</v>
      </c>
      <c r="H61" s="9" t="n">
        <f aca="false">H60+H59</f>
        <v>6008.26253562355</v>
      </c>
      <c r="I61" s="9" t="n">
        <f aca="false">I60+I59</f>
        <v>13397.5488846913</v>
      </c>
      <c r="J61" s="25" t="s">
        <v>544</v>
      </c>
    </row>
    <row r="62" customFormat="false" ht="15" hidden="false" customHeight="false" outlineLevel="0" collapsed="false">
      <c r="A62" s="5" t="s">
        <v>545</v>
      </c>
      <c r="E62" s="9" t="n">
        <f aca="false">E61-E60</f>
        <v>0</v>
      </c>
      <c r="F62" s="9" t="n">
        <f aca="false">F61-F60</f>
        <v>0</v>
      </c>
      <c r="G62" s="9" t="n">
        <f aca="false">G61-G60</f>
        <v>1071.04471700783</v>
      </c>
      <c r="H62" s="9" t="n">
        <f aca="false">H61-H60</f>
        <v>4937.21781861572</v>
      </c>
      <c r="I62" s="9" t="n">
        <f aca="false">I61-I60</f>
        <v>7389.28634906777</v>
      </c>
      <c r="J62" s="25" t="s">
        <v>546</v>
      </c>
    </row>
    <row r="63" customFormat="false" ht="15" hidden="false" customHeight="false" outlineLevel="0" collapsed="false">
      <c r="A63" s="3" t="s">
        <v>547</v>
      </c>
      <c r="D63" s="9" t="n">
        <f aca="false">BS!D4</f>
        <v>2579.1</v>
      </c>
      <c r="E63" s="9" t="n">
        <f aca="false">E12+E14-E58-E59</f>
        <v>525.65730824</v>
      </c>
      <c r="F63" s="9" t="n">
        <f aca="false">F12+F14-F58-F59</f>
        <v>756.032455856</v>
      </c>
      <c r="G63" s="9" t="n">
        <f aca="false">G12+G14-G58-G59</f>
        <v>1066.97231654864</v>
      </c>
      <c r="H63" s="9" t="n">
        <f aca="false">H12+H14-H58-H59</f>
        <v>1340.19613506997</v>
      </c>
      <c r="I63" s="9" t="n">
        <f aca="false">I12+I14-I58-I59</f>
        <v>1565.36528434696</v>
      </c>
      <c r="J63" s="25" t="s">
        <v>548</v>
      </c>
    </row>
    <row r="64" customFormat="false" ht="15" hidden="false" customHeight="false" outlineLevel="0" collapsed="false">
      <c r="A64" s="5" t="s">
        <v>549</v>
      </c>
      <c r="E64" s="9" t="n">
        <f aca="false">E130</f>
        <v>124.204254148073</v>
      </c>
      <c r="F64" s="9" t="n">
        <f aca="false">F130</f>
        <v>81.8950644252685</v>
      </c>
      <c r="G64" s="9" t="n">
        <f aca="false">G130</f>
        <v>37.3971602881023</v>
      </c>
      <c r="H64" s="9" t="n">
        <f aca="false">H130</f>
        <v>5.2564</v>
      </c>
      <c r="I64" s="9" t="n">
        <f aca="false">I130</f>
        <v>1.7529</v>
      </c>
      <c r="J64" s="25" t="s">
        <v>550</v>
      </c>
    </row>
    <row r="65" customFormat="false" ht="15" hidden="false" customHeight="false" outlineLevel="0" collapsed="false">
      <c r="A65" s="5" t="s">
        <v>551</v>
      </c>
      <c r="E65" s="9" t="n">
        <f aca="false">E132</f>
        <v>18.62854384944</v>
      </c>
      <c r="F65" s="9" t="n">
        <f aca="false">F132</f>
        <v>7.690138584576</v>
      </c>
      <c r="G65" s="9" t="n">
        <f aca="false">G132</f>
        <v>10.9380286344278</v>
      </c>
      <c r="H65" s="9" t="n">
        <f aca="false">H132</f>
        <v>14.4430107097117</v>
      </c>
      <c r="I65" s="9" t="n">
        <f aca="false">I132</f>
        <v>17.4333685165016</v>
      </c>
      <c r="J65" s="25" t="s">
        <v>552</v>
      </c>
    </row>
    <row r="66" customFormat="false" ht="15" hidden="false" customHeight="false" outlineLevel="0" collapsed="false">
      <c r="A66" s="5" t="s">
        <v>553</v>
      </c>
      <c r="E66" s="9" t="n">
        <f aca="false">Assumptions!$C$72</f>
        <v>30</v>
      </c>
      <c r="F66" s="9" t="n">
        <f aca="false">Assumptions!$C$72</f>
        <v>30</v>
      </c>
      <c r="G66" s="9" t="n">
        <f aca="false">Assumptions!$C$72</f>
        <v>30</v>
      </c>
      <c r="H66" s="9" t="n">
        <f aca="false">Assumptions!$C$72</f>
        <v>30</v>
      </c>
      <c r="I66" s="9" t="n">
        <f aca="false">Assumptions!$C$72</f>
        <v>30</v>
      </c>
      <c r="J66" s="25" t="s">
        <v>554</v>
      </c>
    </row>
    <row r="67" customFormat="false" ht="15" hidden="false" customHeight="false" outlineLevel="0" collapsed="false">
      <c r="A67" s="3" t="s">
        <v>555</v>
      </c>
      <c r="E67" s="9" t="n">
        <f aca="false">E133</f>
        <v>135.575710298633</v>
      </c>
      <c r="F67" s="9" t="n">
        <f aca="false">F133</f>
        <v>104.204925840692</v>
      </c>
      <c r="G67" s="9" t="n">
        <f aca="false">G133</f>
        <v>56.4591316536744</v>
      </c>
      <c r="H67" s="9" t="n">
        <f aca="false">H133</f>
        <v>20.8133892902883</v>
      </c>
      <c r="I67" s="9" t="n">
        <f aca="false">I133</f>
        <v>14.3195314834984</v>
      </c>
      <c r="J67" s="25" t="s">
        <v>556</v>
      </c>
    </row>
    <row r="69" customFormat="false" ht="15.75" hidden="false" customHeight="true" outlineLevel="0" collapsed="false">
      <c r="A69" s="26" t="s">
        <v>557</v>
      </c>
      <c r="B69" s="26"/>
      <c r="C69" s="26"/>
      <c r="D69" s="26"/>
      <c r="E69" s="26"/>
      <c r="F69" s="26"/>
      <c r="G69" s="26"/>
      <c r="H69" s="26"/>
      <c r="I69" s="26"/>
      <c r="J69" s="26"/>
    </row>
    <row r="70" customFormat="false" ht="30" hidden="false" customHeight="true" outlineLevel="0" collapsed="false">
      <c r="A70" s="13" t="s">
        <v>558</v>
      </c>
      <c r="B70" s="13"/>
      <c r="C70" s="13"/>
      <c r="D70" s="13"/>
      <c r="E70" s="13"/>
      <c r="F70" s="13"/>
      <c r="G70" s="13"/>
      <c r="H70" s="13"/>
      <c r="I70" s="13"/>
      <c r="J70" s="13"/>
    </row>
    <row r="71" customFormat="false" ht="15.75" hidden="false" customHeight="true" outlineLevel="0" collapsed="false">
      <c r="A71" s="51" t="s">
        <v>559</v>
      </c>
      <c r="B71" s="51"/>
      <c r="C71" s="51"/>
      <c r="D71" s="51"/>
      <c r="E71" s="51"/>
      <c r="F71" s="51"/>
      <c r="G71" s="51"/>
      <c r="H71" s="51"/>
      <c r="I71" s="51"/>
      <c r="J71" s="51"/>
    </row>
    <row r="72" customFormat="false" ht="15" hidden="false" customHeight="false" outlineLevel="0" collapsed="false">
      <c r="A72" s="4" t="s">
        <v>560</v>
      </c>
      <c r="E72" s="9" t="n">
        <f aca="false">E18*Assumptions!$C$67+E29*Assumptions!$C$68+E37*Assumptions!$C$69+E47*Assumptions!$C$70</f>
        <v>152.4023</v>
      </c>
      <c r="F72" s="9" t="n">
        <f aca="false">F18*Assumptions!$C$67+F29*Assumptions!$C$68+F37*Assumptions!$C$69+F47*Assumptions!$C$70</f>
        <v>96.0062073942422</v>
      </c>
      <c r="G72" s="9" t="n">
        <f aca="false">G18*Assumptions!$C$67+G29*Assumptions!$C$68+G37*Assumptions!$C$69+G47*Assumptions!$C$70</f>
        <v>67.7839205762045</v>
      </c>
      <c r="H72" s="9" t="n">
        <f aca="false">H18*Assumptions!$C$67+H29*Assumptions!$C$68+H37*Assumptions!$C$69+H47*Assumptions!$C$70</f>
        <v>7.0104</v>
      </c>
      <c r="I72" s="9" t="n">
        <f aca="false">I18*Assumptions!$C$67+I29*Assumptions!$C$68+I37*Assumptions!$C$69+I47*Assumptions!$C$70</f>
        <v>3.5024</v>
      </c>
    </row>
    <row r="73" customFormat="false" ht="15" hidden="false" customHeight="false" outlineLevel="0" collapsed="false">
      <c r="A73" s="4" t="s">
        <v>561</v>
      </c>
      <c r="E73" s="9" t="n">
        <f aca="false">E6*Assumptions!$C$71</f>
        <v>30.9492</v>
      </c>
      <c r="F73" s="9" t="n">
        <f aca="false">F6*Assumptions!$C$71</f>
        <v>6.30788769888</v>
      </c>
      <c r="G73" s="9" t="n">
        <f aca="false">G6*Assumptions!$C$71</f>
        <v>9.072389470272</v>
      </c>
      <c r="H73" s="9" t="n">
        <f aca="false">H6*Assumptions!$C$71</f>
        <v>12.8036677985837</v>
      </c>
      <c r="I73" s="9" t="n">
        <f aca="false">I6*Assumptions!$C$71</f>
        <v>16.0823536208397</v>
      </c>
    </row>
    <row r="74" customFormat="false" ht="15" hidden="false" customHeight="false" outlineLevel="0" collapsed="false">
      <c r="A74" s="4" t="s">
        <v>562</v>
      </c>
      <c r="E74" s="9" t="n">
        <f aca="false">E72-E73+E66</f>
        <v>151.4531</v>
      </c>
      <c r="F74" s="9" t="n">
        <f aca="false">F72-F73+F66</f>
        <v>119.698319695362</v>
      </c>
      <c r="G74" s="9" t="n">
        <f aca="false">G72-G73+G66</f>
        <v>88.7115311059325</v>
      </c>
      <c r="H74" s="9" t="n">
        <f aca="false">H72-H73+H66</f>
        <v>24.2067322014163</v>
      </c>
      <c r="I74" s="9" t="n">
        <f aca="false">I72-I73+I66</f>
        <v>17.4200463791603</v>
      </c>
    </row>
    <row r="75" customFormat="false" ht="15" hidden="false" customHeight="false" outlineLevel="0" collapsed="false">
      <c r="A75" s="4" t="s">
        <v>563</v>
      </c>
      <c r="E75" s="9" t="n">
        <f aca="false">(IS!E7-IS!E9-IS!E10-IS!E11-IS!E12+IS!E14+IS!E16-E74)*(1-Assumptions!C$37)*(1-Assumptions!C$38)</f>
        <v>5278.68907105288</v>
      </c>
      <c r="F75" s="9" t="n">
        <f aca="false">(IS!F7-IS!F9-IS!F10-IS!F11-IS!F12+IS!F14+IS!F16-F74)*(1-Assumptions!D$37)*(1-Assumptions!D$38)</f>
        <v>8093.2860181021</v>
      </c>
      <c r="G75" s="9" t="n">
        <f aca="false">(IS!G7-IS!G9-IS!G10-IS!G11-IS!G12+IS!G14+IS!G16-G74)*(1-Assumptions!E$37)*(1-Assumptions!E$38)</f>
        <v>11883.4083910081</v>
      </c>
      <c r="H75" s="9" t="n">
        <f aca="false">(IS!H7-IS!H9-IS!H10-IS!H11-IS!H12+IS!H14+IS!H16-H74)*(1-Assumptions!F$37)*(1-Assumptions!F$38)</f>
        <v>14821.2028282968</v>
      </c>
      <c r="I75" s="9" t="n">
        <f aca="false">(IS!I7-IS!I9-IS!I10-IS!I11-IS!I12+IS!I14+IS!I16-I74)*(1-Assumptions!G$37)*(1-Assumptions!G$38)</f>
        <v>17053.2856368631</v>
      </c>
    </row>
    <row r="76" customFormat="false" ht="15" hidden="false" customHeight="false" outlineLevel="0" collapsed="false">
      <c r="A76" s="4" t="s">
        <v>564</v>
      </c>
      <c r="E76" s="9" t="n">
        <f aca="false">E75+PPE!E19+E72-Schedules!E18</f>
        <v>5388.69437249983</v>
      </c>
      <c r="F76" s="9" t="n">
        <f aca="false">F75+PPE!F19+F72-Schedules!F18</f>
        <v>8064.12354174633</v>
      </c>
      <c r="G76" s="9" t="n">
        <f aca="false">G75+PPE!G19+G72-Schedules!G18</f>
        <v>11768.9644475639</v>
      </c>
      <c r="H76" s="9" t="n">
        <f aca="false">H75+PPE!H19+H72-Schedules!H18</f>
        <v>15500.2141525847</v>
      </c>
      <c r="I76" s="9" t="n">
        <f aca="false">I75+PPE!I19+I72-Schedules!I18</f>
        <v>18552.0687079608</v>
      </c>
    </row>
    <row r="77" customFormat="false" ht="15" hidden="false" customHeight="false" outlineLevel="0" collapsed="false">
      <c r="A77" s="4" t="s">
        <v>565</v>
      </c>
      <c r="E77" s="9" t="n">
        <f aca="false">E6+E76+E8+E9-E72+E11</f>
        <v>1809.71739095423</v>
      </c>
      <c r="F77" s="9" t="n">
        <f aca="false">F6+F76+F8+F9-F72+F11</f>
        <v>1101.29910257325</v>
      </c>
      <c r="G77" s="9" t="n">
        <f aca="false">G6+G76+G8+G9-G72+G11</f>
        <v>3377.74629431889</v>
      </c>
      <c r="H77" s="9" t="n">
        <f aca="false">H6+H76+H8+H9-H72+H11</f>
        <v>6274.46751403596</v>
      </c>
      <c r="I77" s="9" t="n">
        <f aca="false">I6+I76+I8+I9-I72+I11</f>
        <v>8951.95945633083</v>
      </c>
    </row>
    <row r="78" customFormat="false" ht="15" hidden="false" customHeight="false" outlineLevel="0" collapsed="false">
      <c r="A78" s="4" t="s">
        <v>566</v>
      </c>
      <c r="E78" s="9" t="n">
        <f aca="false">MAX(0,E13-E77)</f>
        <v>0</v>
      </c>
      <c r="F78" s="9" t="n">
        <f aca="false">MAX(0,F13-F77)</f>
        <v>0</v>
      </c>
      <c r="G78" s="9" t="n">
        <f aca="false">MAX(0,G13-G77)</f>
        <v>0</v>
      </c>
      <c r="H78" s="9" t="n">
        <f aca="false">MAX(0,H13-H77)</f>
        <v>0</v>
      </c>
      <c r="I78" s="9" t="n">
        <f aca="false">MAX(0,I13-I77)</f>
        <v>0</v>
      </c>
    </row>
    <row r="79" customFormat="false" ht="15" hidden="false" customHeight="false" outlineLevel="0" collapsed="false">
      <c r="A79" s="4" t="s">
        <v>567</v>
      </c>
      <c r="E79" s="9" t="n">
        <f aca="false">MAX(0,E77+E78-E13)</f>
        <v>1284.06008271423</v>
      </c>
      <c r="F79" s="9" t="n">
        <f aca="false">MAX(0,F77+F78-F13)</f>
        <v>345.266646717245</v>
      </c>
      <c r="G79" s="9" t="n">
        <f aca="false">MAX(0,G77+G78-G13)</f>
        <v>2310.77397777025</v>
      </c>
      <c r="H79" s="9" t="n">
        <f aca="false">MAX(0,H77+H78-H13)</f>
        <v>4934.27137896599</v>
      </c>
      <c r="I79" s="9" t="n">
        <f aca="false">MAX(0,I77+I78-I13)</f>
        <v>7386.59417198387</v>
      </c>
    </row>
    <row r="80" customFormat="false" ht="15" hidden="false" customHeight="false" outlineLevel="0" collapsed="false">
      <c r="A80" s="4" t="s">
        <v>568</v>
      </c>
      <c r="E80" s="9" t="n">
        <f aca="false">(E18-E20+E78)-MIN(E79,E18-E20+E78)</f>
        <v>885.839917285773</v>
      </c>
      <c r="F80" s="9" t="n">
        <f aca="false">(F18-F20+F78)-MIN(F79,F18-F20+F78)</f>
        <v>526.78693309083</v>
      </c>
      <c r="G80" s="9" t="n">
        <f aca="false">(G18-G20+G78)-MIN(G79,G18-G20+G78)</f>
        <v>0</v>
      </c>
      <c r="H80" s="9" t="n">
        <f aca="false">(H18-H20+H78)-MIN(H79,H18-H20+H78)</f>
        <v>0</v>
      </c>
      <c r="I80" s="9" t="n">
        <f aca="false">(I18-I20+I78)-MIN(I79,I18-I20+I78)</f>
        <v>0</v>
      </c>
    </row>
    <row r="81" customFormat="false" ht="15" hidden="false" customHeight="false" outlineLevel="0" collapsed="false">
      <c r="A81" s="4" t="s">
        <v>569</v>
      </c>
      <c r="E81" s="9" t="n">
        <f aca="false">(E37-E39)-MIN(E79-(E18-E20+E78-E80),E37-E39)</f>
        <v>1508.6</v>
      </c>
      <c r="F81" s="9" t="n">
        <f aca="false">(F37-F39)-MIN(F79-(F18-F20+F78-F80),F37-F39)</f>
        <v>1131.5</v>
      </c>
      <c r="G81" s="9" t="n">
        <f aca="false">(G37-G39)-MIN(G79-(G18-G20+G78-G80),G37-G39)</f>
        <v>0</v>
      </c>
      <c r="H81" s="9" t="n">
        <f aca="false">(H37-H39)-MIN(H79-(H18-H20+H78-H80),H37-H39)</f>
        <v>0</v>
      </c>
      <c r="I81" s="9" t="n">
        <f aca="false">(I37-I39)-MIN(I79-(I18-I20+I78-I80),I37-I39)</f>
        <v>0</v>
      </c>
    </row>
    <row r="82" customFormat="false" ht="15" hidden="false" customHeight="false" outlineLevel="0" collapsed="false">
      <c r="A82" s="4" t="s">
        <v>570</v>
      </c>
      <c r="E82" s="9" t="n">
        <f aca="false">(E18+E80)/2*Assumptions!$C$67+(E29+E32)/2*Assumptions!$C$68+(E37+E81)/2*Assumptions!$C$69+(E47+E50)/2*Assumptions!$C$70</f>
        <v>124.411048759287</v>
      </c>
      <c r="F82" s="9" t="n">
        <f aca="false">(F18+F80)/2*Assumptions!$C$67+(F29+F32)/2*Assumptions!$C$68+(F37+F81)/2*Assumptions!$C$69+(F47+F50)/2*Assumptions!$C$70</f>
        <v>82.0968576934836</v>
      </c>
      <c r="G82" s="9" t="n">
        <f aca="false">(G18+G80)/2*Assumptions!$C$67+(G29+G32)/2*Assumptions!$C$68+(G37+G81)/2*Assumptions!$C$69+(G47+G50)/2*Assumptions!$C$70</f>
        <v>37.3971602881023</v>
      </c>
      <c r="H82" s="9" t="n">
        <f aca="false">(H18+H80)/2*Assumptions!$C$67+(H29+H32)/2*Assumptions!$C$68+(H37+H81)/2*Assumptions!$C$69+(H47+H50)/2*Assumptions!$C$70</f>
        <v>5.2564</v>
      </c>
      <c r="I82" s="9" t="n">
        <f aca="false">(I18+I80)/2*Assumptions!$C$67+(I29+I32)/2*Assumptions!$C$68+(I37+I81)/2*Assumptions!$C$69+(I47+I50)/2*Assumptions!$C$70</f>
        <v>1.7529</v>
      </c>
    </row>
    <row r="83" customFormat="false" ht="15" hidden="false" customHeight="false" outlineLevel="0" collapsed="false">
      <c r="A83" s="4" t="s">
        <v>571</v>
      </c>
      <c r="E83" s="9" t="n">
        <f aca="false">E77+E78-E79</f>
        <v>525.65730824</v>
      </c>
      <c r="F83" s="9" t="n">
        <f aca="false">F77+F78-F79</f>
        <v>756.032455856</v>
      </c>
      <c r="G83" s="9" t="n">
        <f aca="false">G77+G78-G79</f>
        <v>1066.97231654864</v>
      </c>
      <c r="H83" s="9" t="n">
        <f aca="false">H77+H78-H79</f>
        <v>1340.19613506997</v>
      </c>
      <c r="I83" s="9" t="n">
        <f aca="false">I77+I78-I79</f>
        <v>1565.36528434696</v>
      </c>
    </row>
    <row r="84" customFormat="false" ht="15" hidden="false" customHeight="false" outlineLevel="0" collapsed="false">
      <c r="A84" s="4" t="s">
        <v>572</v>
      </c>
      <c r="E84" s="9" t="n">
        <f aca="false">(E6+E83)/2*Assumptions!$C$71</f>
        <v>18.62854384944</v>
      </c>
      <c r="F84" s="9" t="n">
        <f aca="false">(F6+F83)/2*Assumptions!$C$71</f>
        <v>7.690138584576</v>
      </c>
      <c r="G84" s="9" t="n">
        <f aca="false">(G6+G83)/2*Assumptions!$C$71</f>
        <v>10.9380286344278</v>
      </c>
      <c r="H84" s="9" t="n">
        <f aca="false">(H6+H83)/2*Assumptions!$C$71</f>
        <v>14.4430107097117</v>
      </c>
      <c r="I84" s="9" t="n">
        <f aca="false">(I6+I83)/2*Assumptions!$C$71</f>
        <v>17.4333685165016</v>
      </c>
    </row>
    <row r="85" customFormat="false" ht="15" hidden="false" customHeight="false" outlineLevel="0" collapsed="false">
      <c r="A85" s="4" t="s">
        <v>573</v>
      </c>
      <c r="E85" s="9" t="n">
        <f aca="false">E82-E84+E66</f>
        <v>135.782504909847</v>
      </c>
      <c r="F85" s="9" t="n">
        <f aca="false">F82-F84+F66</f>
        <v>104.406719108908</v>
      </c>
      <c r="G85" s="9" t="n">
        <f aca="false">G82-G84+G66</f>
        <v>56.4591316536744</v>
      </c>
      <c r="H85" s="9" t="n">
        <f aca="false">H82-H84+H66</f>
        <v>20.8133892902883</v>
      </c>
      <c r="I85" s="9" t="n">
        <f aca="false">I82-I84+I66</f>
        <v>14.3195314834984</v>
      </c>
    </row>
    <row r="86" customFormat="false" ht="15" hidden="false" customHeight="false" outlineLevel="0" collapsed="false">
      <c r="A86" s="10" t="s">
        <v>574</v>
      </c>
      <c r="E86" s="52" t="n">
        <f aca="false">ABS(E82-E72)+ABS(E84-E73)</f>
        <v>40.3119073912734</v>
      </c>
      <c r="F86" s="52" t="n">
        <f aca="false">ABS(F82-F72)+ABS(F84-F73)</f>
        <v>15.2916005864547</v>
      </c>
      <c r="G86" s="52" t="n">
        <f aca="false">ABS(G82-G72)+ABS(G84-G73)</f>
        <v>32.2523994522581</v>
      </c>
      <c r="H86" s="52" t="n">
        <f aca="false">ABS(H82-H72)+ABS(H84-H73)</f>
        <v>3.393342911128</v>
      </c>
      <c r="I86" s="52" t="n">
        <f aca="false">ABS(I82-I72)+ABS(I84-I73)</f>
        <v>3.10051489566189</v>
      </c>
    </row>
    <row r="87" customFormat="false" ht="15.75" hidden="false" customHeight="true" outlineLevel="0" collapsed="false">
      <c r="A87" s="51" t="s">
        <v>575</v>
      </c>
      <c r="B87" s="51"/>
      <c r="C87" s="51"/>
      <c r="D87" s="51"/>
      <c r="E87" s="51"/>
      <c r="F87" s="51"/>
      <c r="G87" s="51"/>
      <c r="H87" s="51"/>
      <c r="I87" s="51"/>
      <c r="J87" s="51"/>
    </row>
    <row r="88" customFormat="false" ht="15" hidden="false" customHeight="false" outlineLevel="0" collapsed="false">
      <c r="A88" s="4" t="s">
        <v>576</v>
      </c>
      <c r="E88" s="9" t="n">
        <f aca="false">E82</f>
        <v>124.411048759287</v>
      </c>
      <c r="F88" s="9" t="n">
        <f aca="false">F82</f>
        <v>82.0968576934836</v>
      </c>
      <c r="G88" s="9" t="n">
        <f aca="false">G82</f>
        <v>37.3971602881023</v>
      </c>
      <c r="H88" s="9" t="n">
        <f aca="false">H82</f>
        <v>5.2564</v>
      </c>
      <c r="I88" s="9" t="n">
        <f aca="false">I82</f>
        <v>1.7529</v>
      </c>
    </row>
    <row r="89" customFormat="false" ht="15" hidden="false" customHeight="false" outlineLevel="0" collapsed="false">
      <c r="A89" s="4" t="s">
        <v>577</v>
      </c>
      <c r="E89" s="9" t="n">
        <f aca="false">E84</f>
        <v>18.62854384944</v>
      </c>
      <c r="F89" s="9" t="n">
        <f aca="false">F84</f>
        <v>7.690138584576</v>
      </c>
      <c r="G89" s="9" t="n">
        <f aca="false">G84</f>
        <v>10.9380286344278</v>
      </c>
      <c r="H89" s="9" t="n">
        <f aca="false">H84</f>
        <v>14.4430107097117</v>
      </c>
      <c r="I89" s="9" t="n">
        <f aca="false">I84</f>
        <v>17.4333685165016</v>
      </c>
    </row>
    <row r="90" customFormat="false" ht="15" hidden="false" customHeight="false" outlineLevel="0" collapsed="false">
      <c r="A90" s="4" t="s">
        <v>578</v>
      </c>
      <c r="E90" s="9" t="n">
        <f aca="false">E88-E89+E66</f>
        <v>135.782504909847</v>
      </c>
      <c r="F90" s="9" t="n">
        <f aca="false">F88-F89+F66</f>
        <v>104.406719108908</v>
      </c>
      <c r="G90" s="9" t="n">
        <f aca="false">G88-G89+G66</f>
        <v>56.4591316536744</v>
      </c>
      <c r="H90" s="9" t="n">
        <f aca="false">H88-H89+H66</f>
        <v>20.8133892902883</v>
      </c>
      <c r="I90" s="9" t="n">
        <f aca="false">I88-I89+I66</f>
        <v>14.3195314834984</v>
      </c>
    </row>
    <row r="91" customFormat="false" ht="15" hidden="false" customHeight="false" outlineLevel="0" collapsed="false">
      <c r="A91" s="4" t="s">
        <v>579</v>
      </c>
      <c r="E91" s="9" t="n">
        <f aca="false">(IS!E7-IS!E9-IS!E10-IS!E11-IS!E12+IS!E14+IS!E16-E90)*(1-Assumptions!C$37)*(1-Assumptions!C$38)</f>
        <v>5292.29584876966</v>
      </c>
      <c r="F91" s="9" t="n">
        <f aca="false">(IS!F7-IS!F9-IS!F10-IS!F11-IS!F12+IS!F14+IS!F16-F90)*(1-Assumptions!D$37)*(1-Assumptions!D$38)</f>
        <v>8106.56371489132</v>
      </c>
      <c r="G91" s="9" t="n">
        <f aca="false">(IS!G7-IS!G9-IS!G10-IS!G11-IS!G12+IS!G14+IS!G16-G90)*(1-Assumptions!E$37)*(1-Assumptions!E$38)</f>
        <v>11911.4131494525</v>
      </c>
      <c r="H91" s="9" t="n">
        <f aca="false">(IS!H7-IS!H9-IS!H10-IS!H11-IS!H12+IS!H14+IS!H16-H90)*(1-Assumptions!F$37)*(1-Assumptions!F$38)</f>
        <v>14824.1492679465</v>
      </c>
      <c r="I91" s="9" t="n">
        <f aca="false">(IS!I7-IS!I9-IS!I10-IS!I11-IS!I12+IS!I14+IS!I16-I90)*(1-Assumptions!G$37)*(1-Assumptions!G$38)</f>
        <v>17055.977813947</v>
      </c>
    </row>
    <row r="92" customFormat="false" ht="15" hidden="false" customHeight="false" outlineLevel="0" collapsed="false">
      <c r="A92" s="4" t="s">
        <v>580</v>
      </c>
      <c r="E92" s="9" t="n">
        <f aca="false">E91+PPE!E19+E88-Schedules!E18</f>
        <v>5374.3098989759</v>
      </c>
      <c r="F92" s="9" t="n">
        <f aca="false">F91+PPE!F19+F88-Schedules!F18</f>
        <v>8063.49188883479</v>
      </c>
      <c r="G92" s="9" t="n">
        <f aca="false">G91+PPE!G19+G88-Schedules!G18</f>
        <v>11766.5824457202</v>
      </c>
      <c r="H92" s="9" t="n">
        <f aca="false">H91+PPE!H19+H88-Schedules!H18</f>
        <v>15501.4065922344</v>
      </c>
      <c r="I92" s="9" t="n">
        <f aca="false">I91+PPE!I19+I88-Schedules!I18</f>
        <v>18553.0113850447</v>
      </c>
    </row>
    <row r="93" customFormat="false" ht="15" hidden="false" customHeight="false" outlineLevel="0" collapsed="false">
      <c r="A93" s="4" t="s">
        <v>581</v>
      </c>
      <c r="E93" s="9" t="n">
        <f aca="false">E6+E92+E8+E9-E88+E11</f>
        <v>1823.32416867101</v>
      </c>
      <c r="F93" s="9" t="n">
        <f aca="false">F6+F92+F8+F9-F88+F11</f>
        <v>1114.57679936246</v>
      </c>
      <c r="G93" s="9" t="n">
        <f aca="false">G6+G92+G8+G9-G88+G11</f>
        <v>3405.75105276329</v>
      </c>
      <c r="H93" s="9" t="n">
        <f aca="false">H6+H92+H8+H9-H88+H11</f>
        <v>6277.41395368569</v>
      </c>
      <c r="I93" s="9" t="n">
        <f aca="false">I6+I92+I8+I9-I88+I11</f>
        <v>8954.65163341473</v>
      </c>
    </row>
    <row r="94" customFormat="false" ht="15" hidden="false" customHeight="false" outlineLevel="0" collapsed="false">
      <c r="A94" s="4" t="s">
        <v>582</v>
      </c>
      <c r="E94" s="9" t="n">
        <f aca="false">MAX(0,E13-E93)</f>
        <v>0</v>
      </c>
      <c r="F94" s="9" t="n">
        <f aca="false">MAX(0,F13-F93)</f>
        <v>0</v>
      </c>
      <c r="G94" s="9" t="n">
        <f aca="false">MAX(0,G13-G93)</f>
        <v>0</v>
      </c>
      <c r="H94" s="9" t="n">
        <f aca="false">MAX(0,H13-H93)</f>
        <v>0</v>
      </c>
      <c r="I94" s="9" t="n">
        <f aca="false">MAX(0,I13-I93)</f>
        <v>0</v>
      </c>
    </row>
    <row r="95" customFormat="false" ht="15" hidden="false" customHeight="false" outlineLevel="0" collapsed="false">
      <c r="A95" s="4" t="s">
        <v>583</v>
      </c>
      <c r="E95" s="9" t="n">
        <f aca="false">MAX(0,E93+E94-E13)</f>
        <v>1297.66686043101</v>
      </c>
      <c r="F95" s="9" t="n">
        <f aca="false">MAX(0,F93+F94-F13)</f>
        <v>358.544343506464</v>
      </c>
      <c r="G95" s="9" t="n">
        <f aca="false">MAX(0,G93+G94-G13)</f>
        <v>2338.77873621465</v>
      </c>
      <c r="H95" s="9" t="n">
        <f aca="false">MAX(0,H93+H94-H13)</f>
        <v>4937.21781861572</v>
      </c>
      <c r="I95" s="9" t="n">
        <f aca="false">MAX(0,I93+I94-I13)</f>
        <v>7389.28634906777</v>
      </c>
    </row>
    <row r="96" customFormat="false" ht="15" hidden="false" customHeight="false" outlineLevel="0" collapsed="false">
      <c r="A96" s="4" t="s">
        <v>584</v>
      </c>
      <c r="E96" s="9" t="n">
        <f aca="false">(E18-E20+E94)-MIN(E95,E18-E20+E94)</f>
        <v>872.233139568992</v>
      </c>
      <c r="F96" s="9" t="n">
        <f aca="false">(F18-F20+F94)-MIN(F95,F18-F20+F94)</f>
        <v>513.50923630161</v>
      </c>
      <c r="G96" s="9" t="n">
        <f aca="false">(G18-G20+G94)-MIN(G95,G18-G20+G94)</f>
        <v>0</v>
      </c>
      <c r="H96" s="9" t="n">
        <f aca="false">(H18-H20+H94)-MIN(H95,H18-H20+H94)</f>
        <v>0</v>
      </c>
      <c r="I96" s="9" t="n">
        <f aca="false">(I18-I20+I94)-MIN(I95,I18-I20+I94)</f>
        <v>0</v>
      </c>
    </row>
    <row r="97" customFormat="false" ht="15" hidden="false" customHeight="false" outlineLevel="0" collapsed="false">
      <c r="A97" s="4" t="s">
        <v>585</v>
      </c>
      <c r="E97" s="9" t="n">
        <f aca="false">(E37-E39)-MIN(E95-(E18-E20+E94-E96),E37-E39)</f>
        <v>1508.6</v>
      </c>
      <c r="F97" s="9" t="n">
        <f aca="false">(F37-F39)-MIN(F95-(F18-F20+F94-F96),F37-F39)</f>
        <v>1131.5</v>
      </c>
      <c r="G97" s="9" t="n">
        <f aca="false">(G37-G39)-MIN(G95-(G18-G20+G94-G96),G37-G39)</f>
        <v>0</v>
      </c>
      <c r="H97" s="9" t="n">
        <f aca="false">(H37-H39)-MIN(H95-(H18-H20+H94-H96),H37-H39)</f>
        <v>0</v>
      </c>
      <c r="I97" s="9" t="n">
        <f aca="false">(I37-I39)-MIN(I95-(I18-I20+I94-I96),I37-I39)</f>
        <v>0</v>
      </c>
    </row>
    <row r="98" customFormat="false" ht="15" hidden="false" customHeight="false" outlineLevel="0" collapsed="false">
      <c r="A98" s="4" t="s">
        <v>586</v>
      </c>
      <c r="E98" s="9" t="n">
        <f aca="false">(E18+E96)/2*Assumptions!$C$67+(E29+E32)/2*Assumptions!$C$68+(E37+E97)/2*Assumptions!$C$69+(E47+E50)/2*Assumptions!$C$70</f>
        <v>124.206947093535</v>
      </c>
      <c r="F98" s="9" t="n">
        <f aca="false">(F18+F96)/2*Assumptions!$C$67+(F29+F32)/2*Assumptions!$C$68+(F37+F97)/2*Assumptions!$C$69+(F47+F50)/2*Assumptions!$C$70</f>
        <v>81.8976922416453</v>
      </c>
      <c r="G98" s="9" t="n">
        <f aca="false">(G18+G96)/2*Assumptions!$C$67+(G29+G32)/2*Assumptions!$C$68+(G37+G97)/2*Assumptions!$C$69+(G47+G50)/2*Assumptions!$C$70</f>
        <v>37.3971602881023</v>
      </c>
      <c r="H98" s="9" t="n">
        <f aca="false">(H18+H96)/2*Assumptions!$C$67+(H29+H32)/2*Assumptions!$C$68+(H37+H97)/2*Assumptions!$C$69+(H47+H50)/2*Assumptions!$C$70</f>
        <v>5.2564</v>
      </c>
      <c r="I98" s="9" t="n">
        <f aca="false">(I18+I96)/2*Assumptions!$C$67+(I29+I32)/2*Assumptions!$C$68+(I37+I97)/2*Assumptions!$C$69+(I47+I50)/2*Assumptions!$C$70</f>
        <v>1.7529</v>
      </c>
    </row>
    <row r="99" customFormat="false" ht="15" hidden="false" customHeight="false" outlineLevel="0" collapsed="false">
      <c r="A99" s="4" t="s">
        <v>587</v>
      </c>
      <c r="E99" s="9" t="n">
        <f aca="false">E93+E94-E95</f>
        <v>525.65730824</v>
      </c>
      <c r="F99" s="9" t="n">
        <f aca="false">F93+F94-F95</f>
        <v>756.032455856</v>
      </c>
      <c r="G99" s="9" t="n">
        <f aca="false">G93+G94-G95</f>
        <v>1066.97231654864</v>
      </c>
      <c r="H99" s="9" t="n">
        <f aca="false">H93+H94-H95</f>
        <v>1340.19613506997</v>
      </c>
      <c r="I99" s="9" t="n">
        <f aca="false">I93+I94-I95</f>
        <v>1565.36528434696</v>
      </c>
    </row>
    <row r="100" customFormat="false" ht="15" hidden="false" customHeight="false" outlineLevel="0" collapsed="false">
      <c r="A100" s="4" t="s">
        <v>588</v>
      </c>
      <c r="E100" s="9" t="n">
        <f aca="false">(E6+E99)/2*Assumptions!$C$71</f>
        <v>18.62854384944</v>
      </c>
      <c r="F100" s="9" t="n">
        <f aca="false">(F6+F99)/2*Assumptions!$C$71</f>
        <v>7.690138584576</v>
      </c>
      <c r="G100" s="9" t="n">
        <f aca="false">(G6+G99)/2*Assumptions!$C$71</f>
        <v>10.9380286344278</v>
      </c>
      <c r="H100" s="9" t="n">
        <f aca="false">(H6+H99)/2*Assumptions!$C$71</f>
        <v>14.4430107097117</v>
      </c>
      <c r="I100" s="9" t="n">
        <f aca="false">(I6+I99)/2*Assumptions!$C$71</f>
        <v>17.4333685165016</v>
      </c>
    </row>
    <row r="101" customFormat="false" ht="15" hidden="false" customHeight="false" outlineLevel="0" collapsed="false">
      <c r="A101" s="4" t="s">
        <v>589</v>
      </c>
      <c r="E101" s="9" t="n">
        <f aca="false">E98-E100+E66</f>
        <v>135.578403244095</v>
      </c>
      <c r="F101" s="9" t="n">
        <f aca="false">F98-F100+F66</f>
        <v>104.207553657069</v>
      </c>
      <c r="G101" s="9" t="n">
        <f aca="false">G98-G100+G66</f>
        <v>56.4591316536744</v>
      </c>
      <c r="H101" s="9" t="n">
        <f aca="false">H98-H100+H66</f>
        <v>20.8133892902883</v>
      </c>
      <c r="I101" s="9" t="n">
        <f aca="false">I98-I100+I66</f>
        <v>14.3195314834984</v>
      </c>
    </row>
    <row r="102" customFormat="false" ht="15" hidden="false" customHeight="false" outlineLevel="0" collapsed="false">
      <c r="A102" s="10" t="s">
        <v>590</v>
      </c>
      <c r="E102" s="52" t="n">
        <f aca="false">ABS(E98-E88)+ABS(E100-E89)</f>
        <v>0.204101665751708</v>
      </c>
      <c r="F102" s="52" t="n">
        <f aca="false">ABS(F98-F88)+ABS(F100-F89)</f>
        <v>0.199165451838283</v>
      </c>
      <c r="G102" s="52" t="n">
        <f aca="false">ABS(G98-G88)+ABS(G100-G89)</f>
        <v>0</v>
      </c>
      <c r="H102" s="52" t="n">
        <f aca="false">ABS(H98-H88)+ABS(H100-H89)</f>
        <v>0</v>
      </c>
      <c r="I102" s="52" t="n">
        <f aca="false">ABS(I98-I88)+ABS(I100-I89)</f>
        <v>0</v>
      </c>
    </row>
    <row r="103" customFormat="false" ht="15.75" hidden="false" customHeight="true" outlineLevel="0" collapsed="false">
      <c r="A103" s="51" t="s">
        <v>591</v>
      </c>
      <c r="B103" s="51"/>
      <c r="C103" s="51"/>
      <c r="D103" s="51"/>
      <c r="E103" s="51"/>
      <c r="F103" s="51"/>
      <c r="G103" s="51"/>
      <c r="H103" s="51"/>
      <c r="I103" s="51"/>
      <c r="J103" s="51"/>
    </row>
    <row r="104" customFormat="false" ht="15" hidden="false" customHeight="false" outlineLevel="0" collapsed="false">
      <c r="A104" s="4" t="s">
        <v>592</v>
      </c>
      <c r="E104" s="9" t="n">
        <f aca="false">E98</f>
        <v>124.206947093535</v>
      </c>
      <c r="F104" s="9" t="n">
        <f aca="false">F98</f>
        <v>81.8976922416453</v>
      </c>
      <c r="G104" s="9" t="n">
        <f aca="false">G98</f>
        <v>37.3971602881023</v>
      </c>
      <c r="H104" s="9" t="n">
        <f aca="false">H98</f>
        <v>5.2564</v>
      </c>
      <c r="I104" s="9" t="n">
        <f aca="false">I98</f>
        <v>1.7529</v>
      </c>
    </row>
    <row r="105" customFormat="false" ht="15" hidden="false" customHeight="false" outlineLevel="0" collapsed="false">
      <c r="A105" s="4" t="s">
        <v>593</v>
      </c>
      <c r="E105" s="9" t="n">
        <f aca="false">E100</f>
        <v>18.62854384944</v>
      </c>
      <c r="F105" s="9" t="n">
        <f aca="false">F100</f>
        <v>7.690138584576</v>
      </c>
      <c r="G105" s="9" t="n">
        <f aca="false">G100</f>
        <v>10.9380286344278</v>
      </c>
      <c r="H105" s="9" t="n">
        <f aca="false">H100</f>
        <v>14.4430107097117</v>
      </c>
      <c r="I105" s="9" t="n">
        <f aca="false">I100</f>
        <v>17.4333685165016</v>
      </c>
    </row>
    <row r="106" customFormat="false" ht="15" hidden="false" customHeight="false" outlineLevel="0" collapsed="false">
      <c r="A106" s="4" t="s">
        <v>594</v>
      </c>
      <c r="E106" s="9" t="n">
        <f aca="false">E104-E105+E66</f>
        <v>135.578403244095</v>
      </c>
      <c r="F106" s="9" t="n">
        <f aca="false">F104-F105+F66</f>
        <v>104.207553657069</v>
      </c>
      <c r="G106" s="9" t="n">
        <f aca="false">G104-G105+G66</f>
        <v>56.4591316536744</v>
      </c>
      <c r="H106" s="9" t="n">
        <f aca="false">H104-H105+H66</f>
        <v>20.8133892902883</v>
      </c>
      <c r="I106" s="9" t="n">
        <f aca="false">I104-I105+I66</f>
        <v>14.3195314834984</v>
      </c>
    </row>
    <row r="107" customFormat="false" ht="15" hidden="false" customHeight="false" outlineLevel="0" collapsed="false">
      <c r="A107" s="4" t="s">
        <v>595</v>
      </c>
      <c r="E107" s="9" t="n">
        <f aca="false">(IS!E7-IS!E9-IS!E10-IS!E11-IS!E12+IS!E14+IS!E16-E106)*(1-Assumptions!C$37)*(1-Assumptions!C$38)</f>
        <v>5292.47307024603</v>
      </c>
      <c r="F107" s="9" t="n">
        <f aca="false">(IS!F7-IS!F9-IS!F10-IS!F11-IS!F12+IS!F14+IS!F16-F106)*(1-Assumptions!D$37)*(1-Assumptions!D$38)</f>
        <v>8106.73665025315</v>
      </c>
      <c r="G107" s="9" t="n">
        <f aca="false">(IS!G7-IS!G9-IS!G10-IS!G11-IS!G12+IS!G14+IS!G16-G106)*(1-Assumptions!E$37)*(1-Assumptions!E$38)</f>
        <v>11911.4131494525</v>
      </c>
      <c r="H107" s="9" t="n">
        <f aca="false">(IS!H7-IS!H9-IS!H10-IS!H11-IS!H12+IS!H14+IS!H16-H106)*(1-Assumptions!F$37)*(1-Assumptions!F$38)</f>
        <v>14824.1492679465</v>
      </c>
      <c r="I107" s="9" t="n">
        <f aca="false">(IS!I7-IS!I9-IS!I10-IS!I11-IS!I12+IS!I14+IS!I16-I106)*(1-Assumptions!G$37)*(1-Assumptions!G$38)</f>
        <v>17055.977813947</v>
      </c>
    </row>
    <row r="108" customFormat="false" ht="15" hidden="false" customHeight="false" outlineLevel="0" collapsed="false">
      <c r="A108" s="4" t="s">
        <v>596</v>
      </c>
      <c r="E108" s="9" t="n">
        <f aca="false">E107+PPE!E19+E104-Schedules!E18</f>
        <v>5374.28301878652</v>
      </c>
      <c r="F108" s="9" t="n">
        <f aca="false">F107+PPE!F19+F104-Schedules!F18</f>
        <v>8063.46565874478</v>
      </c>
      <c r="G108" s="9" t="n">
        <f aca="false">G107+PPE!G19+G104-Schedules!G18</f>
        <v>11766.5824457202</v>
      </c>
      <c r="H108" s="9" t="n">
        <f aca="false">H107+PPE!H19+H104-Schedules!H18</f>
        <v>15501.4065922344</v>
      </c>
      <c r="I108" s="9" t="n">
        <f aca="false">I107+PPE!I19+I104-Schedules!I18</f>
        <v>18553.0113850447</v>
      </c>
    </row>
    <row r="109" customFormat="false" ht="15" hidden="false" customHeight="false" outlineLevel="0" collapsed="false">
      <c r="A109" s="4" t="s">
        <v>597</v>
      </c>
      <c r="E109" s="9" t="n">
        <f aca="false">E6+E108+E8+E9-E104+E11</f>
        <v>1823.50139014738</v>
      </c>
      <c r="F109" s="9" t="n">
        <f aca="false">F6+F108+F8+F9-F104+F11</f>
        <v>1114.7497347243</v>
      </c>
      <c r="G109" s="9" t="n">
        <f aca="false">G6+G108+G8+G9-G104+G11</f>
        <v>3405.75105276329</v>
      </c>
      <c r="H109" s="9" t="n">
        <f aca="false">H6+H108+H8+H9-H104+H11</f>
        <v>6277.41395368569</v>
      </c>
      <c r="I109" s="9" t="n">
        <f aca="false">I6+I108+I8+I9-I104+I11</f>
        <v>8954.65163341473</v>
      </c>
    </row>
    <row r="110" customFormat="false" ht="15" hidden="false" customHeight="false" outlineLevel="0" collapsed="false">
      <c r="A110" s="4" t="s">
        <v>598</v>
      </c>
      <c r="E110" s="9" t="n">
        <f aca="false">MAX(0,E13-E109)</f>
        <v>0</v>
      </c>
      <c r="F110" s="9" t="n">
        <f aca="false">MAX(0,F13-F109)</f>
        <v>0</v>
      </c>
      <c r="G110" s="9" t="n">
        <f aca="false">MAX(0,G13-G109)</f>
        <v>0</v>
      </c>
      <c r="H110" s="9" t="n">
        <f aca="false">MAX(0,H13-H109)</f>
        <v>0</v>
      </c>
      <c r="I110" s="9" t="n">
        <f aca="false">MAX(0,I13-I109)</f>
        <v>0</v>
      </c>
    </row>
    <row r="111" customFormat="false" ht="15" hidden="false" customHeight="false" outlineLevel="0" collapsed="false">
      <c r="A111" s="4" t="s">
        <v>599</v>
      </c>
      <c r="E111" s="9" t="n">
        <f aca="false">MAX(0,E109+E110-E13)</f>
        <v>1297.84408190738</v>
      </c>
      <c r="F111" s="9" t="n">
        <f aca="false">MAX(0,F109+F110-F13)</f>
        <v>358.717278868296</v>
      </c>
      <c r="G111" s="9" t="n">
        <f aca="false">MAX(0,G109+G110-G13)</f>
        <v>2338.77873621465</v>
      </c>
      <c r="H111" s="9" t="n">
        <f aca="false">MAX(0,H109+H110-H13)</f>
        <v>4937.21781861572</v>
      </c>
      <c r="I111" s="9" t="n">
        <f aca="false">MAX(0,I109+I110-I13)</f>
        <v>7389.28634906777</v>
      </c>
    </row>
    <row r="112" customFormat="false" ht="15" hidden="false" customHeight="false" outlineLevel="0" collapsed="false">
      <c r="A112" s="4" t="s">
        <v>600</v>
      </c>
      <c r="E112" s="9" t="n">
        <f aca="false">(E18-E20+E110)-MIN(E111,E18-E20+E110)</f>
        <v>872.05591809262</v>
      </c>
      <c r="F112" s="9" t="n">
        <f aca="false">(F18-F20+F110)-MIN(F111,F18-F20+F110)</f>
        <v>513.336300939779</v>
      </c>
      <c r="G112" s="9" t="n">
        <f aca="false">(G18-G20+G110)-MIN(G111,G18-G20+G110)</f>
        <v>0</v>
      </c>
      <c r="H112" s="9" t="n">
        <f aca="false">(H18-H20+H110)-MIN(H111,H18-H20+H110)</f>
        <v>0</v>
      </c>
      <c r="I112" s="9" t="n">
        <f aca="false">(I18-I20+I110)-MIN(I111,I18-I20+I110)</f>
        <v>0</v>
      </c>
    </row>
    <row r="113" customFormat="false" ht="15" hidden="false" customHeight="false" outlineLevel="0" collapsed="false">
      <c r="A113" s="4" t="s">
        <v>601</v>
      </c>
      <c r="E113" s="9" t="n">
        <f aca="false">(E37-E39)-MIN(E111-(E18-E20+E110-E112),E37-E39)</f>
        <v>1508.6</v>
      </c>
      <c r="F113" s="9" t="n">
        <f aca="false">(F37-F39)-MIN(F111-(F18-F20+F110-F112),F37-F39)</f>
        <v>1131.5</v>
      </c>
      <c r="G113" s="9" t="n">
        <f aca="false">(G37-G39)-MIN(G111-(G18-G20+G110-G112),G37-G39)</f>
        <v>0</v>
      </c>
      <c r="H113" s="9" t="n">
        <f aca="false">(H37-H39)-MIN(H111-(H18-H20+H110-H112),H37-H39)</f>
        <v>0</v>
      </c>
      <c r="I113" s="9" t="n">
        <f aca="false">(I37-I39)-MIN(I111-(I18-I20+I110-I112),I37-I39)</f>
        <v>0</v>
      </c>
    </row>
    <row r="114" customFormat="false" ht="15" hidden="false" customHeight="false" outlineLevel="0" collapsed="false">
      <c r="A114" s="4" t="s">
        <v>602</v>
      </c>
      <c r="E114" s="9" t="n">
        <f aca="false">(E18+E112)/2*Assumptions!$C$67+(E29+E32)/2*Assumptions!$C$68+(E37+E113)/2*Assumptions!$C$69+(E47+E50)/2*Assumptions!$C$70</f>
        <v>124.204288771389</v>
      </c>
      <c r="F114" s="9" t="n">
        <f aca="false">(F18+F112)/2*Assumptions!$C$67+(F29+F32)/2*Assumptions!$C$68+(F37+F113)/2*Assumptions!$C$69+(F47+F50)/2*Assumptions!$C$70</f>
        <v>81.8950982112178</v>
      </c>
      <c r="G114" s="9" t="n">
        <f aca="false">(G18+G112)/2*Assumptions!$C$67+(G29+G32)/2*Assumptions!$C$68+(G37+G113)/2*Assumptions!$C$69+(G47+G50)/2*Assumptions!$C$70</f>
        <v>37.3971602881023</v>
      </c>
      <c r="H114" s="9" t="n">
        <f aca="false">(H18+H112)/2*Assumptions!$C$67+(H29+H32)/2*Assumptions!$C$68+(H37+H113)/2*Assumptions!$C$69+(H47+H50)/2*Assumptions!$C$70</f>
        <v>5.2564</v>
      </c>
      <c r="I114" s="9" t="n">
        <f aca="false">(I18+I112)/2*Assumptions!$C$67+(I29+I32)/2*Assumptions!$C$68+(I37+I113)/2*Assumptions!$C$69+(I47+I50)/2*Assumptions!$C$70</f>
        <v>1.7529</v>
      </c>
    </row>
    <row r="115" customFormat="false" ht="15" hidden="false" customHeight="false" outlineLevel="0" collapsed="false">
      <c r="A115" s="4" t="s">
        <v>603</v>
      </c>
      <c r="E115" s="9" t="n">
        <f aca="false">E109+E110-E111</f>
        <v>525.65730824</v>
      </c>
      <c r="F115" s="9" t="n">
        <f aca="false">F109+F110-F111</f>
        <v>756.032455856</v>
      </c>
      <c r="G115" s="9" t="n">
        <f aca="false">G109+G110-G111</f>
        <v>1066.97231654864</v>
      </c>
      <c r="H115" s="9" t="n">
        <f aca="false">H109+H110-H111</f>
        <v>1340.19613506997</v>
      </c>
      <c r="I115" s="9" t="n">
        <f aca="false">I109+I110-I111</f>
        <v>1565.36528434696</v>
      </c>
    </row>
    <row r="116" customFormat="false" ht="15" hidden="false" customHeight="false" outlineLevel="0" collapsed="false">
      <c r="A116" s="4" t="s">
        <v>604</v>
      </c>
      <c r="E116" s="9" t="n">
        <f aca="false">(E6+E115)/2*Assumptions!$C$71</f>
        <v>18.62854384944</v>
      </c>
      <c r="F116" s="9" t="n">
        <f aca="false">(F6+F115)/2*Assumptions!$C$71</f>
        <v>7.690138584576</v>
      </c>
      <c r="G116" s="9" t="n">
        <f aca="false">(G6+G115)/2*Assumptions!$C$71</f>
        <v>10.9380286344278</v>
      </c>
      <c r="H116" s="9" t="n">
        <f aca="false">(H6+H115)/2*Assumptions!$C$71</f>
        <v>14.4430107097117</v>
      </c>
      <c r="I116" s="9" t="n">
        <f aca="false">(I6+I115)/2*Assumptions!$C$71</f>
        <v>17.4333685165016</v>
      </c>
    </row>
    <row r="117" customFormat="false" ht="15" hidden="false" customHeight="false" outlineLevel="0" collapsed="false">
      <c r="A117" s="4" t="s">
        <v>605</v>
      </c>
      <c r="E117" s="9" t="n">
        <f aca="false">E114-E116+E66</f>
        <v>135.575744921949</v>
      </c>
      <c r="F117" s="9" t="n">
        <f aca="false">F114-F116+F66</f>
        <v>104.204959626642</v>
      </c>
      <c r="G117" s="9" t="n">
        <f aca="false">G114-G116+G66</f>
        <v>56.4591316536744</v>
      </c>
      <c r="H117" s="9" t="n">
        <f aca="false">H114-H116+H66</f>
        <v>20.8133892902883</v>
      </c>
      <c r="I117" s="9" t="n">
        <f aca="false">I114-I116+I66</f>
        <v>14.3195314834984</v>
      </c>
    </row>
    <row r="118" customFormat="false" ht="15" hidden="false" customHeight="false" outlineLevel="0" collapsed="false">
      <c r="A118" s="10" t="s">
        <v>606</v>
      </c>
      <c r="E118" s="52" t="n">
        <f aca="false">ABS(E114-E104)+ABS(E116-E105)</f>
        <v>0.00265832214557804</v>
      </c>
      <c r="F118" s="52" t="n">
        <f aca="false">ABS(F114-F104)+ABS(F116-F105)</f>
        <v>0.00259403042747408</v>
      </c>
      <c r="G118" s="52" t="n">
        <f aca="false">ABS(G114-G104)+ABS(G116-G105)</f>
        <v>0</v>
      </c>
      <c r="H118" s="52" t="n">
        <f aca="false">ABS(H114-H104)+ABS(H116-H105)</f>
        <v>0</v>
      </c>
      <c r="I118" s="52" t="n">
        <f aca="false">ABS(I114-I104)+ABS(I116-I105)</f>
        <v>0</v>
      </c>
    </row>
    <row r="119" customFormat="false" ht="15.75" hidden="false" customHeight="true" outlineLevel="0" collapsed="false">
      <c r="A119" s="51" t="s">
        <v>607</v>
      </c>
      <c r="B119" s="51"/>
      <c r="C119" s="51"/>
      <c r="D119" s="51"/>
      <c r="E119" s="51"/>
      <c r="F119" s="51"/>
      <c r="G119" s="51"/>
      <c r="H119" s="51"/>
      <c r="I119" s="51"/>
      <c r="J119" s="51"/>
    </row>
    <row r="120" customFormat="false" ht="15" hidden="false" customHeight="false" outlineLevel="0" collapsed="false">
      <c r="A120" s="4" t="s">
        <v>608</v>
      </c>
      <c r="E120" s="9" t="n">
        <f aca="false">E114</f>
        <v>124.204288771389</v>
      </c>
      <c r="F120" s="9" t="n">
        <f aca="false">F114</f>
        <v>81.8950982112178</v>
      </c>
      <c r="G120" s="9" t="n">
        <f aca="false">G114</f>
        <v>37.3971602881023</v>
      </c>
      <c r="H120" s="9" t="n">
        <f aca="false">H114</f>
        <v>5.2564</v>
      </c>
      <c r="I120" s="9" t="n">
        <f aca="false">I114</f>
        <v>1.7529</v>
      </c>
    </row>
    <row r="121" customFormat="false" ht="15" hidden="false" customHeight="false" outlineLevel="0" collapsed="false">
      <c r="A121" s="4" t="s">
        <v>609</v>
      </c>
      <c r="E121" s="9" t="n">
        <f aca="false">E116</f>
        <v>18.62854384944</v>
      </c>
      <c r="F121" s="9" t="n">
        <f aca="false">F116</f>
        <v>7.690138584576</v>
      </c>
      <c r="G121" s="9" t="n">
        <f aca="false">G116</f>
        <v>10.9380286344278</v>
      </c>
      <c r="H121" s="9" t="n">
        <f aca="false">H116</f>
        <v>14.4430107097117</v>
      </c>
      <c r="I121" s="9" t="n">
        <f aca="false">I116</f>
        <v>17.4333685165016</v>
      </c>
    </row>
    <row r="122" customFormat="false" ht="15" hidden="false" customHeight="false" outlineLevel="0" collapsed="false">
      <c r="A122" s="4" t="s">
        <v>610</v>
      </c>
      <c r="E122" s="9" t="n">
        <f aca="false">E120-E121+E66</f>
        <v>135.575744921949</v>
      </c>
      <c r="F122" s="9" t="n">
        <f aca="false">F120-F121+F66</f>
        <v>104.204959626642</v>
      </c>
      <c r="G122" s="9" t="n">
        <f aca="false">G120-G121+G66</f>
        <v>56.4591316536744</v>
      </c>
      <c r="H122" s="9" t="n">
        <f aca="false">H120-H121+H66</f>
        <v>20.8133892902883</v>
      </c>
      <c r="I122" s="9" t="n">
        <f aca="false">I120-I121+I66</f>
        <v>14.3195314834984</v>
      </c>
    </row>
    <row r="123" customFormat="false" ht="15" hidden="false" customHeight="false" outlineLevel="0" collapsed="false">
      <c r="A123" s="4" t="s">
        <v>611</v>
      </c>
      <c r="E123" s="9" t="n">
        <f aca="false">(IS!E7-IS!E9-IS!E10-IS!E11-IS!E12+IS!E14+IS!E16-E122)*(1-Assumptions!C$37)*(1-Assumptions!C$38)</f>
        <v>5292.47537846715</v>
      </c>
      <c r="F123" s="9" t="n">
        <f aca="false">(IS!F7-IS!F9-IS!F10-IS!F11-IS!F12+IS!F14+IS!F16-F122)*(1-Assumptions!D$37)*(1-Assumptions!D$38)</f>
        <v>8106.73890264977</v>
      </c>
      <c r="G123" s="9" t="n">
        <f aca="false">(IS!G7-IS!G9-IS!G10-IS!G11-IS!G12+IS!G14+IS!G16-G122)*(1-Assumptions!E$37)*(1-Assumptions!E$38)</f>
        <v>11911.4131494525</v>
      </c>
      <c r="H123" s="9" t="n">
        <f aca="false">(IS!H7-IS!H9-IS!H10-IS!H11-IS!H12+IS!H14+IS!H16-H122)*(1-Assumptions!F$37)*(1-Assumptions!F$38)</f>
        <v>14824.1492679465</v>
      </c>
      <c r="I123" s="9" t="n">
        <f aca="false">(IS!I7-IS!I9-IS!I10-IS!I11-IS!I12+IS!I14+IS!I16-I122)*(1-Assumptions!G$37)*(1-Assumptions!G$38)</f>
        <v>17055.977813947</v>
      </c>
    </row>
    <row r="124" customFormat="false" ht="15" hidden="false" customHeight="false" outlineLevel="0" collapsed="false">
      <c r="A124" s="4" t="s">
        <v>612</v>
      </c>
      <c r="E124" s="9" t="n">
        <f aca="false">E123+PPE!E19+E120-Schedules!E18</f>
        <v>5374.28266868549</v>
      </c>
      <c r="F124" s="9" t="n">
        <f aca="false">F123+PPE!F19+F120-Schedules!F18</f>
        <v>8063.46531711098</v>
      </c>
      <c r="G124" s="9" t="n">
        <f aca="false">G123+PPE!G19+G120-Schedules!G18</f>
        <v>11766.5824457202</v>
      </c>
      <c r="H124" s="9" t="n">
        <f aca="false">H123+PPE!H19+H120-Schedules!H18</f>
        <v>15501.4065922344</v>
      </c>
      <c r="I124" s="9" t="n">
        <f aca="false">I123+PPE!I19+I120-Schedules!I18</f>
        <v>18553.0113850447</v>
      </c>
    </row>
    <row r="125" customFormat="false" ht="15" hidden="false" customHeight="false" outlineLevel="0" collapsed="false">
      <c r="A125" s="4" t="s">
        <v>613</v>
      </c>
      <c r="E125" s="9" t="n">
        <f aca="false">E6+E124+E8+E9-E120+E11</f>
        <v>1823.5036983685</v>
      </c>
      <c r="F125" s="9" t="n">
        <f aca="false">F6+F124+F8+F9-F120+F11</f>
        <v>1114.75198712092</v>
      </c>
      <c r="G125" s="9" t="n">
        <f aca="false">G6+G124+G8+G9-G120+G11</f>
        <v>3405.75105276329</v>
      </c>
      <c r="H125" s="9" t="n">
        <f aca="false">H6+H124+H8+H9-H120+H11</f>
        <v>6277.41395368569</v>
      </c>
      <c r="I125" s="9" t="n">
        <f aca="false">I6+I124+I8+I9-I120+I11</f>
        <v>8954.65163341473</v>
      </c>
    </row>
    <row r="126" customFormat="false" ht="15" hidden="false" customHeight="false" outlineLevel="0" collapsed="false">
      <c r="A126" s="4" t="s">
        <v>614</v>
      </c>
      <c r="E126" s="9" t="n">
        <f aca="false">MAX(0,E13-E125)</f>
        <v>0</v>
      </c>
      <c r="F126" s="9" t="n">
        <f aca="false">MAX(0,F13-F125)</f>
        <v>0</v>
      </c>
      <c r="G126" s="9" t="n">
        <f aca="false">MAX(0,G13-G125)</f>
        <v>0</v>
      </c>
      <c r="H126" s="9" t="n">
        <f aca="false">MAX(0,H13-H125)</f>
        <v>0</v>
      </c>
      <c r="I126" s="9" t="n">
        <f aca="false">MAX(0,I13-I125)</f>
        <v>0</v>
      </c>
    </row>
    <row r="127" customFormat="false" ht="15" hidden="false" customHeight="false" outlineLevel="0" collapsed="false">
      <c r="A127" s="4" t="s">
        <v>615</v>
      </c>
      <c r="E127" s="9" t="n">
        <f aca="false">MAX(0,E125+E126-E13)</f>
        <v>1297.8463901285</v>
      </c>
      <c r="F127" s="9" t="n">
        <f aca="false">MAX(0,F125+F126-F13)</f>
        <v>358.719531264916</v>
      </c>
      <c r="G127" s="9" t="n">
        <f aca="false">MAX(0,G125+G126-G13)</f>
        <v>2338.77873621465</v>
      </c>
      <c r="H127" s="9" t="n">
        <f aca="false">MAX(0,H125+H126-H13)</f>
        <v>4937.21781861572</v>
      </c>
      <c r="I127" s="9" t="n">
        <f aca="false">MAX(0,I125+I126-I13)</f>
        <v>7389.28634906777</v>
      </c>
    </row>
    <row r="128" customFormat="false" ht="15" hidden="false" customHeight="false" outlineLevel="0" collapsed="false">
      <c r="A128" s="4" t="s">
        <v>616</v>
      </c>
      <c r="E128" s="9" t="n">
        <f aca="false">(E18-E20+E126)-MIN(E127,E18-E20+E126)</f>
        <v>872.0536098715</v>
      </c>
      <c r="F128" s="9" t="n">
        <f aca="false">(F18-F20+F126)-MIN(F127,F18-F20+F126)</f>
        <v>513.334048543159</v>
      </c>
      <c r="G128" s="9" t="n">
        <f aca="false">(G18-G20+G126)-MIN(G127,G18-G20+G126)</f>
        <v>0</v>
      </c>
      <c r="H128" s="9" t="n">
        <f aca="false">(H18-H20+H126)-MIN(H127,H18-H20+H126)</f>
        <v>0</v>
      </c>
      <c r="I128" s="9" t="n">
        <f aca="false">(I18-I20+I126)-MIN(I127,I18-I20+I126)</f>
        <v>0</v>
      </c>
    </row>
    <row r="129" customFormat="false" ht="15" hidden="false" customHeight="false" outlineLevel="0" collapsed="false">
      <c r="A129" s="4" t="s">
        <v>617</v>
      </c>
      <c r="E129" s="9" t="n">
        <f aca="false">(E37-E39)-MIN(E127-(E18-E20+E126-E128),E37-E39)</f>
        <v>1508.6</v>
      </c>
      <c r="F129" s="9" t="n">
        <f aca="false">(F37-F39)-MIN(F127-(F18-F20+F126-F128),F37-F39)</f>
        <v>1131.5</v>
      </c>
      <c r="G129" s="9" t="n">
        <f aca="false">(G37-G39)-MIN(G127-(G18-G20+G126-G128),G37-G39)</f>
        <v>0</v>
      </c>
      <c r="H129" s="9" t="n">
        <f aca="false">(H37-H39)-MIN(H127-(H18-H20+H126-H128),H37-H39)</f>
        <v>0</v>
      </c>
      <c r="I129" s="9" t="n">
        <f aca="false">(I37-I39)-MIN(I127-(I18-I20+I126-I128),I37-I39)</f>
        <v>0</v>
      </c>
    </row>
    <row r="130" customFormat="false" ht="15" hidden="false" customHeight="false" outlineLevel="0" collapsed="false">
      <c r="A130" s="4" t="s">
        <v>618</v>
      </c>
      <c r="E130" s="9" t="n">
        <f aca="false">(E18+E128)/2*Assumptions!$C$67+(E29+E32)/2*Assumptions!$C$68+(E37+E129)/2*Assumptions!$C$69+(E47+E50)/2*Assumptions!$C$70</f>
        <v>124.204254148073</v>
      </c>
      <c r="F130" s="9" t="n">
        <f aca="false">(F18+F128)/2*Assumptions!$C$67+(F29+F32)/2*Assumptions!$C$68+(F37+F129)/2*Assumptions!$C$69+(F47+F50)/2*Assumptions!$C$70</f>
        <v>81.8950644252685</v>
      </c>
      <c r="G130" s="9" t="n">
        <f aca="false">(G18+G128)/2*Assumptions!$C$67+(G29+G32)/2*Assumptions!$C$68+(G37+G129)/2*Assumptions!$C$69+(G47+G50)/2*Assumptions!$C$70</f>
        <v>37.3971602881023</v>
      </c>
      <c r="H130" s="9" t="n">
        <f aca="false">(H18+H128)/2*Assumptions!$C$67+(H29+H32)/2*Assumptions!$C$68+(H37+H129)/2*Assumptions!$C$69+(H47+H50)/2*Assumptions!$C$70</f>
        <v>5.2564</v>
      </c>
      <c r="I130" s="9" t="n">
        <f aca="false">(I18+I128)/2*Assumptions!$C$67+(I29+I32)/2*Assumptions!$C$68+(I37+I129)/2*Assumptions!$C$69+(I47+I50)/2*Assumptions!$C$70</f>
        <v>1.7529</v>
      </c>
    </row>
    <row r="131" customFormat="false" ht="15" hidden="false" customHeight="false" outlineLevel="0" collapsed="false">
      <c r="A131" s="4" t="s">
        <v>619</v>
      </c>
      <c r="E131" s="9" t="n">
        <f aca="false">E125+E126-E127</f>
        <v>525.65730824</v>
      </c>
      <c r="F131" s="9" t="n">
        <f aca="false">F125+F126-F127</f>
        <v>756.032455856</v>
      </c>
      <c r="G131" s="9" t="n">
        <f aca="false">G125+G126-G127</f>
        <v>1066.97231654864</v>
      </c>
      <c r="H131" s="9" t="n">
        <f aca="false">H125+H126-H127</f>
        <v>1340.19613506997</v>
      </c>
      <c r="I131" s="9" t="n">
        <f aca="false">I125+I126-I127</f>
        <v>1565.36528434696</v>
      </c>
    </row>
    <row r="132" customFormat="false" ht="15" hidden="false" customHeight="false" outlineLevel="0" collapsed="false">
      <c r="A132" s="4" t="s">
        <v>620</v>
      </c>
      <c r="E132" s="9" t="n">
        <f aca="false">(E6+E131)/2*Assumptions!$C$71</f>
        <v>18.62854384944</v>
      </c>
      <c r="F132" s="9" t="n">
        <f aca="false">(F6+F131)/2*Assumptions!$C$71</f>
        <v>7.690138584576</v>
      </c>
      <c r="G132" s="9" t="n">
        <f aca="false">(G6+G131)/2*Assumptions!$C$71</f>
        <v>10.9380286344278</v>
      </c>
      <c r="H132" s="9" t="n">
        <f aca="false">(H6+H131)/2*Assumptions!$C$71</f>
        <v>14.4430107097117</v>
      </c>
      <c r="I132" s="9" t="n">
        <f aca="false">(I6+I131)/2*Assumptions!$C$71</f>
        <v>17.4333685165016</v>
      </c>
    </row>
    <row r="133" customFormat="false" ht="15" hidden="false" customHeight="false" outlineLevel="0" collapsed="false">
      <c r="A133" s="4" t="s">
        <v>621</v>
      </c>
      <c r="E133" s="9" t="n">
        <f aca="false">E130-E132+E66</f>
        <v>135.575710298633</v>
      </c>
      <c r="F133" s="9" t="n">
        <f aca="false">F130-F132+F66</f>
        <v>104.204925840692</v>
      </c>
      <c r="G133" s="9" t="n">
        <f aca="false">G130-G132+G66</f>
        <v>56.4591316536744</v>
      </c>
      <c r="H133" s="9" t="n">
        <f aca="false">H130-H132+H66</f>
        <v>20.8133892902883</v>
      </c>
      <c r="I133" s="9" t="n">
        <f aca="false">I130-I132+I66</f>
        <v>14.3195314834984</v>
      </c>
    </row>
    <row r="134" customFormat="false" ht="15" hidden="false" customHeight="false" outlineLevel="0" collapsed="false">
      <c r="A134" s="10" t="s">
        <v>622</v>
      </c>
      <c r="E134" s="52" t="n">
        <f aca="false">ABS(E130-E120)+ABS(E132-E121)</f>
        <v>3.46233168215804E-005</v>
      </c>
      <c r="F134" s="52" t="n">
        <f aca="false">ABS(F130-F120)+ABS(F132-F121)</f>
        <v>3.37859493129145E-005</v>
      </c>
      <c r="G134" s="52" t="n">
        <f aca="false">ABS(G130-G120)+ABS(G132-G121)</f>
        <v>0</v>
      </c>
      <c r="H134" s="52" t="n">
        <f aca="false">ABS(H130-H120)+ABS(H132-H121)</f>
        <v>0</v>
      </c>
      <c r="I134" s="52" t="n">
        <f aca="false">ABS(I130-I120)+ABS(I132-I121)</f>
        <v>0</v>
      </c>
    </row>
    <row r="136" customFormat="false" ht="15.75" hidden="false" customHeight="true" outlineLevel="0" collapsed="false">
      <c r="A136" s="26" t="s">
        <v>623</v>
      </c>
      <c r="B136" s="26"/>
      <c r="C136" s="26"/>
      <c r="D136" s="26"/>
      <c r="E136" s="26"/>
      <c r="F136" s="26"/>
      <c r="G136" s="26"/>
      <c r="H136" s="26"/>
      <c r="I136" s="26"/>
      <c r="J136" s="26"/>
    </row>
    <row r="137" customFormat="false" ht="15" hidden="false" customHeight="false" outlineLevel="0" collapsed="false">
      <c r="A137" s="5" t="s">
        <v>624</v>
      </c>
      <c r="E137" s="52" t="n">
        <f aca="false">ABS(E64-(E26+E34+E44+E52))</f>
        <v>4.50951375796649E-007</v>
      </c>
      <c r="F137" s="52" t="n">
        <f aca="false">ABS(F64-(F26+F34+F44+F52))</f>
        <v>4.4004511323692E-007</v>
      </c>
      <c r="G137" s="52" t="n">
        <f aca="false">ABS(G64-(G26+G34+G44+G52))</f>
        <v>0</v>
      </c>
      <c r="H137" s="52" t="n">
        <f aca="false">ABS(H64-(H26+H34+H44+H52))</f>
        <v>0</v>
      </c>
      <c r="I137" s="52" t="n">
        <f aca="false">ABS(I64-(I26+I34+I44+I52))</f>
        <v>0</v>
      </c>
      <c r="J137" s="25" t="s">
        <v>625</v>
      </c>
    </row>
    <row r="138" customFormat="false" ht="15" hidden="false" customHeight="false" outlineLevel="0" collapsed="false">
      <c r="A138" s="5" t="s">
        <v>626</v>
      </c>
      <c r="E138" s="52" t="n">
        <f aca="false">ABS(E65-(E6+E63)/2*Assumptions!$C$71)</f>
        <v>0</v>
      </c>
      <c r="F138" s="52" t="n">
        <f aca="false">ABS(F65-(F6+F63)/2*Assumptions!$C$71)</f>
        <v>0</v>
      </c>
      <c r="G138" s="52" t="n">
        <f aca="false">ABS(G65-(G6+G63)/2*Assumptions!$C$71)</f>
        <v>0</v>
      </c>
      <c r="H138" s="52" t="n">
        <f aca="false">ABS(H65-(H6+H63)/2*Assumptions!$C$71)</f>
        <v>0</v>
      </c>
      <c r="I138" s="52" t="n">
        <f aca="false">ABS(I65-(I6+I63)/2*Assumptions!$C$71)</f>
        <v>0</v>
      </c>
      <c r="J138" s="25" t="s">
        <v>627</v>
      </c>
    </row>
    <row r="139" customFormat="false" ht="15" hidden="false" customHeight="false" outlineLevel="0" collapsed="false">
      <c r="A139" s="3" t="s">
        <v>628</v>
      </c>
      <c r="E139" s="53" t="n">
        <f aca="false">MAX(E137,E138)</f>
        <v>4.50951375796649E-007</v>
      </c>
      <c r="F139" s="53" t="n">
        <f aca="false">MAX(F137,F138)</f>
        <v>4.4004511323692E-007</v>
      </c>
      <c r="G139" s="53" t="n">
        <f aca="false">MAX(G137,G138)</f>
        <v>0</v>
      </c>
      <c r="H139" s="53" t="n">
        <f aca="false">MAX(H137,H138)</f>
        <v>0</v>
      </c>
      <c r="I139" s="53" t="n">
        <f aca="false">MAX(I137,I138)</f>
        <v>0</v>
      </c>
      <c r="J139" s="25" t="s">
        <v>629</v>
      </c>
    </row>
    <row r="140" customFormat="false" ht="15" hidden="false" customHeight="false" outlineLevel="0" collapsed="false">
      <c r="A140" s="3" t="s">
        <v>630</v>
      </c>
      <c r="E140" s="54" t="b">
        <f aca="false">E139&lt;0.01</f>
        <v>1</v>
      </c>
      <c r="F140" s="54" t="b">
        <f aca="false">F139&lt;0.01</f>
        <v>1</v>
      </c>
      <c r="G140" s="54" t="b">
        <f aca="false">G139&lt;0.01</f>
        <v>1</v>
      </c>
      <c r="H140" s="54" t="b">
        <f aca="false">H139&lt;0.01</f>
        <v>1</v>
      </c>
      <c r="I140" s="54" t="b">
        <f aca="false">I139&lt;0.01</f>
        <v>1</v>
      </c>
      <c r="J140" s="25"/>
    </row>
  </sheetData>
  <mergeCells count="15">
    <mergeCell ref="A1:J1"/>
    <mergeCell ref="A2:J2"/>
    <mergeCell ref="A5:J5"/>
    <mergeCell ref="A17:J17"/>
    <mergeCell ref="A28:J28"/>
    <mergeCell ref="A36:J36"/>
    <mergeCell ref="A46:J46"/>
    <mergeCell ref="A54:J54"/>
    <mergeCell ref="A69:J69"/>
    <mergeCell ref="A70:J70"/>
    <mergeCell ref="A71:J71"/>
    <mergeCell ref="A87:J87"/>
    <mergeCell ref="A103:J103"/>
    <mergeCell ref="A119:J119"/>
    <mergeCell ref="A136:J1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631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632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" hidden="false" customHeight="false" outlineLevel="0" collapsed="false">
      <c r="A5" s="5" t="s">
        <v>378</v>
      </c>
      <c r="B5" s="36" t="n">
        <v>1908.6</v>
      </c>
      <c r="C5" s="36" t="n">
        <v>1918.6</v>
      </c>
      <c r="D5" s="36" t="n">
        <v>1924.4</v>
      </c>
      <c r="E5" s="9" t="n">
        <f aca="false">D5</f>
        <v>1924.4</v>
      </c>
      <c r="F5" s="9" t="n">
        <f aca="false">E5</f>
        <v>1924.4</v>
      </c>
      <c r="G5" s="9" t="n">
        <f aca="false">F5</f>
        <v>1924.4</v>
      </c>
      <c r="H5" s="9" t="n">
        <f aca="false">G5</f>
        <v>1924.4</v>
      </c>
      <c r="I5" s="9" t="n">
        <f aca="false">H5</f>
        <v>1924.4</v>
      </c>
      <c r="J5" s="25" t="s">
        <v>633</v>
      </c>
    </row>
    <row r="6" customFormat="false" ht="15" hidden="false" customHeight="false" outlineLevel="0" collapsed="false">
      <c r="A6" s="5" t="s">
        <v>380</v>
      </c>
      <c r="B6" s="36" t="n">
        <v>556.8</v>
      </c>
      <c r="C6" s="36" t="n">
        <v>762.8</v>
      </c>
      <c r="D6" s="36" t="n">
        <v>1070.2</v>
      </c>
      <c r="E6" s="9" t="n">
        <f aca="false">D6</f>
        <v>1070.2</v>
      </c>
      <c r="F6" s="9" t="n">
        <f aca="false">E6</f>
        <v>1070.2</v>
      </c>
      <c r="G6" s="9" t="n">
        <f aca="false">F6</f>
        <v>1070.2</v>
      </c>
      <c r="H6" s="9" t="n">
        <f aca="false">G6</f>
        <v>1070.2</v>
      </c>
      <c r="I6" s="9" t="n">
        <f aca="false">H6</f>
        <v>1070.2</v>
      </c>
      <c r="J6" s="25" t="s">
        <v>336</v>
      </c>
    </row>
    <row r="7" customFormat="false" ht="15" hidden="false" customHeight="false" outlineLevel="0" collapsed="false">
      <c r="A7" s="5" t="s">
        <v>634</v>
      </c>
      <c r="B7" s="36" t="n">
        <v>0</v>
      </c>
      <c r="C7" s="36" t="n">
        <v>0</v>
      </c>
      <c r="D7" s="36" t="n">
        <v>0</v>
      </c>
      <c r="E7" s="9" t="n">
        <f aca="false">D7</f>
        <v>0</v>
      </c>
      <c r="F7" s="9" t="n">
        <f aca="false">E7</f>
        <v>0</v>
      </c>
      <c r="G7" s="9" t="n">
        <f aca="false">F7</f>
        <v>0</v>
      </c>
      <c r="H7" s="9" t="n">
        <f aca="false">G7</f>
        <v>0</v>
      </c>
      <c r="I7" s="9" t="n">
        <f aca="false">H7</f>
        <v>0</v>
      </c>
      <c r="J7" s="25" t="s">
        <v>336</v>
      </c>
    </row>
    <row r="8" customFormat="false" ht="15" hidden="false" customHeight="false" outlineLevel="0" collapsed="false">
      <c r="A8" s="5" t="s">
        <v>382</v>
      </c>
      <c r="B8" s="36" t="n">
        <v>100.4</v>
      </c>
      <c r="C8" s="36" t="n">
        <v>310</v>
      </c>
      <c r="D8" s="36" t="n">
        <v>408.2</v>
      </c>
      <c r="E8" s="9" t="n">
        <f aca="false">D8</f>
        <v>408.2</v>
      </c>
      <c r="F8" s="9" t="n">
        <f aca="false">E8</f>
        <v>408.2</v>
      </c>
      <c r="G8" s="9" t="n">
        <f aca="false">F8</f>
        <v>408.2</v>
      </c>
      <c r="H8" s="9" t="n">
        <f aca="false">G8</f>
        <v>408.2</v>
      </c>
      <c r="I8" s="9" t="n">
        <f aca="false">H8</f>
        <v>408.2</v>
      </c>
      <c r="J8" s="25" t="s">
        <v>635</v>
      </c>
    </row>
    <row r="9" customFormat="false" ht="15" hidden="false" customHeight="false" outlineLevel="0" collapsed="false">
      <c r="A9" s="5" t="s">
        <v>636</v>
      </c>
      <c r="E9" s="9" t="n">
        <f aca="false">IS!E20*Assumptions!$C$59</f>
        <v>529.247540853058</v>
      </c>
      <c r="F9" s="9" t="n">
        <f aca="false">IS!F20*Assumptions!$C$59</f>
        <v>810.673893198611</v>
      </c>
      <c r="G9" s="9" t="n">
        <f aca="false">IS!G20*Assumptions!$C$59</f>
        <v>1191.14131494525</v>
      </c>
      <c r="H9" s="9" t="n">
        <f aca="false">IS!H20*Assumptions!$C$59</f>
        <v>1482.41492679465</v>
      </c>
      <c r="I9" s="9" t="n">
        <f aca="false">IS!I20*Assumptions!$C$59</f>
        <v>1705.5977813947</v>
      </c>
      <c r="J9" s="25" t="s">
        <v>637</v>
      </c>
    </row>
    <row r="10" customFormat="false" ht="15" hidden="false" customHeight="false" outlineLevel="0" collapsed="false">
      <c r="A10" s="5" t="s">
        <v>638</v>
      </c>
      <c r="B10" s="36" t="n">
        <v>908.8</v>
      </c>
      <c r="C10" s="36" t="n">
        <v>1164.8</v>
      </c>
      <c r="D10" s="36" t="n">
        <v>1164.8</v>
      </c>
      <c r="E10" s="9" t="n">
        <f aca="false">D10+E9</f>
        <v>1694.04754085306</v>
      </c>
      <c r="F10" s="9" t="n">
        <f aca="false">E10+F9</f>
        <v>2504.72143405167</v>
      </c>
      <c r="G10" s="9" t="n">
        <f aca="false">F10+G9</f>
        <v>3695.86274899692</v>
      </c>
      <c r="H10" s="9" t="n">
        <f aca="false">G10+H9</f>
        <v>5178.27767579157</v>
      </c>
      <c r="I10" s="9" t="n">
        <f aca="false">H10+I9</f>
        <v>6883.87545718627</v>
      </c>
      <c r="J10" s="25" t="s">
        <v>639</v>
      </c>
    </row>
    <row r="11" customFormat="false" ht="15" hidden="false" customHeight="false" outlineLevel="0" collapsed="false">
      <c r="A11" s="5" t="s">
        <v>640</v>
      </c>
      <c r="E11" s="9" t="n">
        <f aca="false">Schedules!E26</f>
        <v>1146.69</v>
      </c>
      <c r="F11" s="9" t="n">
        <f aca="false">Schedules!F26</f>
        <v>1587.74262255917</v>
      </c>
      <c r="G11" s="9" t="n">
        <f aca="false">Schedules!G26</f>
        <v>2432.02167959583</v>
      </c>
      <c r="H11" s="9" t="n">
        <f aca="false">Schedules!H26</f>
        <v>3573.42394483575</v>
      </c>
      <c r="I11" s="9" t="n">
        <f aca="false">Schedules!I26</f>
        <v>4447.24478038396</v>
      </c>
      <c r="J11" s="25" t="s">
        <v>641</v>
      </c>
    </row>
    <row r="12" customFormat="false" ht="15" hidden="false" customHeight="false" outlineLevel="0" collapsed="false">
      <c r="A12" s="5" t="s">
        <v>642</v>
      </c>
      <c r="B12" s="36" t="n">
        <v>6310.1</v>
      </c>
      <c r="C12" s="36" t="n">
        <v>7684.5</v>
      </c>
      <c r="D12" s="36" t="n">
        <v>10545.1</v>
      </c>
      <c r="E12" s="9" t="n">
        <f aca="false">D12+IS!E20-E11-E9</f>
        <v>14161.6378676775</v>
      </c>
      <c r="F12" s="9" t="n">
        <f aca="false">E12+IS!F20-F11-F9</f>
        <v>19869.9602839058</v>
      </c>
      <c r="G12" s="9" t="n">
        <f aca="false">F12+IS!G20-G11-G9</f>
        <v>28158.2104388173</v>
      </c>
      <c r="H12" s="9" t="n">
        <f aca="false">G12+IS!H20-H11-H9</f>
        <v>37926.5208351334</v>
      </c>
      <c r="I12" s="9" t="n">
        <f aca="false">H12+IS!I20-I11-I9</f>
        <v>48829.6560873017</v>
      </c>
      <c r="J12" s="25" t="s">
        <v>643</v>
      </c>
    </row>
    <row r="13" customFormat="false" ht="15" hidden="false" customHeight="false" outlineLevel="0" collapsed="false">
      <c r="A13" s="5" t="s">
        <v>644</v>
      </c>
      <c r="B13" s="36" t="n">
        <v>0.1</v>
      </c>
      <c r="C13" s="36" t="n">
        <v>0.2</v>
      </c>
      <c r="D13" s="36" t="n">
        <v>0.2</v>
      </c>
      <c r="E13" s="9" t="n">
        <f aca="false">D13</f>
        <v>0.2</v>
      </c>
      <c r="F13" s="9" t="n">
        <f aca="false">E13</f>
        <v>0.2</v>
      </c>
      <c r="G13" s="9" t="n">
        <f aca="false">F13</f>
        <v>0.2</v>
      </c>
      <c r="H13" s="9" t="n">
        <f aca="false">G13</f>
        <v>0.2</v>
      </c>
      <c r="I13" s="9" t="n">
        <f aca="false">H13</f>
        <v>0.2</v>
      </c>
      <c r="J13" s="25" t="s">
        <v>645</v>
      </c>
    </row>
    <row r="14" customFormat="false" ht="15" hidden="false" customHeight="false" outlineLevel="0" collapsed="false">
      <c r="A14" s="3" t="s">
        <v>389</v>
      </c>
      <c r="B14" s="46" t="n">
        <f aca="false">B5+B6-B7+B8+B10+B12+B13</f>
        <v>9784.8</v>
      </c>
      <c r="C14" s="46" t="n">
        <f aca="false">C5+C6-C7+C8+C10+C12+C13</f>
        <v>11840.9</v>
      </c>
      <c r="D14" s="46" t="n">
        <f aca="false">D5+D6-D7+D8+D10+D12+D13</f>
        <v>15112.9</v>
      </c>
      <c r="E14" s="46" t="n">
        <f aca="false">E5+E6-E7+E8+E10+E12+E13</f>
        <v>19258.6854085306</v>
      </c>
      <c r="F14" s="46" t="n">
        <f aca="false">F5+F6-F7+F8+F10+F12+F13</f>
        <v>25777.6817179575</v>
      </c>
      <c r="G14" s="46" t="n">
        <f aca="false">G5+G6-G7+G8+G10+G12+G13</f>
        <v>35257.0731878142</v>
      </c>
      <c r="H14" s="46" t="n">
        <f aca="false">H5+H6-H7+H8+H10+H12+H13</f>
        <v>46507.798510925</v>
      </c>
      <c r="I14" s="46" t="n">
        <f aca="false">I5+I6-I7+I8+I10+I12+I13</f>
        <v>59116.531544488</v>
      </c>
      <c r="J14" s="25"/>
    </row>
    <row r="15" customFormat="false" ht="15" hidden="false" customHeight="false" outlineLevel="0" collapsed="false">
      <c r="A15" s="5" t="s">
        <v>390</v>
      </c>
      <c r="B15" s="36" t="n">
        <v>52.5</v>
      </c>
      <c r="C15" s="36" t="n">
        <v>60.6</v>
      </c>
      <c r="D15" s="36" t="n">
        <v>15.4</v>
      </c>
      <c r="E15" s="9" t="n">
        <f aca="false">D15</f>
        <v>15.4</v>
      </c>
      <c r="F15" s="9" t="n">
        <f aca="false">E15</f>
        <v>15.4</v>
      </c>
      <c r="G15" s="9" t="n">
        <f aca="false">F15</f>
        <v>15.4</v>
      </c>
      <c r="H15" s="9" t="n">
        <f aca="false">G15</f>
        <v>15.4</v>
      </c>
      <c r="I15" s="9" t="n">
        <f aca="false">H15</f>
        <v>15.4</v>
      </c>
      <c r="J15" s="25"/>
    </row>
    <row r="16" customFormat="false" ht="15" hidden="false" customHeight="false" outlineLevel="0" collapsed="false">
      <c r="A16" s="3" t="s">
        <v>391</v>
      </c>
      <c r="B16" s="47" t="n">
        <f aca="false">B14+B15</f>
        <v>9837.3</v>
      </c>
      <c r="C16" s="47" t="n">
        <f aca="false">C14+C15</f>
        <v>11901.5</v>
      </c>
      <c r="D16" s="47" t="n">
        <f aca="false">D14+D15</f>
        <v>15128.3</v>
      </c>
      <c r="E16" s="47" t="n">
        <f aca="false">E14+E15</f>
        <v>19274.0854085306</v>
      </c>
      <c r="F16" s="47" t="n">
        <f aca="false">F14+F15</f>
        <v>25793.0817179575</v>
      </c>
      <c r="G16" s="47" t="n">
        <f aca="false">G14+G15</f>
        <v>35272.4731878142</v>
      </c>
      <c r="H16" s="47" t="n">
        <f aca="false">H14+H15</f>
        <v>46523.198510925</v>
      </c>
      <c r="I16" s="47" t="n">
        <f aca="false">I14+I15</f>
        <v>59131.931544488</v>
      </c>
      <c r="J16" s="25"/>
    </row>
    <row r="18" customFormat="false" ht="15.75" hidden="false" customHeight="true" outlineLevel="0" collapsed="false">
      <c r="A18" s="26" t="s">
        <v>646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s">
        <v>647</v>
      </c>
      <c r="C19" s="9" t="n">
        <f aca="false">Assumptions!$C$8</f>
        <v>1924.4</v>
      </c>
      <c r="J19" s="25" t="s">
        <v>648</v>
      </c>
    </row>
    <row r="20" customFormat="false" ht="15" hidden="false" customHeight="false" outlineLevel="0" collapsed="false">
      <c r="A20" s="5" t="s">
        <v>649</v>
      </c>
      <c r="C20" s="39" t="n">
        <v>0</v>
      </c>
      <c r="J20" s="25" t="s">
        <v>650</v>
      </c>
    </row>
    <row r="21" customFormat="false" ht="15" hidden="false" customHeight="false" outlineLevel="0" collapsed="false">
      <c r="A21" s="3" t="s">
        <v>651</v>
      </c>
      <c r="C21" s="49" t="n">
        <f aca="false">C19+C20</f>
        <v>1924.4</v>
      </c>
      <c r="J21" s="27" t="s">
        <v>652</v>
      </c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653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654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4" customFormat="false" ht="15" hidden="false" customHeight="false" outlineLevel="0" collapsed="false">
      <c r="A4" s="4" t="s">
        <v>655</v>
      </c>
      <c r="E4" s="9" t="n">
        <f aca="false">IS!E24</f>
        <v>6230.7909683092</v>
      </c>
      <c r="F4" s="9" t="n">
        <f aca="false">IS!F24</f>
        <v>9440.53906379544</v>
      </c>
      <c r="G4" s="9" t="n">
        <f aca="false">IS!G24</f>
        <v>13774.5440671051</v>
      </c>
      <c r="H4" s="9" t="n">
        <f aca="false">IS!H24</f>
        <v>17093.4256983385</v>
      </c>
      <c r="I4" s="9" t="n">
        <f aca="false">IS!I24</f>
        <v>19657.2745170265</v>
      </c>
      <c r="J4" s="25" t="s">
        <v>656</v>
      </c>
    </row>
    <row r="5" customFormat="false" ht="15" hidden="false" customHeight="false" outlineLevel="0" collapsed="false">
      <c r="A5" s="5" t="s">
        <v>657</v>
      </c>
      <c r="E5" s="19" t="n">
        <f aca="false">Assumptions!C$37</f>
        <v>0.1317</v>
      </c>
      <c r="F5" s="19" t="n">
        <f aca="false">Assumptions!D$37</f>
        <v>0.1317</v>
      </c>
      <c r="G5" s="19" t="n">
        <f aca="false">Assumptions!E$37</f>
        <v>0.1317</v>
      </c>
      <c r="H5" s="19" t="n">
        <f aca="false">Assumptions!F$37</f>
        <v>0.1317</v>
      </c>
      <c r="I5" s="19" t="n">
        <f aca="false">Assumptions!G$37</f>
        <v>0.1317</v>
      </c>
      <c r="J5" s="25"/>
    </row>
    <row r="6" customFormat="false" ht="15" hidden="false" customHeight="false" outlineLevel="0" collapsed="false">
      <c r="A6" s="10" t="s">
        <v>658</v>
      </c>
      <c r="E6" s="47" t="n">
        <f aca="false">E4*(1-E5)</f>
        <v>5410.19579778288</v>
      </c>
      <c r="F6" s="47" t="n">
        <f aca="false">F4*(1-F5)</f>
        <v>8197.22006909358</v>
      </c>
      <c r="G6" s="47" t="n">
        <f aca="false">G4*(1-G5)</f>
        <v>11960.4366134674</v>
      </c>
      <c r="H6" s="47" t="n">
        <f aca="false">H4*(1-H5)</f>
        <v>14842.2215338673</v>
      </c>
      <c r="I6" s="47" t="n">
        <f aca="false">I4*(1-I5)</f>
        <v>17068.4114631341</v>
      </c>
      <c r="J6" s="25"/>
    </row>
    <row r="7" customFormat="false" ht="15" hidden="false" customHeight="false" outlineLevel="0" collapsed="false">
      <c r="A7" s="5" t="s">
        <v>659</v>
      </c>
      <c r="E7" s="9" t="n">
        <f aca="false">PPE!E19</f>
        <v>922.748430446368</v>
      </c>
      <c r="F7" s="9" t="n">
        <f aca="false">PPE!F19</f>
        <v>1434.66785342014</v>
      </c>
      <c r="G7" s="9" t="n">
        <f aca="false">PPE!G19</f>
        <v>1923.44545203978</v>
      </c>
      <c r="H7" s="9" t="n">
        <f aca="false">PPE!H19</f>
        <v>2427.05995497494</v>
      </c>
      <c r="I7" s="9" t="n">
        <f aca="false">PPE!I19</f>
        <v>2908.33675064901</v>
      </c>
      <c r="J7" s="25"/>
    </row>
    <row r="8" customFormat="false" ht="15" hidden="false" customHeight="false" outlineLevel="0" collapsed="false">
      <c r="A8" s="5" t="s">
        <v>660</v>
      </c>
      <c r="E8" s="9" t="n">
        <f aca="false">Schedules!E18</f>
        <v>965.145428999417</v>
      </c>
      <c r="F8" s="9" t="n">
        <f aca="false">Schedules!F18</f>
        <v>1559.83653717014</v>
      </c>
      <c r="G8" s="9" t="n">
        <f aca="false">Schedules!G18</f>
        <v>2105.67331606021</v>
      </c>
      <c r="H8" s="9" t="n">
        <f aca="false">Schedules!H18</f>
        <v>1755.05903068705</v>
      </c>
      <c r="I8" s="9" t="n">
        <f aca="false">Schedules!I18</f>
        <v>1413.05607955134</v>
      </c>
      <c r="J8" s="27" t="s">
        <v>661</v>
      </c>
    </row>
    <row r="9" customFormat="false" ht="15" hidden="false" customHeight="false" outlineLevel="0" collapsed="false">
      <c r="A9" s="5" t="s">
        <v>662</v>
      </c>
      <c r="E9" s="9" t="n">
        <f aca="false">PPE!E14</f>
        <v>4436.5476815456</v>
      </c>
      <c r="F9" s="9" t="n">
        <f aca="false">PPE!F14</f>
        <v>5424.5328707668</v>
      </c>
      <c r="G9" s="9" t="n">
        <f aca="false">PPE!G14</f>
        <v>6305.80639080246</v>
      </c>
      <c r="H9" s="9" t="n">
        <f aca="false">PPE!H14</f>
        <v>6788.09342412942</v>
      </c>
      <c r="I9" s="9" t="n">
        <f aca="false">PPE!I14</f>
        <v>6605.84149994415</v>
      </c>
      <c r="J9" s="25"/>
    </row>
    <row r="10" customFormat="false" ht="15" hidden="false" customHeight="false" outlineLevel="0" collapsed="false">
      <c r="A10" s="10" t="s">
        <v>663</v>
      </c>
      <c r="E10" s="47" t="n">
        <f aca="false">E6+E7-E8-E9</f>
        <v>931.251117684228</v>
      </c>
      <c r="F10" s="47" t="n">
        <f aca="false">F6+F7-F8-F9</f>
        <v>2647.51851457677</v>
      </c>
      <c r="G10" s="47" t="n">
        <f aca="false">G6+G7-G8-G9</f>
        <v>5472.4023586445</v>
      </c>
      <c r="H10" s="47" t="n">
        <f aca="false">H6+H7-H8-H9</f>
        <v>8726.12903402576</v>
      </c>
      <c r="I10" s="47" t="n">
        <f aca="false">I6+I7-I8-I9</f>
        <v>11957.8506342877</v>
      </c>
      <c r="J10" s="25"/>
    </row>
    <row r="11" customFormat="false" ht="15" hidden="false" customHeight="false" outlineLevel="0" collapsed="false">
      <c r="A11" s="5" t="s">
        <v>664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5" t="s">
        <v>665</v>
      </c>
    </row>
    <row r="12" customFormat="false" ht="15" hidden="false" customHeight="false" outlineLevel="0" collapsed="false">
      <c r="A12" s="5" t="s">
        <v>666</v>
      </c>
      <c r="E12" s="41" t="n">
        <f aca="false">1/(1+Assumptions!$C$87)^E11</f>
        <v>0.964199994334572</v>
      </c>
      <c r="F12" s="41" t="n">
        <f aca="false">1/(1+Assumptions!$C$87)^F11</f>
        <v>0.896399021486865</v>
      </c>
      <c r="G12" s="41" t="n">
        <f aca="false">1/(1+Assumptions!$C$87)^G11</f>
        <v>0.833365702596954</v>
      </c>
      <c r="H12" s="41" t="n">
        <f aca="false">1/(1+Assumptions!$C$87)^H11</f>
        <v>0.774764784005391</v>
      </c>
      <c r="I12" s="41" t="n">
        <f aca="false">1/(1+Assumptions!$C$87)^I11</f>
        <v>0.720284586543908</v>
      </c>
      <c r="J12" s="25"/>
    </row>
    <row r="13" customFormat="false" ht="15" hidden="false" customHeight="false" outlineLevel="0" collapsed="false">
      <c r="A13" s="4" t="s">
        <v>667</v>
      </c>
      <c r="E13" s="9" t="n">
        <f aca="false">E10*E12</f>
        <v>897.912322395196</v>
      </c>
      <c r="F13" s="9" t="n">
        <f aca="false">F10*F12</f>
        <v>2373.23300583498</v>
      </c>
      <c r="G13" s="9" t="n">
        <f aca="false">G10*G12</f>
        <v>4560.51243650501</v>
      </c>
      <c r="H13" s="9" t="n">
        <f aca="false">H10*H12</f>
        <v>6760.69747625014</v>
      </c>
      <c r="I13" s="9" t="n">
        <f aca="false">I10*I12</f>
        <v>8613.05550007169</v>
      </c>
      <c r="J13" s="25"/>
    </row>
    <row r="15" customFormat="false" ht="15" hidden="false" customHeight="false" outlineLevel="0" collapsed="false">
      <c r="A15" s="3" t="s">
        <v>668</v>
      </c>
      <c r="D15" s="47" t="n">
        <f aca="false">SUM(E13:I13)</f>
        <v>23205.410741057</v>
      </c>
      <c r="J15" s="25"/>
    </row>
    <row r="16" customFormat="false" ht="15" hidden="false" customHeight="false" outlineLevel="0" collapsed="false">
      <c r="A16" s="5" t="s">
        <v>669</v>
      </c>
      <c r="D16" s="9" t="n">
        <f aca="false">I10*(1+Assumptions!$C$88)/(Assumptions!$C$87-Assumptions!$C$88)</f>
        <v>269881.326390667</v>
      </c>
      <c r="J16" s="25" t="s">
        <v>670</v>
      </c>
    </row>
    <row r="17" customFormat="false" ht="15" hidden="false" customHeight="false" outlineLevel="0" collapsed="false">
      <c r="A17" s="4" t="s">
        <v>671</v>
      </c>
      <c r="D17" s="9" t="n">
        <f aca="false">D16*I12</f>
        <v>194391.359595223</v>
      </c>
      <c r="J17" s="25" t="s">
        <v>672</v>
      </c>
    </row>
    <row r="18" customFormat="false" ht="15" hidden="false" customHeight="false" outlineLevel="0" collapsed="false">
      <c r="A18" s="3" t="s">
        <v>673</v>
      </c>
      <c r="D18" s="47" t="n">
        <f aca="false">D15+D17</f>
        <v>217596.77033628</v>
      </c>
      <c r="J18" s="25"/>
    </row>
    <row r="19" customFormat="false" ht="15" hidden="false" customHeight="false" outlineLevel="0" collapsed="false">
      <c r="A19" s="5" t="s">
        <v>674</v>
      </c>
      <c r="D19" s="9" t="n">
        <f aca="false">BS!D4</f>
        <v>2579.1</v>
      </c>
      <c r="J19" s="25"/>
    </row>
    <row r="20" customFormat="false" ht="15" hidden="false" customHeight="false" outlineLevel="0" collapsed="false">
      <c r="A20" s="5" t="s">
        <v>675</v>
      </c>
      <c r="D20" s="9" t="n">
        <f aca="false">BS!D5</f>
        <v>0</v>
      </c>
      <c r="J20" s="25"/>
    </row>
    <row r="21" customFormat="false" ht="15" hidden="false" customHeight="false" outlineLevel="0" collapsed="false">
      <c r="A21" s="5" t="s">
        <v>676</v>
      </c>
      <c r="D21" s="9" t="n">
        <f aca="false">BS!D18</f>
        <v>486.8</v>
      </c>
      <c r="J21" s="27" t="s">
        <v>677</v>
      </c>
    </row>
    <row r="22" customFormat="false" ht="15" hidden="false" customHeight="false" outlineLevel="0" collapsed="false">
      <c r="A22" s="5" t="s">
        <v>678</v>
      </c>
      <c r="D22" s="9" t="n">
        <f aca="false">-(BS!D22+BS!D28+BS!D31+BS!D32)</f>
        <v>-4567.5</v>
      </c>
      <c r="J22" s="25"/>
    </row>
    <row r="23" customFormat="false" ht="15" hidden="false" customHeight="false" outlineLevel="0" collapsed="false">
      <c r="A23" s="5" t="s">
        <v>679</v>
      </c>
      <c r="D23" s="9" t="n">
        <f aca="false">-BS!D44</f>
        <v>-15.4</v>
      </c>
      <c r="J23" s="27" t="s">
        <v>680</v>
      </c>
    </row>
    <row r="24" customFormat="false" ht="15" hidden="false" customHeight="false" outlineLevel="0" collapsed="false">
      <c r="A24" s="5" t="s">
        <v>681</v>
      </c>
      <c r="D24" s="9" t="n">
        <f aca="false">D19+D20+D21+D22+D23</f>
        <v>-1517</v>
      </c>
      <c r="J24" s="25" t="s">
        <v>682</v>
      </c>
    </row>
    <row r="25" customFormat="false" ht="15" hidden="false" customHeight="false" outlineLevel="0" collapsed="false">
      <c r="A25" s="3" t="s">
        <v>683</v>
      </c>
      <c r="D25" s="47" t="n">
        <f aca="false">D18+D24</f>
        <v>216079.77033628</v>
      </c>
      <c r="J25" s="25"/>
    </row>
    <row r="26" customFormat="false" ht="15" hidden="false" customHeight="false" outlineLevel="0" collapsed="false">
      <c r="A26" s="3" t="s">
        <v>684</v>
      </c>
      <c r="D26" s="18" t="n">
        <f aca="false">D25/Equity_Roll!$C$21</f>
        <v>112.284229025296</v>
      </c>
      <c r="J26" s="25" t="s">
        <v>685</v>
      </c>
    </row>
    <row r="27" customFormat="false" ht="15" hidden="false" customHeight="false" outlineLevel="0" collapsed="false">
      <c r="A27" s="5" t="s">
        <v>686</v>
      </c>
      <c r="D27" s="8" t="n">
        <f aca="false">Assumptions!$C$7</f>
        <v>123.53</v>
      </c>
      <c r="J27" s="25"/>
    </row>
    <row r="28" customFormat="false" ht="15" hidden="false" customHeight="false" outlineLevel="0" collapsed="false">
      <c r="A28" s="3" t="s">
        <v>687</v>
      </c>
      <c r="D28" s="56" t="n">
        <f aca="false">D26/D27-1</f>
        <v>-0.0910367600963644</v>
      </c>
      <c r="J28" s="25"/>
    </row>
    <row r="29" customFormat="false" ht="15" hidden="false" customHeight="false" outlineLevel="0" collapsed="false">
      <c r="A29" s="5" t="s">
        <v>688</v>
      </c>
      <c r="D29" s="57" t="n">
        <f aca="false">D25/IS!E20</f>
        <v>40.8277325177545</v>
      </c>
      <c r="J29" s="25" t="s">
        <v>689</v>
      </c>
    </row>
    <row r="30" customFormat="false" ht="15" hidden="false" customHeight="false" outlineLevel="0" collapsed="false">
      <c r="A30" s="5" t="s">
        <v>690</v>
      </c>
      <c r="D30" s="57" t="n">
        <f aca="false">D18/(IS!E24+PPE!E19)</f>
        <v>30.4180571612051</v>
      </c>
      <c r="J30" s="25"/>
    </row>
    <row r="31" customFormat="false" ht="13.4" hidden="false" customHeight="false" outlineLevel="0" collapsed="false">
      <c r="A31" s="15" t="s">
        <v>691</v>
      </c>
      <c r="B31" s="15"/>
      <c r="C31" s="15"/>
      <c r="D31" s="15"/>
      <c r="E31" s="15"/>
      <c r="F31" s="15"/>
      <c r="G31" s="15"/>
      <c r="H31" s="15"/>
      <c r="I31" s="15"/>
      <c r="J31" s="15"/>
    </row>
  </sheetData>
  <mergeCells count="3">
    <mergeCell ref="A1:J1"/>
    <mergeCell ref="A2:J2"/>
    <mergeCell ref="A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692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693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4" customFormat="false" ht="15" hidden="false" customHeight="false" outlineLevel="0" collapsed="false">
      <c r="A4" s="5" t="s">
        <v>315</v>
      </c>
      <c r="E4" s="9" t="n">
        <f aca="false">IS!E20</f>
        <v>5292.47540853058</v>
      </c>
      <c r="F4" s="9" t="n">
        <f aca="false">IS!F20</f>
        <v>8106.73893198611</v>
      </c>
      <c r="G4" s="9" t="n">
        <f aca="false">IS!G20</f>
        <v>11911.4131494525</v>
      </c>
      <c r="H4" s="9" t="n">
        <f aca="false">IS!H20</f>
        <v>14824.1492679465</v>
      </c>
      <c r="I4" s="9" t="n">
        <f aca="false">IS!I20</f>
        <v>17055.977813947</v>
      </c>
      <c r="J4" s="25" t="s">
        <v>694</v>
      </c>
    </row>
    <row r="5" customFormat="false" ht="15" hidden="false" customHeight="false" outlineLevel="0" collapsed="false">
      <c r="A5" s="5" t="s">
        <v>659</v>
      </c>
      <c r="E5" s="9" t="n">
        <f aca="false">PPE!E19</f>
        <v>922.748430446368</v>
      </c>
      <c r="F5" s="9" t="n">
        <f aca="false">PPE!F19</f>
        <v>1434.66785342014</v>
      </c>
      <c r="G5" s="9" t="n">
        <f aca="false">PPE!G19</f>
        <v>1923.44545203978</v>
      </c>
      <c r="H5" s="9" t="n">
        <f aca="false">PPE!H19</f>
        <v>2427.05995497494</v>
      </c>
      <c r="I5" s="9" t="n">
        <f aca="false">PPE!I19</f>
        <v>2908.33675064901</v>
      </c>
      <c r="J5" s="25" t="s">
        <v>695</v>
      </c>
    </row>
    <row r="6" customFormat="false" ht="15" hidden="false" customHeight="false" outlineLevel="0" collapsed="false">
      <c r="A6" s="5" t="s">
        <v>660</v>
      </c>
      <c r="E6" s="9" t="n">
        <f aca="false">Schedules!E18</f>
        <v>965.145428999417</v>
      </c>
      <c r="F6" s="9" t="n">
        <f aca="false">Schedules!F18</f>
        <v>1559.83653717014</v>
      </c>
      <c r="G6" s="9" t="n">
        <f aca="false">Schedules!G18</f>
        <v>2105.67331606021</v>
      </c>
      <c r="H6" s="9" t="n">
        <f aca="false">Schedules!H18</f>
        <v>1755.05903068705</v>
      </c>
      <c r="I6" s="9" t="n">
        <f aca="false">Schedules!I18</f>
        <v>1413.05607955134</v>
      </c>
      <c r="J6" s="25" t="s">
        <v>696</v>
      </c>
    </row>
    <row r="7" customFormat="false" ht="15" hidden="false" customHeight="false" outlineLevel="0" collapsed="false">
      <c r="A7" s="5" t="s">
        <v>662</v>
      </c>
      <c r="E7" s="9" t="n">
        <f aca="false">PPE!E14</f>
        <v>4436.5476815456</v>
      </c>
      <c r="F7" s="9" t="n">
        <f aca="false">PPE!F14</f>
        <v>5424.5328707668</v>
      </c>
      <c r="G7" s="9" t="n">
        <f aca="false">PPE!G14</f>
        <v>6305.80639080246</v>
      </c>
      <c r="H7" s="9" t="n">
        <f aca="false">PPE!H14</f>
        <v>6788.09342412942</v>
      </c>
      <c r="I7" s="9" t="n">
        <f aca="false">PPE!I14</f>
        <v>6605.84149994415</v>
      </c>
      <c r="J7" s="25" t="s">
        <v>697</v>
      </c>
    </row>
    <row r="8" customFormat="false" ht="15" hidden="false" customHeight="false" outlineLevel="0" collapsed="false">
      <c r="A8" s="5" t="s">
        <v>698</v>
      </c>
      <c r="E8" s="9" t="n">
        <f aca="false">FIN!E57</f>
        <v>-1777.34642019193</v>
      </c>
      <c r="F8" s="9" t="n">
        <f aca="false">FIN!F57</f>
        <v>-838.219560601257</v>
      </c>
      <c r="G8" s="9" t="n">
        <f aca="false">FIN!G57</f>
        <v>-1747.23401920682</v>
      </c>
      <c r="H8" s="9" t="n">
        <f aca="false">FIN!H57</f>
        <v>-102.4</v>
      </c>
      <c r="I8" s="9" t="n">
        <f aca="false">FIN!I57</f>
        <v>-102.2</v>
      </c>
      <c r="J8" s="25" t="s">
        <v>699</v>
      </c>
    </row>
    <row r="9" customFormat="false" ht="15" hidden="false" customHeight="false" outlineLevel="0" collapsed="false">
      <c r="A9" s="5" t="s">
        <v>700</v>
      </c>
      <c r="E9" s="9" t="n">
        <f aca="false">-FIN!E62</f>
        <v>-0</v>
      </c>
      <c r="F9" s="9" t="n">
        <f aca="false">-FIN!F62</f>
        <v>-0</v>
      </c>
      <c r="G9" s="9" t="n">
        <f aca="false">-FIN!G62</f>
        <v>-1071.04471700783</v>
      </c>
      <c r="H9" s="9" t="n">
        <f aca="false">-FIN!H62</f>
        <v>-4937.21781861572</v>
      </c>
      <c r="I9" s="9" t="n">
        <f aca="false">-FIN!I62</f>
        <v>-7389.28634906777</v>
      </c>
      <c r="J9" s="25" t="s">
        <v>701</v>
      </c>
    </row>
    <row r="10" customFormat="false" ht="15" hidden="false" customHeight="false" outlineLevel="0" collapsed="false">
      <c r="A10" s="10" t="s">
        <v>702</v>
      </c>
      <c r="E10" s="47" t="n">
        <f aca="false">E4+E5-E6-E7+E8</f>
        <v>-963.81569176</v>
      </c>
      <c r="F10" s="47" t="n">
        <f aca="false">F4+F5-F6-F7+F8</f>
        <v>1718.81781686804</v>
      </c>
      <c r="G10" s="47" t="n">
        <f aca="false">G4+G5-G6-G7+G8</f>
        <v>3676.1448754228</v>
      </c>
      <c r="H10" s="47" t="n">
        <f aca="false">H4+H5-H6-H7+H8</f>
        <v>8605.656768105</v>
      </c>
      <c r="I10" s="47" t="n">
        <f aca="false">I4+I5-I6-I7+I8</f>
        <v>11843.2169851005</v>
      </c>
      <c r="J10" s="25" t="s">
        <v>703</v>
      </c>
    </row>
    <row r="11" customFormat="false" ht="15" hidden="false" customHeight="false" outlineLevel="0" collapsed="false">
      <c r="A11" s="5" t="s">
        <v>664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5" t="s">
        <v>704</v>
      </c>
    </row>
    <row r="12" customFormat="false" ht="15" hidden="false" customHeight="false" outlineLevel="0" collapsed="false">
      <c r="A12" s="5" t="s">
        <v>705</v>
      </c>
      <c r="E12" s="41" t="n">
        <f aca="false">1/(1+KE)^E11</f>
        <v>0.963803118469325</v>
      </c>
      <c r="F12" s="41" t="n">
        <f aca="false">1/(1+KE)^F11</f>
        <v>0.895292572436257</v>
      </c>
      <c r="G12" s="41" t="n">
        <f aca="false">1/(1+KE)^G11</f>
        <v>0.831651999147419</v>
      </c>
      <c r="H12" s="41" t="n">
        <f aca="false">1/(1+KE)^H11</f>
        <v>0.77253522365745</v>
      </c>
      <c r="I12" s="41" t="n">
        <f aca="false">1/(1+KE)^I11</f>
        <v>0.717620678364625</v>
      </c>
      <c r="J12" s="25" t="s">
        <v>706</v>
      </c>
    </row>
    <row r="13" customFormat="false" ht="15" hidden="false" customHeight="false" outlineLevel="0" collapsed="false">
      <c r="A13" s="4" t="s">
        <v>707</v>
      </c>
      <c r="E13" s="9" t="n">
        <f aca="false">E10*E12</f>
        <v>-928.928569347958</v>
      </c>
      <c r="F13" s="9" t="n">
        <f aca="false">F10*F12</f>
        <v>1538.84482481306</v>
      </c>
      <c r="G13" s="9" t="n">
        <f aca="false">G10*G12</f>
        <v>3057.27323480091</v>
      </c>
      <c r="H13" s="9" t="n">
        <f aca="false">H10*H12</f>
        <v>6648.17297606725</v>
      </c>
      <c r="I13" s="9" t="n">
        <f aca="false">I10*I12</f>
        <v>8498.93740686729</v>
      </c>
      <c r="J13" s="25"/>
    </row>
    <row r="15" customFormat="false" ht="15" hidden="false" customHeight="false" outlineLevel="0" collapsed="false">
      <c r="A15" s="3" t="s">
        <v>668</v>
      </c>
      <c r="D15" s="47" t="n">
        <f aca="false">SUM(E13:I13)</f>
        <v>18814.2998732006</v>
      </c>
      <c r="J15" s="25"/>
    </row>
    <row r="16" customFormat="false" ht="15" hidden="false" customHeight="false" outlineLevel="0" collapsed="false">
      <c r="A16" s="5" t="s">
        <v>708</v>
      </c>
      <c r="D16" s="9" t="n">
        <f aca="false">I10-I8+FIN!I56*TERM_G</f>
        <v>11945.4199851005</v>
      </c>
      <c r="J16" s="25" t="s">
        <v>709</v>
      </c>
    </row>
    <row r="17" customFormat="false" ht="15" hidden="false" customHeight="false" outlineLevel="0" collapsed="false">
      <c r="A17" s="5" t="s">
        <v>710</v>
      </c>
      <c r="D17" s="9" t="n">
        <f aca="false">D16*(1+TERM_G)/(KE-TERM_G)</f>
        <v>264466.203054698</v>
      </c>
      <c r="J17" s="25" t="s">
        <v>711</v>
      </c>
    </row>
    <row r="18" customFormat="false" ht="15" hidden="false" customHeight="false" outlineLevel="0" collapsed="false">
      <c r="A18" s="4" t="s">
        <v>671</v>
      </c>
      <c r="D18" s="9" t="n">
        <f aca="false">D17*I12</f>
        <v>189786.416040629</v>
      </c>
      <c r="J18" s="25" t="s">
        <v>712</v>
      </c>
    </row>
    <row r="19" customFormat="false" ht="15" hidden="false" customHeight="false" outlineLevel="0" collapsed="false">
      <c r="A19" s="3" t="s">
        <v>713</v>
      </c>
      <c r="D19" s="47" t="n">
        <f aca="false">D15+D18</f>
        <v>208600.715913829</v>
      </c>
      <c r="J19" s="27" t="s">
        <v>714</v>
      </c>
    </row>
    <row r="20" customFormat="false" ht="15" hidden="false" customHeight="false" outlineLevel="0" collapsed="false">
      <c r="A20" s="3" t="s">
        <v>684</v>
      </c>
      <c r="D20" s="18" t="n">
        <f aca="false">D19/SHARES_DIL</f>
        <v>108.397794592512</v>
      </c>
      <c r="J20" s="25" t="s">
        <v>715</v>
      </c>
    </row>
    <row r="21" customFormat="false" ht="15" hidden="false" customHeight="false" outlineLevel="0" collapsed="false">
      <c r="A21" s="5" t="s">
        <v>716</v>
      </c>
      <c r="D21" s="8" t="n">
        <f aca="false">DCF!D26</f>
        <v>112.284229025296</v>
      </c>
      <c r="J21" s="25" t="s">
        <v>717</v>
      </c>
    </row>
    <row r="22" customFormat="false" ht="15" hidden="false" customHeight="false" outlineLevel="0" collapsed="false">
      <c r="A22" s="3" t="s">
        <v>718</v>
      </c>
      <c r="D22" s="56" t="n">
        <f aca="false">D20/D21-1</f>
        <v>-0.0346124693246895</v>
      </c>
      <c r="J22" s="27" t="s">
        <v>719</v>
      </c>
    </row>
    <row r="23" customFormat="false" ht="15" hidden="false" customHeight="false" outlineLevel="0" collapsed="false">
      <c r="A23" s="10" t="s">
        <v>82</v>
      </c>
      <c r="D23" s="3" t="str">
        <f aca="false">IF(""&lt;&gt;"","WAIVED: ",IF(ABS(D22)&gt;=0.3,"警告: 差异≥30%, 复核债务调度/资本结构/终值","通过: 差异&lt;30%"))</f>
        <v>通过: 差异&lt;30%</v>
      </c>
      <c r="J23" s="25" t="s">
        <v>720</v>
      </c>
    </row>
    <row r="24" customFormat="false" ht="51.75" hidden="false" customHeight="true" outlineLevel="0" collapsed="false">
      <c r="A24" s="3" t="s">
        <v>721</v>
      </c>
      <c r="B24" s="13" t="s">
        <v>722</v>
      </c>
      <c r="C24" s="13"/>
      <c r="D24" s="13"/>
      <c r="E24" s="13"/>
      <c r="F24" s="13"/>
      <c r="G24" s="13"/>
      <c r="H24" s="13"/>
      <c r="I24" s="13"/>
      <c r="J24" s="13"/>
    </row>
  </sheetData>
  <mergeCells count="3">
    <mergeCell ref="A1:J1"/>
    <mergeCell ref="A2:J2"/>
    <mergeCell ref="B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9.1"/>
    <col collapsed="false" customWidth="true" hidden="false" outlineLevel="0" max="3" min="3" style="0" width="10.92"/>
    <col collapsed="false" customWidth="true" hidden="false" outlineLevel="0" max="4" min="4" style="0" width="9.1"/>
    <col collapsed="false" customWidth="true" hidden="false" outlineLevel="0" max="5" min="5" style="0" width="12.74"/>
    <col collapsed="false" customWidth="true" hidden="false" outlineLevel="0" max="6" min="6" style="0" width="10.01"/>
    <col collapsed="false" customWidth="true" hidden="false" outlineLevel="0" max="7" min="7" style="0" width="12.74"/>
    <col collapsed="false" customWidth="true" hidden="false" outlineLevel="0" max="8" min="8" style="0" width="10.01"/>
    <col collapsed="false" customWidth="true" hidden="false" outlineLevel="0" max="9" min="9" style="0" width="10.92"/>
    <col collapsed="false" customWidth="true" hidden="false" outlineLevel="0" max="10" min="10" style="0" width="9.1"/>
    <col collapsed="false" customWidth="true" hidden="false" outlineLevel="0" max="11" min="11" style="0" width="50.95"/>
    <col collapsed="false" customWidth="true" hidden="false" outlineLevel="0" max="13" min="12" style="0" width="8.19"/>
    <col collapsed="false" customWidth="true" hidden="false" outlineLevel="0" max="14" min="14" style="0" width="7.28"/>
    <col collapsed="false" customWidth="true" hidden="false" outlineLevel="0" max="15" min="15" style="0" width="8.19"/>
  </cols>
  <sheetData>
    <row r="1" customFormat="false" ht="24" hidden="false" customHeight="true" outlineLevel="0" collapsed="false">
      <c r="A1" s="14" t="s">
        <v>723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13.5" hidden="false" customHeight="true" outlineLevel="0" collapsed="false">
      <c r="A2" s="15" t="s">
        <v>724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4" customFormat="false" ht="15" hidden="false" customHeight="false" outlineLevel="0" collapsed="false">
      <c r="A4" s="16" t="s">
        <v>725</v>
      </c>
      <c r="B4" s="16" t="s">
        <v>726</v>
      </c>
      <c r="C4" s="16" t="s">
        <v>727</v>
      </c>
      <c r="D4" s="44" t="s">
        <v>728</v>
      </c>
      <c r="E4" s="44" t="s">
        <v>729</v>
      </c>
      <c r="F4" s="44" t="s">
        <v>730</v>
      </c>
      <c r="G4" s="44" t="s">
        <v>731</v>
      </c>
      <c r="H4" s="44" t="s">
        <v>732</v>
      </c>
      <c r="I4" s="44" t="s">
        <v>733</v>
      </c>
      <c r="J4" s="44" t="s">
        <v>734</v>
      </c>
      <c r="K4" s="16" t="s">
        <v>735</v>
      </c>
      <c r="L4" s="44" t="s">
        <v>736</v>
      </c>
      <c r="M4" s="44" t="s">
        <v>737</v>
      </c>
      <c r="N4" s="16" t="s">
        <v>738</v>
      </c>
      <c r="O4" s="44" t="s">
        <v>739</v>
      </c>
    </row>
    <row r="5" customFormat="false" ht="25.35" hidden="false" customHeight="false" outlineLevel="0" collapsed="false">
      <c r="A5" s="5" t="s">
        <v>740</v>
      </c>
      <c r="B5" s="31" t="s">
        <v>741</v>
      </c>
      <c r="C5" s="36" t="n">
        <v>2616.22</v>
      </c>
      <c r="D5" s="58" t="n">
        <v>71.98</v>
      </c>
      <c r="E5" s="36" t="n">
        <v>47.01</v>
      </c>
      <c r="F5" s="57" t="n">
        <f aca="false">C5/E5</f>
        <v>55.6524143799192</v>
      </c>
      <c r="G5" s="36" t="n">
        <v>61.89</v>
      </c>
      <c r="H5" s="57" t="n">
        <f aca="false">C5/G5</f>
        <v>42.2720956535789</v>
      </c>
      <c r="I5" s="19" t="n">
        <f aca="false">G5/E5-1</f>
        <v>0.316528398213146</v>
      </c>
      <c r="J5" s="8" t="n">
        <f aca="false">F5/(I5*100)</f>
        <v>1.7582123655914</v>
      </c>
      <c r="K5" s="20" t="s">
        <v>742</v>
      </c>
      <c r="L5" s="59" t="n">
        <v>1.25</v>
      </c>
      <c r="M5" s="38" t="n">
        <v>0.3</v>
      </c>
      <c r="N5" s="38" t="n">
        <v>0.15</v>
      </c>
      <c r="O5" s="41" t="n">
        <f aca="false">L5/(1+(1-N5)*M5)</f>
        <v>0.99601593625498</v>
      </c>
    </row>
    <row r="6" customFormat="false" ht="25.35" hidden="false" customHeight="false" outlineLevel="0" collapsed="false">
      <c r="A6" s="5" t="s">
        <v>743</v>
      </c>
      <c r="B6" s="31" t="s">
        <v>744</v>
      </c>
      <c r="C6" s="36" t="n">
        <v>973.28</v>
      </c>
      <c r="D6" s="58" t="n">
        <v>47.4</v>
      </c>
      <c r="E6" s="36" t="n">
        <v>18</v>
      </c>
      <c r="F6" s="57" t="n">
        <f aca="false">C6/E6</f>
        <v>54.0711111111111</v>
      </c>
      <c r="G6" s="36" t="n">
        <v>23</v>
      </c>
      <c r="H6" s="57" t="n">
        <f aca="false">C6/G6</f>
        <v>42.3165217391304</v>
      </c>
      <c r="I6" s="19" t="n">
        <f aca="false">G6/E6-1</f>
        <v>0.277777777777778</v>
      </c>
      <c r="J6" s="8" t="n">
        <f aca="false">F6/(I6*100)</f>
        <v>1.94656</v>
      </c>
      <c r="K6" s="20" t="s">
        <v>745</v>
      </c>
      <c r="L6" s="59" t="n">
        <v>1.35</v>
      </c>
      <c r="M6" s="38" t="n">
        <v>0.45</v>
      </c>
      <c r="N6" s="38" t="n">
        <v>0.15</v>
      </c>
      <c r="O6" s="41" t="n">
        <f aca="false">L6/(1+(1-N6)*M6)</f>
        <v>0.976491862567812</v>
      </c>
    </row>
    <row r="7" customFormat="false" ht="25.35" hidden="false" customHeight="false" outlineLevel="0" collapsed="false">
      <c r="A7" s="5" t="s">
        <v>746</v>
      </c>
      <c r="B7" s="31" t="s">
        <v>747</v>
      </c>
      <c r="C7" s="36" t="n">
        <v>2662.66</v>
      </c>
      <c r="D7" s="58" t="n">
        <v>56.9</v>
      </c>
      <c r="E7" s="36" t="n">
        <v>91.2</v>
      </c>
      <c r="F7" s="57" t="n">
        <f aca="false">C7/E7</f>
        <v>29.1958333333333</v>
      </c>
      <c r="G7" s="36" t="n">
        <v>154.1</v>
      </c>
      <c r="H7" s="57" t="n">
        <f aca="false">C7/G7</f>
        <v>17.2787800129786</v>
      </c>
      <c r="I7" s="19" t="n">
        <f aca="false">G7/E7-1</f>
        <v>0.68969298245614</v>
      </c>
      <c r="J7" s="8" t="n">
        <f aca="false">F7/(I7*100)</f>
        <v>0.423316375198728</v>
      </c>
      <c r="K7" s="20" t="s">
        <v>748</v>
      </c>
      <c r="L7" s="59" t="n">
        <v>1.3</v>
      </c>
      <c r="M7" s="38" t="n">
        <v>0.03</v>
      </c>
      <c r="N7" s="38" t="n">
        <v>0.15</v>
      </c>
      <c r="O7" s="41" t="n">
        <f aca="false">L7/(1+(1-N7)*M7)</f>
        <v>1.26767430521697</v>
      </c>
    </row>
    <row r="8" customFormat="false" ht="25.35" hidden="false" customHeight="false" outlineLevel="0" collapsed="false">
      <c r="A8" s="5" t="s">
        <v>749</v>
      </c>
      <c r="B8" s="31" t="s">
        <v>750</v>
      </c>
      <c r="C8" s="36" t="n">
        <v>803.09</v>
      </c>
      <c r="D8" s="58" t="n">
        <v>54.27</v>
      </c>
      <c r="E8" s="36" t="n">
        <v>13</v>
      </c>
      <c r="F8" s="57" t="n">
        <f aca="false">C8/E8</f>
        <v>61.7761538461538</v>
      </c>
      <c r="G8" s="36" t="n">
        <v>17</v>
      </c>
      <c r="H8" s="57" t="n">
        <f aca="false">C8/G8</f>
        <v>47.2405882352941</v>
      </c>
      <c r="I8" s="19" t="n">
        <f aca="false">G8/E8-1</f>
        <v>0.307692307692308</v>
      </c>
      <c r="J8" s="8" t="n">
        <f aca="false">F8/(I8*100)</f>
        <v>2.007725</v>
      </c>
      <c r="K8" s="20" t="s">
        <v>751</v>
      </c>
      <c r="L8" s="59" t="n">
        <v>1.2</v>
      </c>
      <c r="M8" s="38" t="n">
        <v>0.2</v>
      </c>
      <c r="N8" s="38" t="n">
        <v>0.15</v>
      </c>
      <c r="O8" s="41" t="n">
        <f aca="false">L8/(1+(1-N8)*M8)</f>
        <v>1.02564102564103</v>
      </c>
    </row>
    <row r="9" customFormat="false" ht="25.35" hidden="false" customHeight="false" outlineLevel="0" collapsed="false">
      <c r="A9" s="3" t="s">
        <v>752</v>
      </c>
      <c r="F9" s="60" t="n">
        <f aca="false">MEDIAN(F5,F7)</f>
        <v>42.4241238566262</v>
      </c>
      <c r="H9" s="60" t="n">
        <f aca="false">MEDIAN(H5,H7)</f>
        <v>29.7754378332788</v>
      </c>
      <c r="J9" s="18" t="n">
        <f aca="false">MEDIAN(J5,J7)</f>
        <v>1.09076437039506</v>
      </c>
      <c r="K9" s="22" t="s">
        <v>753</v>
      </c>
      <c r="O9" s="61" t="n">
        <f aca="false">MEDIAN(O5:O8)</f>
        <v>1.010828480948</v>
      </c>
    </row>
    <row r="10" customFormat="false" ht="15" hidden="false" customHeight="false" outlineLevel="0" collapsed="false">
      <c r="A10" s="3" t="s">
        <v>754</v>
      </c>
      <c r="B10" s="31" t="s">
        <v>755</v>
      </c>
      <c r="C10" s="9" t="n">
        <f aca="false">Assumptions!$C$9/100</f>
        <v>2377.21132</v>
      </c>
      <c r="D10" s="58" t="n">
        <v>55.26</v>
      </c>
      <c r="E10" s="9" t="n">
        <f aca="false">Assumptions!$C$13/100</f>
        <v>57.402</v>
      </c>
      <c r="F10" s="60" t="n">
        <f aca="false">C10/E10</f>
        <v>41.41338838368</v>
      </c>
      <c r="G10" s="9" t="n">
        <f aca="false">Assumptions!$C$15/100</f>
        <v>88.338</v>
      </c>
      <c r="H10" s="57" t="n">
        <f aca="false">C10/G10</f>
        <v>26.9104045823994</v>
      </c>
      <c r="K10" s="22" t="s">
        <v>756</v>
      </c>
    </row>
    <row r="12" customFormat="false" ht="15.75" hidden="false" customHeight="true" outlineLevel="0" collapsed="false">
      <c r="A12" s="26" t="s">
        <v>757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</row>
    <row r="13" customFormat="false" ht="15" hidden="false" customHeight="false" outlineLevel="0" collapsed="false">
      <c r="A13" s="5" t="s">
        <v>758</v>
      </c>
      <c r="C13" s="62" t="n">
        <v>30</v>
      </c>
      <c r="K13" s="25" t="s">
        <v>759</v>
      </c>
    </row>
    <row r="14" customFormat="false" ht="15" hidden="false" customHeight="false" outlineLevel="0" collapsed="false">
      <c r="A14" s="5" t="s">
        <v>760</v>
      </c>
      <c r="C14" s="57" t="n">
        <f aca="false">F9</f>
        <v>42.4241238566262</v>
      </c>
      <c r="K14" s="25" t="s">
        <v>761</v>
      </c>
    </row>
    <row r="15" customFormat="false" ht="15" hidden="false" customHeight="false" outlineLevel="0" collapsed="false">
      <c r="A15" s="5" t="s">
        <v>762</v>
      </c>
      <c r="C15" s="9" t="n">
        <f aca="false">IS!E20</f>
        <v>5292.47540853058</v>
      </c>
    </row>
    <row r="16" customFormat="false" ht="15" hidden="false" customHeight="false" outlineLevel="0" collapsed="false">
      <c r="A16" s="3" t="s">
        <v>763</v>
      </c>
      <c r="C16" s="18" t="n">
        <f aca="false">C13*C15/Equity_Roll!$C$21</f>
        <v>82.5058523466625</v>
      </c>
    </row>
    <row r="17" customFormat="false" ht="15" hidden="false" customHeight="false" outlineLevel="0" collapsed="false">
      <c r="A17" s="3" t="s">
        <v>764</v>
      </c>
      <c r="C17" s="18" t="n">
        <f aca="false">C14*C15/Equity_Roll!$C$21</f>
        <v>116.674616628378</v>
      </c>
    </row>
    <row r="18" customFormat="false" ht="15" hidden="false" customHeight="false" outlineLevel="0" collapsed="false">
      <c r="A18" s="5" t="s">
        <v>765</v>
      </c>
      <c r="C18" s="8" t="n">
        <f aca="false">C13*Assumptions!$C$13/Equity_Roll!$C$21</f>
        <v>89.48555393889</v>
      </c>
      <c r="D18" s="8" t="n">
        <f aca="false">C14*Assumptions!$C$13/Equity_Roll!$C$21</f>
        <v>126.544874122743</v>
      </c>
      <c r="K18" s="25" t="s">
        <v>766</v>
      </c>
    </row>
    <row r="19" customFormat="false" ht="15" hidden="false" customHeight="false" outlineLevel="0" collapsed="false">
      <c r="A19" s="5" t="s">
        <v>767</v>
      </c>
      <c r="C19" s="19" t="n">
        <f aca="false">C16/Assumptions!$C$7-1</f>
        <v>-0.332098661485773</v>
      </c>
      <c r="D19" s="19" t="n">
        <f aca="false">C17/Assumptions!$C$7-1</f>
        <v>-0.0554956963621994</v>
      </c>
    </row>
  </sheetData>
  <mergeCells count="3">
    <mergeCell ref="A1:O1"/>
    <mergeCell ref="A2:O2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7" min="2" style="0" width="10.92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768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769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6" t="s">
        <v>770</v>
      </c>
      <c r="B4" s="26"/>
      <c r="C4" s="26"/>
      <c r="D4" s="26"/>
      <c r="E4" s="26"/>
      <c r="F4" s="26"/>
      <c r="G4" s="26"/>
      <c r="H4" s="26"/>
      <c r="I4" s="26"/>
    </row>
    <row r="5" customFormat="false" ht="15" hidden="false" customHeight="false" outlineLevel="0" collapsed="false">
      <c r="A5" s="37" t="s">
        <v>771</v>
      </c>
      <c r="C5" s="56" t="n">
        <f aca="false">Assumptions!$C$88-0.01</f>
        <v>0.02</v>
      </c>
      <c r="D5" s="56" t="n">
        <f aca="false">Assumptions!$C$88-0.005</f>
        <v>0.025</v>
      </c>
      <c r="E5" s="56" t="n">
        <f aca="false">Assumptions!$C$88</f>
        <v>0.03</v>
      </c>
      <c r="F5" s="56" t="n">
        <f aca="false">Assumptions!$C$88+0.005</f>
        <v>0.035</v>
      </c>
      <c r="G5" s="56" t="n">
        <f aca="false">Assumptions!$C$88+0.01</f>
        <v>0.04</v>
      </c>
    </row>
    <row r="6" customFormat="false" ht="15" hidden="false" customHeight="false" outlineLevel="0" collapsed="false">
      <c r="B6" s="56" t="n">
        <f aca="false">Assumptions!$C$87-0.01</f>
        <v>0.0656370446893662</v>
      </c>
      <c r="C6" s="8" t="n">
        <f aca="false">(DCF!$E$10/(1+$B6)^0.5+DCF!$F$10/(1+$B6)^1.5+DCF!$G$10/(1+$B6)^2.5+DCF!$H$10/(1+$B6)^3.5+DCF!$I$10/(1+$B6)^4.5+DCF!$I$10*(1+C$5)/($B6-C$5)/(1+$B6)^4.5+DCF!$D$24)/Equity_Roll!$C$21</f>
        <v>115.982106056513</v>
      </c>
      <c r="D6" s="8" t="n">
        <f aca="false">(DCF!$E$10/(1+$B6)^0.5+DCF!$F$10/(1+$B6)^1.5+DCF!$G$10/(1+$B6)^2.5+DCF!$H$10/(1+$B6)^3.5+DCF!$I$10/(1+$B6)^4.5+DCF!$I$10*(1+D$5)/($B6-D$5)/(1+$B6)^4.5+DCF!$D$24)/Equity_Roll!$C$21</f>
        <v>129.392933290165</v>
      </c>
      <c r="E6" s="8" t="n">
        <f aca="false">(DCF!$E$10/(1+$B6)^0.5+DCF!$F$10/(1+$B6)^1.5+DCF!$G$10/(1+$B6)^2.5+DCF!$H$10/(1+$B6)^3.5+DCF!$I$10/(1+$B6)^4.5+DCF!$I$10*(1+E$5)/($B6-E$5)/(1+$B6)^4.5+DCF!$D$24)/Equity_Roll!$C$21</f>
        <v>146.56693094116</v>
      </c>
      <c r="F6" s="8" t="n">
        <f aca="false">(DCF!$E$10/(1+$B6)^0.5+DCF!$F$10/(1+$B6)^1.5+DCF!$G$10/(1+$B6)^2.5+DCF!$H$10/(1+$B6)^3.5+DCF!$I$10/(1+$B6)^4.5+DCF!$I$10*(1+F$5)/($B6-F$5)/(1+$B6)^4.5+DCF!$D$24)/Equity_Roll!$C$21</f>
        <v>169.346559887577</v>
      </c>
      <c r="G6" s="8" t="n">
        <f aca="false">(DCF!$E$10/(1+$B6)^0.5+DCF!$F$10/(1+$B6)^1.5+DCF!$G$10/(1+$B6)^2.5+DCF!$H$10/(1+$B6)^3.5+DCF!$I$10/(1+$B6)^4.5+DCF!$I$10*(1+G$5)/($B6-G$5)/(1+$B6)^4.5+DCF!$D$24)/Equity_Roll!$C$21</f>
        <v>201.011623650069</v>
      </c>
    </row>
    <row r="7" customFormat="false" ht="15" hidden="false" customHeight="false" outlineLevel="0" collapsed="false">
      <c r="B7" s="56" t="n">
        <f aca="false">Assumptions!$C$87-0.005</f>
        <v>0.0706370446893662</v>
      </c>
      <c r="C7" s="8" t="n">
        <f aca="false">(DCF!$E$10/(1+$B7)^0.5+DCF!$F$10/(1+$B7)^1.5+DCF!$G$10/(1+$B7)^2.5+DCF!$H$10/(1+$B7)^3.5+DCF!$I$10/(1+$B7)^4.5+DCF!$I$10*(1+C$5)/($B7-C$5)/(1+$B7)^4.5+DCF!$D$24)/Equity_Roll!$C$21</f>
        <v>103.526339777915</v>
      </c>
      <c r="D7" s="8" t="n">
        <f aca="false">(DCF!$E$10/(1+$B7)^0.5+DCF!$F$10/(1+$B7)^1.5+DCF!$G$10/(1+$B7)^2.5+DCF!$H$10/(1+$B7)^3.5+DCF!$I$10/(1+$B7)^4.5+DCF!$I$10*(1+D$5)/($B7-D$5)/(1+$B7)^4.5+DCF!$D$24)/Equity_Roll!$C$21</f>
        <v>114.113853460259</v>
      </c>
      <c r="E7" s="8" t="n">
        <f aca="false">(DCF!$E$10/(1+$B7)^0.5+DCF!$F$10/(1+$B7)^1.5+DCF!$G$10/(1+$B7)^2.5+DCF!$H$10/(1+$B7)^3.5+DCF!$I$10/(1+$B7)^4.5+DCF!$I$10*(1+E$5)/($B7-E$5)/(1+$B7)^4.5+DCF!$D$24)/Equity_Roll!$C$21</f>
        <v>127.3067519001</v>
      </c>
      <c r="F7" s="8" t="n">
        <f aca="false">(DCF!$E$10/(1+$B7)^0.5+DCF!$F$10/(1+$B7)^1.5+DCF!$G$10/(1+$B7)^2.5+DCF!$H$10/(1+$B7)^3.5+DCF!$I$10/(1+$B7)^4.5+DCF!$I$10*(1+F$5)/($B7-F$5)/(1+$B7)^4.5+DCF!$D$24)/Equity_Roll!$C$21</f>
        <v>144.201668437917</v>
      </c>
      <c r="G7" s="8" t="n">
        <f aca="false">(DCF!$E$10/(1+$B7)^0.5+DCF!$F$10/(1+$B7)^1.5+DCF!$G$10/(1+$B7)^2.5+DCF!$H$10/(1+$B7)^3.5+DCF!$I$10/(1+$B7)^4.5+DCF!$I$10*(1+G$5)/($B7-G$5)/(1+$B7)^4.5+DCF!$D$24)/Equity_Roll!$C$21</f>
        <v>166.611123570796</v>
      </c>
    </row>
    <row r="8" customFormat="false" ht="15" hidden="false" customHeight="false" outlineLevel="0" collapsed="false">
      <c r="B8" s="56" t="n">
        <f aca="false">Assumptions!$C$87</f>
        <v>0.0756370446893662</v>
      </c>
      <c r="C8" s="8" t="n">
        <f aca="false">(DCF!$E$10/(1+$B8)^0.5+DCF!$F$10/(1+$B8)^1.5+DCF!$G$10/(1+$B8)^2.5+DCF!$H$10/(1+$B8)^3.5+DCF!$I$10/(1+$B8)^4.5+DCF!$I$10*(1+C$5)/($B8-C$5)/(1+$B8)^4.5+DCF!$D$24)/Equity_Roll!$C$21</f>
        <v>93.3238907269723</v>
      </c>
      <c r="D8" s="8" t="n">
        <f aca="false">(DCF!$E$10/(1+$B8)^0.5+DCF!$F$10/(1+$B8)^1.5+DCF!$G$10/(1+$B8)^2.5+DCF!$H$10/(1+$B8)^3.5+DCF!$I$10/(1+$B8)^4.5+DCF!$I$10*(1+D$5)/($B8-D$5)/(1+$B8)^4.5+DCF!$D$24)/Equity_Roll!$C$21</f>
        <v>101.867969588153</v>
      </c>
      <c r="E8" s="63" t="n">
        <f aca="false">(DCF!$E$10/(1+$B8)^0.5+DCF!$F$10/(1+$B8)^1.5+DCF!$G$10/(1+$B8)^2.5+DCF!$H$10/(1+$B8)^3.5+DCF!$I$10/(1+$B8)^4.5+DCF!$I$10*(1+E$5)/($B8-E$5)/(1+$B8)^4.5+DCF!$D$24)/Equity_Roll!$C$21</f>
        <v>112.284229025296</v>
      </c>
      <c r="F8" s="8" t="n">
        <f aca="false">(DCF!$E$10/(1+$B8)^0.5+DCF!$F$10/(1+$B8)^1.5+DCF!$G$10/(1+$B8)^2.5+DCF!$H$10/(1+$B8)^3.5+DCF!$I$10/(1+$B8)^4.5+DCF!$I$10*(1+F$5)/($B8-F$5)/(1+$B8)^4.5+DCF!$D$24)/Equity_Roll!$C$21</f>
        <v>125.263730823386</v>
      </c>
      <c r="G8" s="8" t="n">
        <f aca="false">(DCF!$E$10/(1+$B8)^0.5+DCF!$F$10/(1+$B8)^1.5+DCF!$G$10/(1+$B8)^2.5+DCF!$H$10/(1+$B8)^3.5+DCF!$I$10/(1+$B8)^4.5+DCF!$I$10*(1+G$5)/($B8-G$5)/(1+$B8)^4.5+DCF!$D$24)/Equity_Roll!$C$21</f>
        <v>141.885370153144</v>
      </c>
    </row>
    <row r="9" customFormat="false" ht="15" hidden="false" customHeight="false" outlineLevel="0" collapsed="false">
      <c r="B9" s="56" t="n">
        <f aca="false">Assumptions!$C$87+0.005</f>
        <v>0.0806370446893662</v>
      </c>
      <c r="C9" s="8" t="n">
        <f aca="false">(DCF!$E$10/(1+$B9)^0.5+DCF!$F$10/(1+$B9)^1.5+DCF!$G$10/(1+$B9)^2.5+DCF!$H$10/(1+$B9)^3.5+DCF!$I$10/(1+$B9)^4.5+DCF!$I$10*(1+C$5)/($B9-C$5)/(1+$B9)^4.5+DCF!$D$24)/Equity_Roll!$C$21</f>
        <v>84.8170478534396</v>
      </c>
      <c r="D9" s="8" t="n">
        <f aca="false">(DCF!$E$10/(1+$B9)^0.5+DCF!$F$10/(1+$B9)^1.5+DCF!$G$10/(1+$B9)^2.5+DCF!$H$10/(1+$B9)^3.5+DCF!$I$10/(1+$B9)^4.5+DCF!$I$10*(1+D$5)/($B9-D$5)/(1+$B9)^4.5+DCF!$D$24)/Equity_Roll!$C$21</f>
        <v>91.8371950955422</v>
      </c>
      <c r="E9" s="8" t="n">
        <f aca="false">(DCF!$E$10/(1+$B9)^0.5+DCF!$F$10/(1+$B9)^1.5+DCF!$G$10/(1+$B9)^2.5+DCF!$H$10/(1+$B9)^3.5+DCF!$I$10/(1+$B9)^4.5+DCF!$I$10*(1+E$5)/($B9-E$5)/(1+$B9)^4.5+DCF!$D$24)/Equity_Roll!$C$21</f>
        <v>100.243708245286</v>
      </c>
      <c r="F9" s="8" t="n">
        <f aca="false">(DCF!$E$10/(1+$B9)^0.5+DCF!$F$10/(1+$B9)^1.5+DCF!$G$10/(1+$B9)^2.5+DCF!$H$10/(1+$B9)^3.5+DCF!$I$10/(1+$B9)^4.5+DCF!$I$10*(1+F$5)/($B9-F$5)/(1+$B9)^4.5+DCF!$D$24)/Equity_Roll!$C$21</f>
        <v>110.492258539845</v>
      </c>
      <c r="G9" s="8" t="n">
        <f aca="false">(DCF!$E$10/(1+$B9)^0.5+DCF!$F$10/(1+$B9)^1.5+DCF!$G$10/(1+$B9)^2.5+DCF!$H$10/(1+$B9)^3.5+DCF!$I$10/(1+$B9)^4.5+DCF!$I$10*(1+G$5)/($B9-G$5)/(1+$B9)^4.5+DCF!$D$24)/Equity_Roll!$C$21</f>
        <v>123.262781180795</v>
      </c>
    </row>
    <row r="10" customFormat="false" ht="15" hidden="false" customHeight="false" outlineLevel="0" collapsed="false">
      <c r="B10" s="56" t="n">
        <f aca="false">Assumptions!$C$87+0.01</f>
        <v>0.0856370446893662</v>
      </c>
      <c r="C10" s="8" t="n">
        <f aca="false">(DCF!$E$10/(1+$B10)^0.5+DCF!$F$10/(1+$B10)^1.5+DCF!$G$10/(1+$B10)^2.5+DCF!$H$10/(1+$B10)^3.5+DCF!$I$10/(1+$B10)^4.5+DCF!$I$10*(1+C$5)/($B10-C$5)/(1+$B10)^4.5+DCF!$D$24)/Equity_Roll!$C$21</f>
        <v>77.6180456066421</v>
      </c>
      <c r="D10" s="8" t="n">
        <f aca="false">(DCF!$E$10/(1+$B10)^0.5+DCF!$F$10/(1+$B10)^1.5+DCF!$G$10/(1+$B10)^2.5+DCF!$H$10/(1+$B10)^3.5+DCF!$I$10/(1+$B10)^4.5+DCF!$I$10*(1+D$5)/($B10-D$5)/(1+$B10)^4.5+DCF!$D$24)/Equity_Roll!$C$21</f>
        <v>83.4732821635905</v>
      </c>
      <c r="E10" s="8" t="n">
        <f aca="false">(DCF!$E$10/(1+$B10)^0.5+DCF!$F$10/(1+$B10)^1.5+DCF!$G$10/(1+$B10)^2.5+DCF!$H$10/(1+$B10)^3.5+DCF!$I$10/(1+$B10)^4.5+DCF!$I$10*(1+E$5)/($B10-E$5)/(1+$B10)^4.5+DCF!$D$24)/Equity_Roll!$C$21</f>
        <v>90.3809176374187</v>
      </c>
      <c r="F10" s="8" t="n">
        <f aca="false">(DCF!$E$10/(1+$B10)^0.5+DCF!$F$10/(1+$B10)^1.5+DCF!$G$10/(1+$B10)^2.5+DCF!$H$10/(1+$B10)^3.5+DCF!$I$10/(1+$B10)^4.5+DCF!$I$10*(1+F$5)/($B10-F$5)/(1+$B10)^4.5+DCF!$D$24)/Equity_Roll!$C$21</f>
        <v>98.6526997584699</v>
      </c>
      <c r="G10" s="8" t="n">
        <f aca="false">(DCF!$E$10/(1+$B10)^0.5+DCF!$F$10/(1+$B10)^1.5+DCF!$G$10/(1+$B10)^2.5+DCF!$H$10/(1+$B10)^3.5+DCF!$I$10/(1+$B10)^4.5+DCF!$I$10*(1+G$5)/($B10-G$5)/(1+$B10)^4.5+DCF!$D$24)/Equity_Roll!$C$21</f>
        <v>108.736996729541</v>
      </c>
    </row>
    <row r="11" customFormat="false" ht="15" hidden="false" customHeight="false" outlineLevel="0" collapsed="false">
      <c r="A11" s="25" t="s">
        <v>772</v>
      </c>
    </row>
    <row r="13" customFormat="false" ht="15.75" hidden="false" customHeight="true" outlineLevel="0" collapsed="false">
      <c r="A13" s="26" t="s">
        <v>773</v>
      </c>
      <c r="B13" s="26"/>
      <c r="C13" s="26"/>
      <c r="D13" s="26"/>
      <c r="E13" s="26"/>
      <c r="F13" s="26"/>
      <c r="G13" s="26"/>
      <c r="H13" s="26"/>
      <c r="I13" s="26"/>
    </row>
    <row r="14" customFormat="false" ht="15" hidden="false" customHeight="false" outlineLevel="0" collapsed="false">
      <c r="A14" s="37" t="s">
        <v>774</v>
      </c>
      <c r="C14" s="64" t="n">
        <v>25</v>
      </c>
      <c r="D14" s="64" t="n">
        <v>30</v>
      </c>
      <c r="E14" s="64" t="n">
        <v>35</v>
      </c>
      <c r="F14" s="64" t="n">
        <v>40</v>
      </c>
      <c r="G14" s="64" t="n">
        <v>45</v>
      </c>
      <c r="H14" s="64" t="n">
        <v>50</v>
      </c>
    </row>
    <row r="15" customFormat="false" ht="15" hidden="false" customHeight="false" outlineLevel="0" collapsed="false">
      <c r="B15" s="65" t="n">
        <v>0.2</v>
      </c>
      <c r="C15" s="8" t="n">
        <f aca="false">IS!$D$20*(1+$B15)*C$14/Equity_Roll!$C$21</f>
        <v>59.5868842236541</v>
      </c>
      <c r="D15" s="8" t="n">
        <f aca="false">IS!$D$20*(1+$B15)*D$14/Equity_Roll!$C$21</f>
        <v>71.504261068385</v>
      </c>
      <c r="E15" s="8" t="n">
        <f aca="false">IS!$D$20*(1+$B15)*E$14/Equity_Roll!$C$21</f>
        <v>83.4216379131158</v>
      </c>
      <c r="F15" s="8" t="n">
        <f aca="false">IS!$D$20*(1+$B15)*F$14/Equity_Roll!$C$21</f>
        <v>95.3390147578466</v>
      </c>
      <c r="G15" s="8" t="n">
        <f aca="false">IS!$D$20*(1+$B15)*G$14/Equity_Roll!$C$21</f>
        <v>107.256391602577</v>
      </c>
      <c r="H15" s="8" t="n">
        <f aca="false">IS!$D$20*(1+$B15)*H$14/Equity_Roll!$C$21</f>
        <v>119.173768447308</v>
      </c>
    </row>
    <row r="16" customFormat="false" ht="15" hidden="false" customHeight="false" outlineLevel="0" collapsed="false">
      <c r="B16" s="65" t="n">
        <v>0.35</v>
      </c>
      <c r="C16" s="8" t="n">
        <f aca="false">IS!$D$20*(1+$B16)*C$14/Equity_Roll!$C$21</f>
        <v>67.0352447516109</v>
      </c>
      <c r="D16" s="8" t="n">
        <f aca="false">IS!$D$20*(1+$B16)*D$14/Equity_Roll!$C$21</f>
        <v>80.4422937019331</v>
      </c>
      <c r="E16" s="8" t="n">
        <f aca="false">IS!$D$20*(1+$B16)*E$14/Equity_Roll!$C$21</f>
        <v>93.8493426522553</v>
      </c>
      <c r="F16" s="8" t="n">
        <f aca="false">IS!$D$20*(1+$B16)*F$14/Equity_Roll!$C$21</f>
        <v>107.256391602577</v>
      </c>
      <c r="G16" s="8" t="n">
        <f aca="false">IS!$D$20*(1+$B16)*G$14/Equity_Roll!$C$21</f>
        <v>120.6634405529</v>
      </c>
      <c r="H16" s="8" t="n">
        <f aca="false">IS!$D$20*(1+$B16)*H$14/Equity_Roll!$C$21</f>
        <v>134.070489503222</v>
      </c>
    </row>
    <row r="17" customFormat="false" ht="15" hidden="false" customHeight="false" outlineLevel="0" collapsed="false">
      <c r="B17" s="65" t="n">
        <v>0.5</v>
      </c>
      <c r="C17" s="8" t="n">
        <f aca="false">IS!$D$20*(1+$B17)*C$14/Equity_Roll!$C$21</f>
        <v>74.4836052795677</v>
      </c>
      <c r="D17" s="8" t="n">
        <f aca="false">IS!$D$20*(1+$B17)*D$14/Equity_Roll!$C$21</f>
        <v>89.3803263354812</v>
      </c>
      <c r="E17" s="8" t="n">
        <f aca="false">IS!$D$20*(1+$B17)*E$14/Equity_Roll!$C$21</f>
        <v>104.277047391395</v>
      </c>
      <c r="F17" s="63" t="n">
        <f aca="false">IS!$D$20*(1+$B17)*F$14/Equity_Roll!$C$21</f>
        <v>119.173768447308</v>
      </c>
      <c r="G17" s="8" t="n">
        <f aca="false">IS!$D$20*(1+$B17)*G$14/Equity_Roll!$C$21</f>
        <v>134.070489503222</v>
      </c>
      <c r="H17" s="8" t="n">
        <f aca="false">IS!$D$20*(1+$B17)*H$14/Equity_Roll!$C$21</f>
        <v>148.967210559135</v>
      </c>
    </row>
    <row r="18" customFormat="false" ht="15" hidden="false" customHeight="false" outlineLevel="0" collapsed="false">
      <c r="B18" s="65" t="n">
        <v>0.65</v>
      </c>
      <c r="C18" s="8" t="n">
        <f aca="false">IS!$D$20*(1+$B18)*C$14/Equity_Roll!$C$21</f>
        <v>81.9319658075244</v>
      </c>
      <c r="D18" s="8" t="n">
        <f aca="false">IS!$D$20*(1+$B18)*D$14/Equity_Roll!$C$21</f>
        <v>98.3183589690293</v>
      </c>
      <c r="E18" s="8" t="n">
        <f aca="false">IS!$D$20*(1+$B18)*E$14/Equity_Roll!$C$21</f>
        <v>114.704752130534</v>
      </c>
      <c r="F18" s="8" t="n">
        <f aca="false">IS!$D$20*(1+$B18)*F$14/Equity_Roll!$C$21</f>
        <v>131.091145292039</v>
      </c>
      <c r="G18" s="8" t="n">
        <f aca="false">IS!$D$20*(1+$B18)*G$14/Equity_Roll!$C$21</f>
        <v>147.477538453544</v>
      </c>
      <c r="H18" s="8" t="n">
        <f aca="false">IS!$D$20*(1+$B18)*H$14/Equity_Roll!$C$21</f>
        <v>163.863931615049</v>
      </c>
    </row>
    <row r="19" customFormat="false" ht="15" hidden="false" customHeight="false" outlineLevel="0" collapsed="false">
      <c r="B19" s="65" t="n">
        <v>0.8</v>
      </c>
      <c r="C19" s="8" t="n">
        <f aca="false">IS!$D$20*(1+$B19)*C$14/Equity_Roll!$C$21</f>
        <v>89.3803263354812</v>
      </c>
      <c r="D19" s="8" t="n">
        <f aca="false">IS!$D$20*(1+$B19)*D$14/Equity_Roll!$C$21</f>
        <v>107.256391602577</v>
      </c>
      <c r="E19" s="8" t="n">
        <f aca="false">IS!$D$20*(1+$B19)*E$14/Equity_Roll!$C$21</f>
        <v>125.132456869674</v>
      </c>
      <c r="F19" s="8" t="n">
        <f aca="false">IS!$D$20*(1+$B19)*F$14/Equity_Roll!$C$21</f>
        <v>143.00852213677</v>
      </c>
      <c r="G19" s="8" t="n">
        <f aca="false">IS!$D$20*(1+$B19)*G$14/Equity_Roll!$C$21</f>
        <v>160.884587403866</v>
      </c>
      <c r="H19" s="8" t="n">
        <f aca="false">IS!$D$20*(1+$B19)*H$14/Equity_Roll!$C$21</f>
        <v>178.760652670962</v>
      </c>
    </row>
    <row r="20" customFormat="false" ht="15" hidden="false" customHeight="false" outlineLevel="0" collapsed="false">
      <c r="A20" s="25" t="s">
        <v>775</v>
      </c>
    </row>
    <row r="22" customFormat="false" ht="15.75" hidden="false" customHeight="true" outlineLevel="0" collapsed="false">
      <c r="A22" s="26" t="s">
        <v>776</v>
      </c>
      <c r="B22" s="26"/>
      <c r="C22" s="26"/>
      <c r="D22" s="26"/>
      <c r="E22" s="26"/>
      <c r="F22" s="26"/>
      <c r="G22" s="26"/>
      <c r="H22" s="26"/>
      <c r="I22" s="26"/>
    </row>
    <row r="23" customFormat="false" ht="25.35" hidden="false" customHeight="false" outlineLevel="0" collapsed="false">
      <c r="A23" s="37" t="s">
        <v>777</v>
      </c>
      <c r="C23" s="42" t="s">
        <v>778</v>
      </c>
      <c r="D23" s="37" t="s">
        <v>779</v>
      </c>
      <c r="I23" s="20" t="s">
        <v>780</v>
      </c>
    </row>
    <row r="24" customFormat="false" ht="15" hidden="false" customHeight="false" outlineLevel="0" collapsed="false">
      <c r="B24" s="66" t="n">
        <v>-40</v>
      </c>
      <c r="C24" s="8" t="n">
        <f aca="false">((DCF!E$10+$B24/365*(IS!E$6))/(1+Assumptions!$C$87)^0.5+(DCF!F$10+$B24/365*(IS!F$6-IS!E$6))/(1+Assumptions!$C$87)^1.5+(DCF!G$10+$B24/365*(IS!G$6-IS!F$6))/(1+Assumptions!$C$87)^2.5+(DCF!H$10+$B24/365*(IS!H$6-IS!G$6))/(1+Assumptions!$C$87)^3.5+(DCF!I$10+$B24/365*(IS!I$6-IS!H$6))/(1+Assumptions!$C$87)^4.5+(DCF!$I$10+$B24/365*(IS!I$6-IS!H$6))*(1+Assumptions!$C$88)/(Assumptions!$C$87-Assumptions!$C$88)/(1+Assumptions!$C$87)^4.5+DCF!$D$24)/Equity_Roll!$C$21</f>
        <v>103.033151453453</v>
      </c>
      <c r="D24" s="19" t="n">
        <f aca="false">C24/DCF!$D$26-1</f>
        <v>-0.0823898213680502</v>
      </c>
    </row>
    <row r="25" customFormat="false" ht="15" hidden="false" customHeight="false" outlineLevel="0" collapsed="false">
      <c r="B25" s="66" t="n">
        <v>-20</v>
      </c>
      <c r="C25" s="8" t="n">
        <f aca="false">((DCF!E$10+$B25/365*(IS!E$6))/(1+Assumptions!$C$87)^0.5+(DCF!F$10+$B25/365*(IS!F$6-IS!E$6))/(1+Assumptions!$C$87)^1.5+(DCF!G$10+$B25/365*(IS!G$6-IS!F$6))/(1+Assumptions!$C$87)^2.5+(DCF!H$10+$B25/365*(IS!H$6-IS!G$6))/(1+Assumptions!$C$87)^3.5+(DCF!I$10+$B25/365*(IS!I$6-IS!H$6))/(1+Assumptions!$C$87)^4.5+(DCF!$I$10+$B25/365*(IS!I$6-IS!H$6))*(1+Assumptions!$C$88)/(Assumptions!$C$87-Assumptions!$C$88)/(1+Assumptions!$C$87)^4.5+DCF!$D$24)/Equity_Roll!$C$21</f>
        <v>107.658690239374</v>
      </c>
      <c r="D25" s="19" t="n">
        <f aca="false">C25/DCF!$D$26-1</f>
        <v>-0.0411949106840251</v>
      </c>
    </row>
    <row r="26" customFormat="false" ht="15" hidden="false" customHeight="false" outlineLevel="0" collapsed="false">
      <c r="B26" s="66" t="n">
        <v>0</v>
      </c>
      <c r="C26" s="63" t="n">
        <f aca="false">((DCF!E$10+$B26/365*(IS!E$6))/(1+Assumptions!$C$87)^0.5+(DCF!F$10+$B26/365*(IS!F$6-IS!E$6))/(1+Assumptions!$C$87)^1.5+(DCF!G$10+$B26/365*(IS!G$6-IS!F$6))/(1+Assumptions!$C$87)^2.5+(DCF!H$10+$B26/365*(IS!H$6-IS!G$6))/(1+Assumptions!$C$87)^3.5+(DCF!I$10+$B26/365*(IS!I$6-IS!H$6))/(1+Assumptions!$C$87)^4.5+(DCF!$I$10+$B26/365*(IS!I$6-IS!H$6))*(1+Assumptions!$C$88)/(Assumptions!$C$87-Assumptions!$C$88)/(1+Assumptions!$C$87)^4.5+DCF!$D$24)/Equity_Roll!$C$21</f>
        <v>112.284229025296</v>
      </c>
      <c r="D26" s="19" t="n">
        <f aca="false">C26/DCF!$D$26-1</f>
        <v>0</v>
      </c>
    </row>
    <row r="27" customFormat="false" ht="15" hidden="false" customHeight="false" outlineLevel="0" collapsed="false">
      <c r="B27" s="66" t="n">
        <v>20</v>
      </c>
      <c r="C27" s="8" t="n">
        <f aca="false">((DCF!E$10+$B27/365*(IS!E$6))/(1+Assumptions!$C$87)^0.5+(DCF!F$10+$B27/365*(IS!F$6-IS!E$6))/(1+Assumptions!$C$87)^1.5+(DCF!G$10+$B27/365*(IS!G$6-IS!F$6))/(1+Assumptions!$C$87)^2.5+(DCF!H$10+$B27/365*(IS!H$6-IS!G$6))/(1+Assumptions!$C$87)^3.5+(DCF!I$10+$B27/365*(IS!I$6-IS!H$6))/(1+Assumptions!$C$87)^4.5+(DCF!$I$10+$B27/365*(IS!I$6-IS!H$6))*(1+Assumptions!$C$88)/(Assumptions!$C$87-Assumptions!$C$88)/(1+Assumptions!$C$87)^4.5+DCF!$D$24)/Equity_Roll!$C$21</f>
        <v>116.909767811218</v>
      </c>
      <c r="D27" s="19" t="n">
        <f aca="false">C27/DCF!$D$26-1</f>
        <v>0.0411949106840253</v>
      </c>
    </row>
    <row r="28" customFormat="false" ht="15" hidden="false" customHeight="false" outlineLevel="0" collapsed="false">
      <c r="B28" s="66" t="n">
        <v>40</v>
      </c>
      <c r="C28" s="8" t="n">
        <f aca="false">((DCF!E$10+$B28/365*(IS!E$6))/(1+Assumptions!$C$87)^0.5+(DCF!F$10+$B28/365*(IS!F$6-IS!E$6))/(1+Assumptions!$C$87)^1.5+(DCF!G$10+$B28/365*(IS!G$6-IS!F$6))/(1+Assumptions!$C$87)^2.5+(DCF!H$10+$B28/365*(IS!H$6-IS!G$6))/(1+Assumptions!$C$87)^3.5+(DCF!I$10+$B28/365*(IS!I$6-IS!H$6))/(1+Assumptions!$C$87)^4.5+(DCF!$I$10+$B28/365*(IS!I$6-IS!H$6))*(1+Assumptions!$C$88)/(Assumptions!$C$87-Assumptions!$C$88)/(1+Assumptions!$C$87)^4.5+DCF!$D$24)/Equity_Roll!$C$21</f>
        <v>121.535306597139</v>
      </c>
      <c r="D28" s="19" t="n">
        <f aca="false">C28/DCF!$D$26-1</f>
        <v>0.0823898213680501</v>
      </c>
    </row>
    <row r="29" customFormat="false" ht="15" hidden="false" customHeight="false" outlineLevel="0" collapsed="false">
      <c r="A29" s="27" t="s">
        <v>781</v>
      </c>
    </row>
  </sheetData>
  <mergeCells count="5">
    <mergeCell ref="A1:J1"/>
    <mergeCell ref="A2:J2"/>
    <mergeCell ref="A4:I4"/>
    <mergeCell ref="A13:I13"/>
    <mergeCell ref="A22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50.95"/>
  </cols>
  <sheetData>
    <row r="1" customFormat="false" ht="24" hidden="false" customHeight="true" outlineLevel="0" collapsed="false">
      <c r="A1" s="14" t="s">
        <v>782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783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784</v>
      </c>
      <c r="B3" s="67" t="n">
        <f aca="false">Assumptions!$C$5</f>
        <v>2</v>
      </c>
      <c r="C3" s="68" t="str">
        <f aca="false">CHOOSE(B3,"熊市","基准","牛市")</f>
        <v>基准</v>
      </c>
      <c r="J3" s="25" t="s">
        <v>785</v>
      </c>
    </row>
    <row r="4" customFormat="false" ht="15" hidden="false" customHeight="false" outlineLevel="0" collapsed="false">
      <c r="A4" s="5" t="s">
        <v>786</v>
      </c>
      <c r="B4" s="19" t="n">
        <f aca="false">Schedules!E17/IS!E4</f>
        <v>0.123070501571818</v>
      </c>
      <c r="J4" s="25" t="s">
        <v>787</v>
      </c>
    </row>
    <row r="6" customFormat="false" ht="15.75" hidden="false" customHeight="true" outlineLevel="0" collapsed="false">
      <c r="A6" s="26" t="s">
        <v>788</v>
      </c>
      <c r="B6" s="26"/>
      <c r="C6" s="26"/>
      <c r="D6" s="26"/>
      <c r="E6" s="26"/>
      <c r="F6" s="26"/>
      <c r="G6" s="26"/>
      <c r="H6" s="26"/>
      <c r="I6" s="26"/>
      <c r="J6" s="26"/>
    </row>
    <row r="7" customFormat="false" ht="15" hidden="false" customHeight="false" outlineLevel="0" collapsed="false">
      <c r="A7" s="3" t="s">
        <v>250</v>
      </c>
      <c r="E7" s="44" t="s">
        <v>117</v>
      </c>
      <c r="F7" s="44" t="s">
        <v>118</v>
      </c>
      <c r="G7" s="44" t="s">
        <v>119</v>
      </c>
      <c r="H7" s="44" t="s">
        <v>120</v>
      </c>
      <c r="I7" s="44" t="s">
        <v>121</v>
      </c>
    </row>
    <row r="8" customFormat="false" ht="15" hidden="false" customHeight="false" outlineLevel="0" collapsed="false">
      <c r="A8" s="5" t="s">
        <v>288</v>
      </c>
      <c r="E8" s="9" t="n">
        <f aca="false">IS!D4*(1+Revenue_Segments!E29+Assumptions!$C$92)</f>
        <v>23441.085412</v>
      </c>
      <c r="F8" s="9" t="n">
        <f aca="false">E8*(1+Revenue_Segments!F29+Assumptions!$C$92)</f>
        <v>30198.2383658455</v>
      </c>
      <c r="G8" s="9" t="n">
        <f aca="false">F8*(1+Revenue_Segments!G29+Assumptions!$C$92)</f>
        <v>38088.3874425104</v>
      </c>
      <c r="H8" s="9" t="n">
        <f aca="false">G8*(1+Revenue_Segments!H29+Assumptions!$C$92)</f>
        <v>42128.573250551</v>
      </c>
      <c r="I8" s="9" t="n">
        <f aca="false">H8*(1+Revenue_Segments!I29+Assumptions!$C$92)</f>
        <v>42887.3967656378</v>
      </c>
    </row>
    <row r="9" customFormat="false" ht="15" hidden="false" customHeight="false" outlineLevel="0" collapsed="false">
      <c r="A9" s="5" t="s">
        <v>789</v>
      </c>
      <c r="E9" s="19" t="n">
        <f aca="false">(Revenue_Segments!E30+Assumptions!$D$92-Assumptions!C$31-Assumptions!C$32-Assumptions!C$33-Assumptions!C$34-Assumptions!$C$39)*(1-Assumptions!C$37)*(1-Assumptions!C$38)</f>
        <v>0.189106332284853</v>
      </c>
      <c r="F9" s="19" t="n">
        <f aca="false">(Revenue_Segments!F30+Assumptions!$D$92-Assumptions!D$31-Assumptions!D$32-Assumptions!D$33-Assumptions!D$34-Assumptions!$C$39)*(1-Assumptions!D$37)*(1-Assumptions!D$38)</f>
        <v>0.198225212041603</v>
      </c>
      <c r="G9" s="19" t="n">
        <f aca="false">(Revenue_Segments!G30+Assumptions!$D$92-Assumptions!E$31-Assumptions!E$32-Assumptions!E$33-Assumptions!E$34-Assumptions!$C$39)*(1-Assumptions!E$37)*(1-Assumptions!E$38)</f>
        <v>0.204317684385289</v>
      </c>
      <c r="H9" s="19" t="n">
        <f aca="false">(Revenue_Segments!H30+Assumptions!$D$92-Assumptions!F$31-Assumptions!F$32-Assumptions!F$33-Assumptions!F$34-Assumptions!$C$39)*(1-Assumptions!F$37)*(1-Assumptions!F$38)</f>
        <v>0.200995855756244</v>
      </c>
      <c r="I9" s="19" t="n">
        <f aca="false">(Revenue_Segments!I30+Assumptions!$D$92-Assumptions!G$31-Assumptions!G$32-Assumptions!G$33-Assumptions!G$34-Assumptions!$C$39)*(1-Assumptions!G$37)*(1-Assumptions!G$38)</f>
        <v>0.19722942069369</v>
      </c>
    </row>
    <row r="10" customFormat="false" ht="15" hidden="false" customHeight="false" outlineLevel="0" collapsed="false">
      <c r="A10" s="5" t="s">
        <v>315</v>
      </c>
      <c r="E10" s="47" t="n">
        <f aca="false">E8*E9</f>
        <v>4432.8576870393</v>
      </c>
      <c r="F10" s="47" t="n">
        <f aca="false">F8*F9</f>
        <v>5986.05220335261</v>
      </c>
      <c r="G10" s="47" t="n">
        <f aca="false">G8*G9</f>
        <v>7782.13112422343</v>
      </c>
      <c r="H10" s="47" t="n">
        <f aca="false">H8*H9</f>
        <v>8467.66863228412</v>
      </c>
      <c r="I10" s="47" t="n">
        <f aca="false">I8*I9</f>
        <v>8458.65641914716</v>
      </c>
    </row>
    <row r="11" customFormat="false" ht="15" hidden="false" customHeight="false" outlineLevel="0" collapsed="false">
      <c r="A11" s="4" t="s">
        <v>790</v>
      </c>
      <c r="E11" s="9" t="n">
        <f aca="false">E10+PPE!E19-(E8-IS!D4)*$B$4-PPE!E14</f>
        <v>365.747563275811</v>
      </c>
      <c r="F11" s="9" t="n">
        <f aca="false">F10+PPE!F19-(F8-E8)*$B$4-PPE!F14</f>
        <v>1164.58098277869</v>
      </c>
      <c r="G11" s="9" t="n">
        <f aca="false">G10+PPE!G19-(G8-F8)*$B$4-PPE!G14</f>
        <v>2428.72558111919</v>
      </c>
      <c r="H11" s="9" t="n">
        <f aca="false">H10+PPE!H19-(H8-G8)*$B$4-PPE!H14</f>
        <v>3609.40746929074</v>
      </c>
      <c r="I11" s="9" t="n">
        <f aca="false">I10+PPE!I19-(I8-H8)*$B$4-PPE!I14</f>
        <v>4667.76287924581</v>
      </c>
    </row>
    <row r="12" customFormat="false" ht="15" hidden="false" customHeight="false" outlineLevel="0" collapsed="false">
      <c r="A12" s="10" t="s">
        <v>791</v>
      </c>
      <c r="B12" s="23" t="n">
        <f aca="false">(E11/(1+Assumptions!$C$87)^0.5+F11/(1+Assumptions!$C$87)^1.5+G11/(1+Assumptions!$C$87)^2.5+H11/(1+Assumptions!$C$87)^3.5+I11/(1+Assumptions!$C$87)^4.5+I11*(1+Assumptions!$C$88)/(Assumptions!$C$87-Assumptions!$C$88)/(1+Assumptions!$C$87)^4.5+DCF!$D$24)/Equity_Roll!$C$21</f>
        <v>43.6203931318112</v>
      </c>
      <c r="J12" s="25" t="s">
        <v>792</v>
      </c>
    </row>
    <row r="13" customFormat="false" ht="15" hidden="false" customHeight="false" outlineLevel="0" collapsed="false">
      <c r="A13" s="3" t="s">
        <v>793</v>
      </c>
      <c r="B13" s="23" t="n">
        <f aca="false">E10*Relative_Val!$F$9/Equity_Roll!$C$21</f>
        <v>97.7240197223826</v>
      </c>
      <c r="J13" s="25" t="s">
        <v>794</v>
      </c>
    </row>
    <row r="15" customFormat="false" ht="15.75" hidden="false" customHeight="true" outlineLevel="0" collapsed="false">
      <c r="A15" s="26" t="s">
        <v>795</v>
      </c>
      <c r="B15" s="26"/>
      <c r="C15" s="26"/>
      <c r="D15" s="26"/>
      <c r="E15" s="26"/>
      <c r="F15" s="26"/>
      <c r="G15" s="26"/>
      <c r="H15" s="26"/>
      <c r="I15" s="26"/>
      <c r="J15" s="26"/>
    </row>
    <row r="16" customFormat="false" ht="15" hidden="false" customHeight="false" outlineLevel="0" collapsed="false">
      <c r="A16" s="3" t="s">
        <v>250</v>
      </c>
      <c r="E16" s="44" t="s">
        <v>117</v>
      </c>
      <c r="F16" s="44" t="s">
        <v>118</v>
      </c>
      <c r="G16" s="44" t="s">
        <v>119</v>
      </c>
      <c r="H16" s="44" t="s">
        <v>120</v>
      </c>
      <c r="I16" s="44" t="s">
        <v>121</v>
      </c>
    </row>
    <row r="17" customFormat="false" ht="15" hidden="false" customHeight="false" outlineLevel="0" collapsed="false">
      <c r="A17" s="5" t="s">
        <v>288</v>
      </c>
      <c r="E17" s="9" t="n">
        <f aca="false">IS!D4*(1+Revenue_Segments!E29+Assumptions!$C$93)</f>
        <v>26282.865412</v>
      </c>
      <c r="F17" s="9" t="n">
        <f aca="false">E17*(1+Revenue_Segments!F29+Assumptions!$C$93)</f>
        <v>37801.6227928</v>
      </c>
      <c r="G17" s="9" t="n">
        <f aca="false">F17*(1+Revenue_Segments!G29+Assumptions!$C$93)</f>
        <v>53348.615827432</v>
      </c>
      <c r="H17" s="9" t="n">
        <f aca="false">G17*(1+Revenue_Segments!H29+Assumptions!$C$93)</f>
        <v>67009.8067534987</v>
      </c>
      <c r="I17" s="9" t="n">
        <f aca="false">H17*(1+Revenue_Segments!I29+Assumptions!$C$93)</f>
        <v>78268.2642173478</v>
      </c>
    </row>
    <row r="18" customFormat="false" ht="15" hidden="false" customHeight="false" outlineLevel="0" collapsed="false">
      <c r="A18" s="5" t="s">
        <v>789</v>
      </c>
      <c r="E18" s="19" t="n">
        <f aca="false">(Revenue_Segments!E30+Assumptions!$D$93-Assumptions!C$31-Assumptions!C$32-Assumptions!C$33-Assumptions!C$34-Assumptions!$C$39)*(1-Assumptions!C$37)*(1-Assumptions!C$38)</f>
        <v>0.215155332284853</v>
      </c>
      <c r="F18" s="19" t="n">
        <f aca="false">(Revenue_Segments!F30+Assumptions!$D$93-Assumptions!D$31-Assumptions!D$32-Assumptions!D$33-Assumptions!D$34-Assumptions!$C$39)*(1-Assumptions!D$37)*(1-Assumptions!D$38)</f>
        <v>0.224274212041603</v>
      </c>
      <c r="G18" s="19" t="n">
        <f aca="false">(Revenue_Segments!G30+Assumptions!$D$93-Assumptions!E$31-Assumptions!E$32-Assumptions!E$33-Assumptions!E$34-Assumptions!$C$39)*(1-Assumptions!E$37)*(1-Assumptions!E$38)</f>
        <v>0.230366684385289</v>
      </c>
      <c r="H18" s="19" t="n">
        <f aca="false">(Revenue_Segments!H30+Assumptions!$D$93-Assumptions!F$31-Assumptions!F$32-Assumptions!F$33-Assumptions!F$34-Assumptions!$C$39)*(1-Assumptions!F$37)*(1-Assumptions!F$38)</f>
        <v>0.227044855756244</v>
      </c>
      <c r="I18" s="19" t="n">
        <f aca="false">(Revenue_Segments!I30+Assumptions!$D$93-Assumptions!G$31-Assumptions!G$32-Assumptions!G$33-Assumptions!G$34-Assumptions!$C$39)*(1-Assumptions!G$37)*(1-Assumptions!G$38)</f>
        <v>0.22327842069369</v>
      </c>
    </row>
    <row r="19" customFormat="false" ht="15" hidden="false" customHeight="false" outlineLevel="0" collapsed="false">
      <c r="A19" s="5" t="s">
        <v>315</v>
      </c>
      <c r="E19" s="47" t="n">
        <f aca="false">E17*E18</f>
        <v>5654.89864111694</v>
      </c>
      <c r="F19" s="47" t="n">
        <f aca="false">F17*F18</f>
        <v>8477.92916574914</v>
      </c>
      <c r="G19" s="47" t="n">
        <f aca="false">G17*G18</f>
        <v>12289.7437447101</v>
      </c>
      <c r="H19" s="47" t="n">
        <f aca="false">H17*H18</f>
        <v>15214.2319086019</v>
      </c>
      <c r="I19" s="47" t="n">
        <f aca="false">I17*I18</f>
        <v>17475.6144248858</v>
      </c>
    </row>
    <row r="20" customFormat="false" ht="15" hidden="false" customHeight="false" outlineLevel="0" collapsed="false">
      <c r="A20" s="4" t="s">
        <v>790</v>
      </c>
      <c r="E20" s="9" t="n">
        <f aca="false">E19+PPE!E19-(E17-IS!D4)*$B$4-PPE!E14</f>
        <v>1238.04922739669</v>
      </c>
      <c r="F20" s="9" t="n">
        <f aca="false">F19+PPE!F19-(F17-E17)*$B$4-PPE!F14</f>
        <v>3070.44490006334</v>
      </c>
      <c r="G20" s="9" t="n">
        <f aca="false">G19+PPE!G19-(G17-F17)*$B$4-PPE!G14</f>
        <v>5994.00657524165</v>
      </c>
      <c r="H20" s="9" t="n">
        <f aca="false">H19+PPE!H19-(H17-G17)*$B$4-PPE!H14</f>
        <v>9171.90882010804</v>
      </c>
      <c r="I20" s="9" t="n">
        <f aca="false">I19+PPE!I19-(I17-H17)*$B$4-PPE!I14</f>
        <v>12392.5256685898</v>
      </c>
    </row>
    <row r="21" customFormat="false" ht="15" hidden="false" customHeight="false" outlineLevel="0" collapsed="false">
      <c r="A21" s="10" t="s">
        <v>791</v>
      </c>
      <c r="B21" s="23" t="n">
        <f aca="false">(E20/(1+Assumptions!$C$87)^0.5+F20/(1+Assumptions!$C$87)^1.5+G20/(1+Assumptions!$C$87)^2.5+H20/(1+Assumptions!$C$87)^3.5+I20/(1+Assumptions!$C$87)^4.5+I20*(1+Assumptions!$C$88)/(Assumptions!$C$87-Assumptions!$C$88)/(1+Assumptions!$C$87)^4.5+DCF!$D$24)/Equity_Roll!$C$21</f>
        <v>116.874916607451</v>
      </c>
      <c r="J21" s="25" t="s">
        <v>792</v>
      </c>
    </row>
    <row r="22" customFormat="false" ht="15" hidden="false" customHeight="false" outlineLevel="0" collapsed="false">
      <c r="A22" s="3" t="s">
        <v>793</v>
      </c>
      <c r="B22" s="23" t="n">
        <f aca="false">E19*Relative_Val!$F$9/Equity_Roll!$C$21</f>
        <v>124.664373491692</v>
      </c>
      <c r="J22" s="25" t="s">
        <v>794</v>
      </c>
    </row>
    <row r="24" customFormat="false" ht="15.75" hidden="false" customHeight="true" outlineLevel="0" collapsed="false">
      <c r="A24" s="26" t="s">
        <v>796</v>
      </c>
      <c r="B24" s="26"/>
      <c r="C24" s="26"/>
      <c r="D24" s="26"/>
      <c r="E24" s="26"/>
      <c r="F24" s="26"/>
      <c r="G24" s="26"/>
      <c r="H24" s="26"/>
      <c r="I24" s="26"/>
      <c r="J24" s="26"/>
    </row>
    <row r="25" customFormat="false" ht="15" hidden="false" customHeight="false" outlineLevel="0" collapsed="false">
      <c r="A25" s="3" t="s">
        <v>250</v>
      </c>
      <c r="E25" s="44" t="s">
        <v>117</v>
      </c>
      <c r="F25" s="44" t="s">
        <v>118</v>
      </c>
      <c r="G25" s="44" t="s">
        <v>119</v>
      </c>
      <c r="H25" s="44" t="s">
        <v>120</v>
      </c>
      <c r="I25" s="44" t="s">
        <v>121</v>
      </c>
    </row>
    <row r="26" customFormat="false" ht="15" hidden="false" customHeight="false" outlineLevel="0" collapsed="false">
      <c r="A26" s="5" t="s">
        <v>288</v>
      </c>
      <c r="E26" s="9" t="n">
        <f aca="false">IS!D4*(1+Revenue_Segments!E29+Assumptions!$C$94)</f>
        <v>28177.385412</v>
      </c>
      <c r="F26" s="9" t="n">
        <f aca="false">E26*(1+Revenue_Segments!F29+Assumptions!$C$94)</f>
        <v>43344.175744103</v>
      </c>
      <c r="G26" s="9" t="n">
        <f aca="false">F26*(1+Revenue_Segments!G29+Assumptions!$C$94)</f>
        <v>65505.1189700466</v>
      </c>
      <c r="H26" s="9" t="n">
        <f aca="false">G26*(1+Revenue_Segments!H29+Assumptions!$C$94)</f>
        <v>88829.7856038715</v>
      </c>
      <c r="I26" s="9" t="n">
        <f aca="false">H26*(1+Revenue_Segments!I29+Assumptions!$C$94)</f>
        <v>112637.241807105</v>
      </c>
    </row>
    <row r="27" customFormat="false" ht="15" hidden="false" customHeight="false" outlineLevel="0" collapsed="false">
      <c r="A27" s="5" t="s">
        <v>789</v>
      </c>
      <c r="E27" s="19" t="n">
        <f aca="false">(Revenue_Segments!E30+Assumptions!$D$94-Assumptions!C$31-Assumptions!C$32-Assumptions!C$33-Assumptions!C$34-Assumptions!$C$39)*(1-Assumptions!C$37)*(1-Assumptions!C$38)</f>
        <v>0.228179832284853</v>
      </c>
      <c r="F27" s="19" t="n">
        <f aca="false">(Revenue_Segments!F30+Assumptions!$D$94-Assumptions!D$31-Assumptions!D$32-Assumptions!D$33-Assumptions!D$34-Assumptions!$C$39)*(1-Assumptions!D$37)*(1-Assumptions!D$38)</f>
        <v>0.237298712041603</v>
      </c>
      <c r="G27" s="19" t="n">
        <f aca="false">(Revenue_Segments!G30+Assumptions!$D$94-Assumptions!E$31-Assumptions!E$32-Assumptions!E$33-Assumptions!E$34-Assumptions!$C$39)*(1-Assumptions!E$37)*(1-Assumptions!E$38)</f>
        <v>0.243391184385289</v>
      </c>
      <c r="H27" s="19" t="n">
        <f aca="false">(Revenue_Segments!H30+Assumptions!$D$94-Assumptions!F$31-Assumptions!F$32-Assumptions!F$33-Assumptions!F$34-Assumptions!$C$39)*(1-Assumptions!F$37)*(1-Assumptions!F$38)</f>
        <v>0.240069355756244</v>
      </c>
      <c r="I27" s="19" t="n">
        <f aca="false">(Revenue_Segments!I30+Assumptions!$D$94-Assumptions!G$31-Assumptions!G$32-Assumptions!G$33-Assumptions!G$34-Assumptions!$C$39)*(1-Assumptions!G$37)*(1-Assumptions!G$38)</f>
        <v>0.23630292069369</v>
      </c>
    </row>
    <row r="28" customFormat="false" ht="15" hidden="false" customHeight="false" outlineLevel="0" collapsed="false">
      <c r="A28" s="5" t="s">
        <v>315</v>
      </c>
      <c r="E28" s="47" t="n">
        <f aca="false">E26*E27</f>
        <v>6429.51107753584</v>
      </c>
      <c r="F28" s="47" t="n">
        <f aca="false">F26*F27</f>
        <v>10285.5170785806</v>
      </c>
      <c r="G28" s="47" t="n">
        <f aca="false">G26*G27</f>
        <v>15943.3684894189</v>
      </c>
      <c r="H28" s="47" t="n">
        <f aca="false">H26*H27</f>
        <v>21325.3094018867</v>
      </c>
      <c r="I28" s="47" t="n">
        <f aca="false">I26*I27</f>
        <v>26616.5092179002</v>
      </c>
    </row>
    <row r="29" customFormat="false" ht="15" hidden="false" customHeight="false" outlineLevel="0" collapsed="false">
      <c r="A29" s="4" t="s">
        <v>790</v>
      </c>
      <c r="E29" s="9" t="n">
        <f aca="false">E28+PPE!E19-(E26-IS!D4)*$B$4-PPE!E14</f>
        <v>1779.50213717775</v>
      </c>
      <c r="F29" s="9" t="n">
        <f aca="false">F28+PPE!F19-(F26-E26)*$B$4-PPE!F14</f>
        <v>4429.06756782738</v>
      </c>
      <c r="G29" s="9" t="n">
        <f aca="false">G28+PPE!G19-(G26-F26)*$B$4-PPE!G14</f>
        <v>8833.64915253476</v>
      </c>
      <c r="H29" s="9" t="n">
        <f aca="false">H28+PPE!H19-(H26-G26)*$B$4-PPE!H14</f>
        <v>14093.697511112</v>
      </c>
      <c r="I29" s="9" t="n">
        <f aca="false">I28+PPE!I19-(I26-H26)*$B$4-PPE!I14</f>
        <v>19989.0088925241</v>
      </c>
    </row>
    <row r="30" customFormat="false" ht="15" hidden="false" customHeight="false" outlineLevel="0" collapsed="false">
      <c r="A30" s="10" t="s">
        <v>791</v>
      </c>
      <c r="B30" s="23" t="n">
        <f aca="false">(E29/(1+Assumptions!$C$87)^0.5+F29/(1+Assumptions!$C$87)^1.5+G29/(1+Assumptions!$C$87)^2.5+H29/(1+Assumptions!$C$87)^3.5+I29/(1+Assumptions!$C$87)^4.5+I29*(1+Assumptions!$C$88)/(Assumptions!$C$87-Assumptions!$C$88)/(1+Assumptions!$C$87)^4.5+DCF!$D$24)/Equity_Roll!$C$21</f>
        <v>188.004916194419</v>
      </c>
      <c r="J30" s="25" t="s">
        <v>792</v>
      </c>
    </row>
    <row r="31" customFormat="false" ht="15" hidden="false" customHeight="false" outlineLevel="0" collapsed="false">
      <c r="A31" s="3" t="s">
        <v>793</v>
      </c>
      <c r="B31" s="23" t="n">
        <f aca="false">E28*Relative_Val!$F$9/Equity_Roll!$C$21</f>
        <v>141.740996825468</v>
      </c>
      <c r="J31" s="25" t="s">
        <v>794</v>
      </c>
    </row>
    <row r="33" customFormat="false" ht="15.75" hidden="false" customHeight="true" outlineLevel="0" collapsed="false">
      <c r="A33" s="26" t="s">
        <v>797</v>
      </c>
      <c r="B33" s="26"/>
      <c r="C33" s="26"/>
      <c r="D33" s="26"/>
      <c r="E33" s="26"/>
      <c r="F33" s="26"/>
      <c r="G33" s="26"/>
      <c r="H33" s="26"/>
      <c r="I33" s="26"/>
      <c r="J33" s="26"/>
    </row>
    <row r="34" customFormat="false" ht="15" hidden="false" customHeight="false" outlineLevel="0" collapsed="false">
      <c r="A34" s="3" t="s">
        <v>798</v>
      </c>
      <c r="B34" s="23" t="n">
        <f aca="false">DCF!D26</f>
        <v>112.284229025296</v>
      </c>
      <c r="J34" s="25" t="s">
        <v>799</v>
      </c>
    </row>
    <row r="35" customFormat="false" ht="15" hidden="false" customHeight="false" outlineLevel="0" collapsed="false">
      <c r="A35" s="5" t="s">
        <v>800</v>
      </c>
      <c r="B35" s="8" t="n">
        <f aca="false">B21</f>
        <v>116.874916607451</v>
      </c>
    </row>
    <row r="36" customFormat="false" ht="15" hidden="false" customHeight="false" outlineLevel="0" collapsed="false">
      <c r="A36" s="3" t="s">
        <v>801</v>
      </c>
      <c r="B36" s="56" t="n">
        <f aca="false">B34/B21</f>
        <v>0.960721361645341</v>
      </c>
      <c r="J36" s="25" t="s">
        <v>802</v>
      </c>
    </row>
    <row r="37" customFormat="false" ht="15" hidden="false" customHeight="false" outlineLevel="0" collapsed="false">
      <c r="A37" s="5" t="s">
        <v>803</v>
      </c>
      <c r="B37" s="69" t="str">
        <f aca="false">IF(ABS(B36-1)&gt;=0.3,"警告: 桥接差异≥30%, 复核简化假设","通过: 桥接差异&lt;30%")</f>
        <v>通过: 桥接差异&lt;30%</v>
      </c>
    </row>
    <row r="39" customFormat="false" ht="15.75" hidden="false" customHeight="true" outlineLevel="0" collapsed="false">
      <c r="A39" s="26" t="s">
        <v>804</v>
      </c>
      <c r="B39" s="26"/>
      <c r="C39" s="26"/>
      <c r="D39" s="26"/>
      <c r="E39" s="26"/>
      <c r="F39" s="26"/>
      <c r="G39" s="26"/>
      <c r="H39" s="26"/>
      <c r="I39" s="26"/>
      <c r="J39" s="26"/>
    </row>
    <row r="40" customFormat="false" ht="15" hidden="false" customHeight="false" outlineLevel="0" collapsed="false">
      <c r="A40" s="3" t="s">
        <v>805</v>
      </c>
      <c r="B40" s="42" t="s">
        <v>806</v>
      </c>
      <c r="C40" s="42" t="s">
        <v>807</v>
      </c>
      <c r="D40" s="42" t="s">
        <v>808</v>
      </c>
      <c r="E40" s="42" t="s">
        <v>93</v>
      </c>
      <c r="F40" s="42" t="s">
        <v>809</v>
      </c>
      <c r="G40" s="42" t="s">
        <v>810</v>
      </c>
      <c r="H40" s="42" t="s">
        <v>811</v>
      </c>
    </row>
    <row r="41" customFormat="false" ht="15" hidden="false" customHeight="false" outlineLevel="0" collapsed="false">
      <c r="A41" s="4" t="s">
        <v>812</v>
      </c>
      <c r="B41" s="18" t="n">
        <f aca="false">B12</f>
        <v>43.6203931318112</v>
      </c>
      <c r="C41" s="18" t="n">
        <f aca="false">B21</f>
        <v>116.874916607451</v>
      </c>
      <c r="D41" s="18" t="n">
        <f aca="false">B30</f>
        <v>188.004916194419</v>
      </c>
      <c r="E41" s="8" t="n">
        <f aca="false">Assumptions!$C$7</f>
        <v>123.53</v>
      </c>
      <c r="F41" s="19" t="n">
        <f aca="false">B12/Assumptions!$C$7-1</f>
        <v>-0.646884213293846</v>
      </c>
      <c r="G41" s="19" t="n">
        <f aca="false">B21/Assumptions!$C$7-1</f>
        <v>-0.0538742280624052</v>
      </c>
      <c r="H41" s="19" t="n">
        <f aca="false">B30/Assumptions!$C$7-1</f>
        <v>0.52193731234857</v>
      </c>
    </row>
    <row r="42" customFormat="false" ht="15" hidden="false" customHeight="false" outlineLevel="0" collapsed="false">
      <c r="A42" s="5" t="s">
        <v>813</v>
      </c>
      <c r="B42" s="8" t="n">
        <f aca="false">B13</f>
        <v>97.7240197223826</v>
      </c>
      <c r="C42" s="8" t="n">
        <f aca="false">B22</f>
        <v>124.664373491692</v>
      </c>
      <c r="D42" s="8" t="n">
        <f aca="false">B31</f>
        <v>141.740996825468</v>
      </c>
    </row>
    <row r="43" customFormat="false" ht="15" hidden="false" customHeight="false" outlineLevel="0" collapsed="false">
      <c r="A43" s="4" t="s">
        <v>814</v>
      </c>
      <c r="B43" s="9" t="n">
        <f aca="false">E10</f>
        <v>4432.8576870393</v>
      </c>
      <c r="C43" s="9" t="n">
        <f aca="false">E19</f>
        <v>5654.89864111694</v>
      </c>
      <c r="D43" s="9" t="n">
        <f aca="false">E28</f>
        <v>6429.51107753584</v>
      </c>
    </row>
  </sheetData>
  <mergeCells count="7">
    <mergeCell ref="A1:J1"/>
    <mergeCell ref="A2:J2"/>
    <mergeCell ref="A6:J6"/>
    <mergeCell ref="A15:J15"/>
    <mergeCell ref="A24:J24"/>
    <mergeCell ref="A33:J33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6.39"/>
    <col collapsed="false" customWidth="true" hidden="false" outlineLevel="0" max="9" min="2" style="0" width="10.01"/>
    <col collapsed="false" customWidth="true" hidden="false" outlineLevel="0" max="10" min="10" style="0" width="45.49"/>
  </cols>
  <sheetData>
    <row r="1" customFormat="false" ht="24" hidden="false" customHeight="true" outlineLevel="0" collapsed="false">
      <c r="A1" s="14" t="s">
        <v>815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816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817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818</v>
      </c>
    </row>
    <row r="4" customFormat="false" ht="15" hidden="false" customHeight="false" outlineLevel="0" collapsed="false">
      <c r="A4" s="4" t="s">
        <v>819</v>
      </c>
      <c r="B4" s="70" t="b">
        <f aca="false">ABS(BS!B47)&lt;0.01</f>
        <v>1</v>
      </c>
      <c r="C4" s="70" t="b">
        <f aca="false">ABS(BS!C47)&lt;0.01</f>
        <v>1</v>
      </c>
      <c r="D4" s="70" t="b">
        <f aca="false">ABS(BS!D47)&lt;0.01</f>
        <v>1</v>
      </c>
      <c r="E4" s="70" t="b">
        <f aca="false">ABS(BS!E47)&lt;0.01</f>
        <v>1</v>
      </c>
      <c r="F4" s="70" t="b">
        <f aca="false">ABS(BS!F47)&lt;0.01</f>
        <v>1</v>
      </c>
      <c r="G4" s="70" t="b">
        <f aca="false">ABS(BS!G47)&lt;0.01</f>
        <v>1</v>
      </c>
      <c r="H4" s="70" t="b">
        <f aca="false">ABS(BS!H47)&lt;0.01</f>
        <v>1</v>
      </c>
      <c r="I4" s="70" t="b">
        <f aca="false">ABS(BS!I47)&lt;0.01</f>
        <v>1</v>
      </c>
      <c r="J4" s="25" t="s">
        <v>820</v>
      </c>
    </row>
    <row r="5" customFormat="false" ht="15" hidden="false" customHeight="false" outlineLevel="0" collapsed="false">
      <c r="A5" s="4" t="s">
        <v>821</v>
      </c>
      <c r="E5" s="70" t="b">
        <f aca="false">ABS(CF!E19-BS!E4)&lt;0.01</f>
        <v>1</v>
      </c>
      <c r="F5" s="70" t="b">
        <f aca="false">ABS(CF!F19-BS!F4)&lt;0.01</f>
        <v>1</v>
      </c>
      <c r="G5" s="70" t="b">
        <f aca="false">ABS(CF!G19-BS!G4)&lt;0.01</f>
        <v>1</v>
      </c>
      <c r="H5" s="70" t="b">
        <f aca="false">ABS(CF!H19-BS!H4)&lt;0.01</f>
        <v>1</v>
      </c>
      <c r="I5" s="70" t="b">
        <f aca="false">ABS(CF!I19-BS!I4)&lt;0.01</f>
        <v>1</v>
      </c>
      <c r="J5" s="25" t="s">
        <v>822</v>
      </c>
    </row>
    <row r="6" customFormat="false" ht="15" hidden="false" customHeight="false" outlineLevel="0" collapsed="false">
      <c r="A6" s="4" t="s">
        <v>823</v>
      </c>
      <c r="E6" s="70" t="b">
        <f aca="false">ABS(BS!E41-BS!D41-IS!E20+Schedules!E26+Equity_Roll!E9)&lt;0.01</f>
        <v>1</v>
      </c>
      <c r="F6" s="70" t="b">
        <f aca="false">ABS(BS!F41-BS!E41-IS!F20+Schedules!F26+Equity_Roll!F9)&lt;0.01</f>
        <v>1</v>
      </c>
      <c r="G6" s="70" t="b">
        <f aca="false">ABS(BS!G41-BS!F41-IS!G20+Schedules!G26+Equity_Roll!G9)&lt;0.01</f>
        <v>1</v>
      </c>
      <c r="H6" s="70" t="b">
        <f aca="false">ABS(BS!H41-BS!G41-IS!H20+Schedules!H26+Equity_Roll!H9)&lt;0.01</f>
        <v>1</v>
      </c>
      <c r="I6" s="70" t="b">
        <f aca="false">ABS(BS!I41-BS!H41-IS!I20+Schedules!I26+Equity_Roll!I9)&lt;0.01</f>
        <v>1</v>
      </c>
      <c r="J6" s="27" t="s">
        <v>824</v>
      </c>
    </row>
    <row r="7" customFormat="false" ht="15" hidden="false" customHeight="false" outlineLevel="0" collapsed="false">
      <c r="A7" s="4" t="s">
        <v>825</v>
      </c>
      <c r="B7" s="70" t="b">
        <f aca="false">ABS(IS!B4-Revenue_Segments!B20)&lt;0.01</f>
        <v>1</v>
      </c>
      <c r="C7" s="70" t="b">
        <f aca="false">ABS(IS!C4-Revenue_Segments!C20)&lt;0.01</f>
        <v>1</v>
      </c>
      <c r="D7" s="70" t="b">
        <f aca="false">ABS(IS!D4-Revenue_Segments!D20)&lt;0.01</f>
        <v>1</v>
      </c>
      <c r="E7" s="70" t="b">
        <f aca="false">ABS(IS!E4-Revenue_Segments!E20)&lt;0.01</f>
        <v>1</v>
      </c>
      <c r="F7" s="70" t="b">
        <f aca="false">ABS(IS!F4-Revenue_Segments!F20)&lt;0.01</f>
        <v>1</v>
      </c>
      <c r="G7" s="70" t="b">
        <f aca="false">ABS(IS!G4-Revenue_Segments!G20)&lt;0.01</f>
        <v>1</v>
      </c>
      <c r="H7" s="70" t="b">
        <f aca="false">ABS(IS!H4-Revenue_Segments!H20)&lt;0.01</f>
        <v>1</v>
      </c>
      <c r="I7" s="70" t="b">
        <f aca="false">ABS(IS!I4-Revenue_Segments!I20)&lt;0.01</f>
        <v>1</v>
      </c>
      <c r="J7" s="25" t="s">
        <v>826</v>
      </c>
    </row>
    <row r="8" customFormat="false" ht="15" hidden="false" customHeight="false" outlineLevel="0" collapsed="false">
      <c r="A8" s="4" t="s">
        <v>827</v>
      </c>
      <c r="B8" s="70" t="b">
        <f aca="false">AND(IS!B8&gt;0,IS!B8&lt;0.6)</f>
        <v>1</v>
      </c>
      <c r="C8" s="70" t="b">
        <f aca="false">AND(IS!C8&gt;0,IS!C8&lt;0.6)</f>
        <v>1</v>
      </c>
      <c r="D8" s="70" t="b">
        <f aca="false">AND(IS!D8&gt;0,IS!D8&lt;0.6)</f>
        <v>1</v>
      </c>
      <c r="E8" s="70" t="b">
        <f aca="false">AND(IS!E8&gt;0,IS!E8&lt;0.6)</f>
        <v>1</v>
      </c>
      <c r="F8" s="70" t="b">
        <f aca="false">AND(IS!F8&gt;0,IS!F8&lt;0.6)</f>
        <v>1</v>
      </c>
      <c r="G8" s="70" t="b">
        <f aca="false">AND(IS!G8&gt;0,IS!G8&lt;0.6)</f>
        <v>1</v>
      </c>
      <c r="H8" s="70" t="b">
        <f aca="false">AND(IS!H8&gt;0,IS!H8&lt;0.6)</f>
        <v>1</v>
      </c>
      <c r="I8" s="70" t="b">
        <f aca="false">AND(IS!I8&gt;0,IS!I8&lt;0.6)</f>
        <v>1</v>
      </c>
      <c r="J8" s="25" t="s">
        <v>828</v>
      </c>
    </row>
    <row r="9" customFormat="false" ht="15" hidden="false" customHeight="false" outlineLevel="0" collapsed="false">
      <c r="A9" s="4" t="s">
        <v>829</v>
      </c>
      <c r="B9" s="70" t="b">
        <f aca="false">DCF!D26&gt;0</f>
        <v>1</v>
      </c>
      <c r="J9" s="27" t="s">
        <v>830</v>
      </c>
    </row>
    <row r="10" customFormat="false" ht="15" hidden="false" customHeight="false" outlineLevel="0" collapsed="false">
      <c r="A10" s="4" t="s">
        <v>831</v>
      </c>
      <c r="B10" s="70" t="b">
        <f aca="false">ABS(Sensitivity!E8-DCF!D26)&lt;0.01</f>
        <v>1</v>
      </c>
      <c r="J10" s="25" t="s">
        <v>832</v>
      </c>
    </row>
    <row r="11" customFormat="false" ht="15" hidden="false" customHeight="false" outlineLevel="0" collapsed="false">
      <c r="A11" s="4" t="s">
        <v>833</v>
      </c>
      <c r="B11" s="70" t="b">
        <f aca="false">OR(ABS(Assumptions!C87-Assumptions!C85)&lt;0.000001,Assumptions!C86&lt;&gt;"")</f>
        <v>1</v>
      </c>
      <c r="J11" s="25" t="s">
        <v>834</v>
      </c>
    </row>
    <row r="12" customFormat="false" ht="15" hidden="false" customHeight="false" outlineLevel="0" collapsed="false">
      <c r="A12" s="4" t="s">
        <v>835</v>
      </c>
      <c r="E12" s="70" t="b">
        <f aca="false">BS!E4&gt;0.01</f>
        <v>1</v>
      </c>
      <c r="F12" s="70" t="b">
        <f aca="false">BS!F4&gt;0.01</f>
        <v>1</v>
      </c>
      <c r="G12" s="70" t="b">
        <f aca="false">BS!G4&gt;0.01</f>
        <v>1</v>
      </c>
      <c r="H12" s="70" t="b">
        <f aca="false">BS!H4&gt;0.01</f>
        <v>1</v>
      </c>
      <c r="I12" s="70" t="b">
        <f aca="false">BS!I4&gt;0.01</f>
        <v>1</v>
      </c>
      <c r="J12" s="27" t="s">
        <v>836</v>
      </c>
    </row>
    <row r="13" customFormat="false" ht="15" hidden="false" customHeight="false" outlineLevel="0" collapsed="false">
      <c r="A13" s="4" t="s">
        <v>837</v>
      </c>
      <c r="E13" s="70" t="b">
        <f aca="false">MIN(FIN!E24,FIN!E32,FIN!E42,FIN!E50)&gt;=-0.01</f>
        <v>1</v>
      </c>
      <c r="F13" s="70" t="b">
        <f aca="false">MIN(FIN!F24,FIN!F32,FIN!F42,FIN!F50)&gt;=-0.01</f>
        <v>1</v>
      </c>
      <c r="G13" s="70" t="b">
        <f aca="false">MIN(FIN!G24,FIN!G32,FIN!G42,FIN!G50)&gt;=-0.01</f>
        <v>1</v>
      </c>
      <c r="H13" s="70" t="b">
        <f aca="false">MIN(FIN!H24,FIN!H32,FIN!H42,FIN!H50)&gt;=-0.01</f>
        <v>1</v>
      </c>
      <c r="I13" s="70" t="b">
        <f aca="false">MIN(FIN!I24,FIN!I32,FIN!I42,FIN!I50)&gt;=-0.01</f>
        <v>1</v>
      </c>
      <c r="J13" s="27" t="s">
        <v>838</v>
      </c>
    </row>
    <row r="14" customFormat="false" ht="15" hidden="false" customHeight="false" outlineLevel="0" collapsed="false">
      <c r="A14" s="4" t="s">
        <v>839</v>
      </c>
      <c r="E14" s="70" t="b">
        <f aca="false">FIN!E139&lt;0.01</f>
        <v>1</v>
      </c>
      <c r="F14" s="70" t="b">
        <f aca="false">FIN!F139&lt;0.01</f>
        <v>1</v>
      </c>
      <c r="G14" s="70" t="b">
        <f aca="false">FIN!G139&lt;0.01</f>
        <v>1</v>
      </c>
      <c r="H14" s="70" t="b">
        <f aca="false">FIN!H139&lt;0.01</f>
        <v>1</v>
      </c>
      <c r="I14" s="70" t="b">
        <f aca="false">FIN!I139&lt;0.01</f>
        <v>1</v>
      </c>
      <c r="J14" s="25" t="s">
        <v>840</v>
      </c>
    </row>
    <row r="15" customFormat="false" ht="15" hidden="false" customHeight="false" outlineLevel="0" collapsed="false">
      <c r="A15" s="4" t="s">
        <v>841</v>
      </c>
      <c r="B15" s="70" t="b">
        <f aca="true"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>1</v>
      </c>
      <c r="J15" s="27" t="s">
        <v>842</v>
      </c>
    </row>
    <row r="16" customFormat="false" ht="15" hidden="false" customHeight="false" outlineLevel="0" collapsed="false">
      <c r="A16" s="4" t="s">
        <v>843</v>
      </c>
      <c r="B16" s="70" t="b">
        <f aca="false">AND(Scenarios!B12&lt;=Scenarios!B21,Scenarios!B21&lt;=Scenarios!B30,Scenarios!B13&lt;=Scenarios!B22,Scenarios!B22&lt;=Scenarios!B31)</f>
        <v>1</v>
      </c>
      <c r="J16" s="25" t="s">
        <v>844</v>
      </c>
    </row>
    <row r="18" customFormat="false" ht="15" hidden="false" customHeight="false" outlineLevel="0" collapsed="false">
      <c r="A18" s="5" t="s">
        <v>845</v>
      </c>
      <c r="E18" s="71" t="n">
        <f aca="false">PPE!E20</f>
        <v>0.156257545247598</v>
      </c>
      <c r="F18" s="71" t="n">
        <f aca="false">PPE!F20</f>
        <v>0.14159719985681</v>
      </c>
      <c r="G18" s="71" t="n">
        <f aca="false">PPE!G20</f>
        <v>0.137611111382918</v>
      </c>
      <c r="H18" s="71" t="n">
        <f aca="false">PPE!H20</f>
        <v>0.134833166821334</v>
      </c>
      <c r="I18" s="71" t="n">
        <f aca="false">PPE!I20</f>
        <v>0.132095216400224</v>
      </c>
      <c r="J18" s="25" t="s">
        <v>846</v>
      </c>
    </row>
    <row r="19" customFormat="false" ht="15" hidden="false" customHeight="false" outlineLevel="0" collapsed="false">
      <c r="A19" s="5" t="s">
        <v>847</v>
      </c>
      <c r="B19" s="19" t="n">
        <f aca="false">IS!E4/Assumptions!$C$12</f>
        <v>0.996200803241469</v>
      </c>
      <c r="J19" s="25" t="s">
        <v>848</v>
      </c>
    </row>
    <row r="20" customFormat="false" ht="15" hidden="false" customHeight="false" outlineLevel="0" collapsed="false">
      <c r="A20" s="5" t="s">
        <v>849</v>
      </c>
      <c r="B20" s="19" t="n">
        <f aca="false">IS!E20/Assumptions!$C$13</f>
        <v>0.922001917795647</v>
      </c>
    </row>
    <row r="21" customFormat="false" ht="15" hidden="false" customHeight="false" outlineLevel="0" collapsed="false">
      <c r="A21" s="5" t="s">
        <v>850</v>
      </c>
      <c r="B21" s="19" t="n">
        <f aca="false">Assumptions!C85</f>
        <v>0.0756370446893662</v>
      </c>
      <c r="C21" s="19" t="n">
        <f aca="false">Assumptions!C87</f>
        <v>0.0756370446893662</v>
      </c>
      <c r="J21" s="25" t="s">
        <v>851</v>
      </c>
    </row>
    <row r="22" customFormat="false" ht="15" hidden="false" customHeight="false" outlineLevel="0" collapsed="false">
      <c r="A22" s="5" t="s">
        <v>852</v>
      </c>
      <c r="B22" s="19" t="n">
        <f aca="false">FCFE!D20/DCF!D26</f>
        <v>0.965387530675311</v>
      </c>
      <c r="C22" s="8" t="n">
        <f aca="false">FCFE!D20</f>
        <v>108.397794592512</v>
      </c>
      <c r="J22" s="25" t="s">
        <v>853</v>
      </c>
    </row>
    <row r="23" customFormat="false" ht="15" hidden="false" customHeight="false" outlineLevel="0" collapsed="false">
      <c r="A23" s="5" t="s">
        <v>854</v>
      </c>
      <c r="B23" s="69" t="str">
        <f aca="false">IF(""&lt;&gt;"","WAIVED: ",IF(ABS(FCFE!D22)&gt;=0.3,"警告: 差异≥30%, 复核债务调度/资本结构/终值","通过: 差异&lt;30%"))</f>
        <v>通过: 差异&lt;30%</v>
      </c>
      <c r="J23" s="25" t="s">
        <v>855</v>
      </c>
    </row>
    <row r="24" customFormat="false" ht="15" hidden="false" customHeight="false" outlineLevel="0" collapsed="false">
      <c r="A24" s="5" t="s">
        <v>856</v>
      </c>
      <c r="B24" s="19" t="n">
        <f aca="false">Scenarios!B34/Scenarios!B35</f>
        <v>0.960721361645341</v>
      </c>
      <c r="C24" s="8" t="n">
        <f aca="false">Scenarios!B34</f>
        <v>112.284229025296</v>
      </c>
      <c r="J24" s="25" t="s">
        <v>857</v>
      </c>
    </row>
    <row r="25" customFormat="false" ht="15" hidden="false" customHeight="false" outlineLevel="0" collapsed="false">
      <c r="A25" s="5" t="s">
        <v>858</v>
      </c>
      <c r="B25" s="69" t="str">
        <f aca="false">IF(ABS(Scenarios!B36-1)&gt;=0.3,"警告: 桥接差异≥30%, 复核简化假设","通过: 桥接差异&lt;30%")</f>
        <v>通过: 桥接差异&lt;30%</v>
      </c>
      <c r="J25" s="25" t="s">
        <v>859</v>
      </c>
    </row>
    <row r="26" customFormat="false" ht="15" hidden="false" customHeight="false" outlineLevel="0" collapsed="false">
      <c r="A26" s="5" t="s">
        <v>860</v>
      </c>
      <c r="B26" s="9" t="n">
        <f aca="false">BS!I4</f>
        <v>1565.36528434696</v>
      </c>
      <c r="C26" s="9" t="n">
        <f aca="false">FIN!I13</f>
        <v>1565.36528434696</v>
      </c>
      <c r="J26" s="25" t="s">
        <v>861</v>
      </c>
    </row>
    <row r="28" customFormat="false" ht="30" hidden="false" customHeight="true" outlineLevel="0" collapsed="false">
      <c r="A28" s="72" t="s">
        <v>862</v>
      </c>
      <c r="B28" s="72"/>
      <c r="C28" s="72"/>
      <c r="D28" s="72"/>
      <c r="E28" s="72"/>
      <c r="F28" s="73" t="str">
        <f aca="false">IF(AND(B4:I4,E5:I5,E6:I6,B7:I7,B9,B10,B11,E12:I12,E13:I13,E14:I14,B15,B16),"全部通过=TRUE","存在未通过=FALSE")</f>
        <v>全部通过=TRUE</v>
      </c>
      <c r="G28" s="73"/>
      <c r="H28" s="73"/>
    </row>
    <row r="29" customFormat="false" ht="15" hidden="false" customHeight="false" outlineLevel="0" collapsed="false">
      <c r="A29" s="5" t="s">
        <v>863</v>
      </c>
      <c r="F29" s="54" t="b">
        <f aca="false">AND(B4:I4,E5:I5,E6:I6,B7:I7,B9,B10,B11,E12:I12,E13:I13,E14:I14,B15,B16)</f>
        <v>1</v>
      </c>
    </row>
  </sheetData>
  <mergeCells count="4">
    <mergeCell ref="A1:J1"/>
    <mergeCell ref="A2:J2"/>
    <mergeCell ref="A28:E28"/>
    <mergeCell ref="F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2026-08-18T03:24:31Z</dcterms:created>
  <dc:creator>openpyxl</dc:creator>
  <dc:description/>
  <dc:language>zh-CN</dc:language>
  <cp:lastModifiedBy/>
  <dcterms:modified xsi:type="dcterms:W3CDTF">2026-08-18T03:24:32Z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